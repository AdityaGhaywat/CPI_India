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6.xml" ContentType="application/vnd.openxmlformats-officedocument.spreadsheetml.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D:\DA\CV\Interview Prep Material\Case Study\Excel\"/>
    </mc:Choice>
  </mc:AlternateContent>
  <xr:revisionPtr revIDLastSave="0" documentId="13_ncr:1_{3FA43CEE-499B-49CF-88CA-A061B2A11350}" xr6:coauthVersionLast="47" xr6:coauthVersionMax="47" xr10:uidLastSave="{00000000-0000-0000-0000-000000000000}"/>
  <bookViews>
    <workbookView xWindow="-108" yWindow="-108" windowWidth="23256" windowHeight="12456" activeTab="8" xr2:uid="{C1D0A8AD-46A2-43C6-B3D2-EB2C4862DA31}"/>
  </bookViews>
  <sheets>
    <sheet name="CPI India" sheetId="1" r:id="rId1"/>
    <sheet name="Que 1" sheetId="2" r:id="rId2"/>
    <sheet name="Que 2" sheetId="3" r:id="rId3"/>
    <sheet name="June'22 - May'23" sheetId="5" state="hidden" r:id="rId4"/>
    <sheet name="Que 3" sheetId="4" r:id="rId5"/>
    <sheet name="Era" sheetId="8" state="hidden" r:id="rId6"/>
    <sheet name="Que 4" sheetId="9" r:id="rId7"/>
    <sheet name="Que 5" sheetId="15" r:id="rId8"/>
    <sheet name="CPI India Analysis" sheetId="19" r:id="rId9"/>
    <sheet name="2021" sheetId="12" state="hidden" r:id="rId10"/>
    <sheet name="2022" sheetId="13" state="hidden" r:id="rId11"/>
    <sheet name="2023" sheetId="14" state="hidden" r:id="rId12"/>
  </sheets>
  <definedNames>
    <definedName name="_xlnm._FilterDatabase" localSheetId="0" hidden="1">'CPI India'!$A$1:$AF$373</definedName>
    <definedName name="_xlnm._FilterDatabase" localSheetId="3" hidden="1">'June''22 - May''23'!$A$1:$AD$37</definedName>
    <definedName name="_xlnm._FilterDatabase" localSheetId="6" hidden="1">'Que 4'!$A$27:$AF$27</definedName>
  </definedNames>
  <calcPr calcId="191029"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9" i="8" l="1"/>
  <c r="AF29" i="8" s="1"/>
  <c r="D30" i="8"/>
  <c r="AF30" i="8" s="1"/>
  <c r="D31" i="8"/>
  <c r="AF31" i="8" s="1"/>
  <c r="D32" i="8"/>
  <c r="AF32" i="8" s="1"/>
  <c r="D33" i="8"/>
  <c r="AF33" i="8" s="1"/>
  <c r="D34" i="8"/>
  <c r="AF34" i="8" s="1"/>
  <c r="D35" i="8"/>
  <c r="AF35" i="8" s="1"/>
  <c r="D36" i="8"/>
  <c r="AF36" i="8" s="1"/>
  <c r="D37" i="8"/>
  <c r="AF37" i="8" s="1"/>
  <c r="D38" i="8"/>
  <c r="AF38" i="8" s="1"/>
  <c r="D39" i="8"/>
  <c r="AF39" i="8" s="1"/>
  <c r="D40" i="8"/>
  <c r="AF40" i="8" s="1"/>
  <c r="D41" i="8"/>
  <c r="AF41" i="8" s="1"/>
  <c r="D42" i="8"/>
  <c r="AF42" i="8" s="1"/>
  <c r="D43" i="8"/>
  <c r="AF43" i="8" s="1"/>
  <c r="D44" i="8"/>
  <c r="AF44" i="8" s="1"/>
  <c r="D45" i="8"/>
  <c r="AF45" i="8" s="1"/>
  <c r="D46" i="8"/>
  <c r="AF46" i="8" s="1"/>
  <c r="D47" i="8"/>
  <c r="AF47" i="8" s="1"/>
  <c r="D48" i="8"/>
  <c r="AF48" i="8" s="1"/>
  <c r="D49" i="8"/>
  <c r="AF49" i="8" s="1"/>
  <c r="D50" i="8"/>
  <c r="AF50" i="8" s="1"/>
  <c r="D51" i="8"/>
  <c r="AF51" i="8" s="1"/>
  <c r="D52" i="8"/>
  <c r="AF52" i="8" s="1"/>
  <c r="D53" i="8"/>
  <c r="AF53" i="8" s="1"/>
  <c r="D54" i="8"/>
  <c r="AF54" i="8" s="1"/>
  <c r="D55" i="8"/>
  <c r="AF55" i="8" s="1"/>
  <c r="D56" i="8"/>
  <c r="AF56" i="8" s="1"/>
  <c r="D57" i="8"/>
  <c r="AF57" i="8" s="1"/>
  <c r="D58" i="8"/>
  <c r="AF58" i="8" s="1"/>
  <c r="D59" i="8"/>
  <c r="AF59" i="8" s="1"/>
  <c r="D60" i="8"/>
  <c r="AF60" i="8" s="1"/>
  <c r="D61" i="8"/>
  <c r="AF61" i="8" s="1"/>
  <c r="D62" i="8"/>
  <c r="AF62" i="8" s="1"/>
  <c r="D63" i="8"/>
  <c r="AF63" i="8" s="1"/>
  <c r="D64" i="8"/>
  <c r="AF64" i="8" s="1"/>
  <c r="D65" i="8"/>
  <c r="AF65" i="8" s="1"/>
  <c r="D66" i="8"/>
  <c r="AF66" i="8" s="1"/>
  <c r="D67" i="8"/>
  <c r="AF67" i="8" s="1"/>
  <c r="D68" i="8"/>
  <c r="AF68" i="8" s="1"/>
  <c r="D69" i="8"/>
  <c r="AF69" i="8" s="1"/>
  <c r="D70" i="8"/>
  <c r="AF70" i="8" s="1"/>
  <c r="D71" i="8"/>
  <c r="AF71" i="8" s="1"/>
  <c r="D72" i="8"/>
  <c r="AF72" i="8" s="1"/>
  <c r="D73" i="8"/>
  <c r="AF73" i="8" s="1"/>
  <c r="D74" i="8"/>
  <c r="AF74" i="8" s="1"/>
  <c r="D75" i="8"/>
  <c r="AF75" i="8" s="1"/>
  <c r="D76" i="8"/>
  <c r="AF76" i="8" s="1"/>
  <c r="D77" i="8"/>
  <c r="AF77" i="8" s="1"/>
  <c r="D78" i="8"/>
  <c r="AF78" i="8" s="1"/>
  <c r="D79" i="8"/>
  <c r="AF79" i="8" s="1"/>
  <c r="D80" i="8"/>
  <c r="AF80" i="8" s="1"/>
  <c r="D81" i="8"/>
  <c r="AF81" i="8" s="1"/>
  <c r="D82" i="8"/>
  <c r="AF82" i="8" s="1"/>
  <c r="D83" i="8"/>
  <c r="AF83" i="8" s="1"/>
  <c r="D84" i="8"/>
  <c r="AF84" i="8" s="1"/>
  <c r="D85" i="8"/>
  <c r="AF85" i="8" s="1"/>
  <c r="D86" i="8"/>
  <c r="AF86" i="8" s="1"/>
  <c r="D87" i="8"/>
  <c r="AF87" i="8" s="1"/>
  <c r="D88" i="8"/>
  <c r="AF88" i="8" s="1"/>
  <c r="D89" i="8"/>
  <c r="AF89" i="8" s="1"/>
  <c r="D90" i="8"/>
  <c r="AF90" i="8" s="1"/>
  <c r="D91" i="8"/>
  <c r="AF91" i="8" s="1"/>
  <c r="D92" i="8"/>
  <c r="AF92" i="8" s="1"/>
  <c r="D93" i="8"/>
  <c r="AF93" i="8" s="1"/>
  <c r="D94" i="8"/>
  <c r="AF94" i="8" s="1"/>
  <c r="D95" i="8"/>
  <c r="AF95" i="8" s="1"/>
  <c r="D96" i="8"/>
  <c r="AF96" i="8" s="1"/>
  <c r="D97" i="8"/>
  <c r="AF97" i="8" s="1"/>
  <c r="D98" i="8"/>
  <c r="AF98" i="8" s="1"/>
  <c r="D99" i="8"/>
  <c r="AF99" i="8" s="1"/>
  <c r="D100" i="8"/>
  <c r="AF100" i="8" s="1"/>
  <c r="D101" i="8"/>
  <c r="AF101" i="8" s="1"/>
  <c r="D102" i="8"/>
  <c r="AF102" i="8" s="1"/>
  <c r="D103" i="8"/>
  <c r="AF103" i="8" s="1"/>
  <c r="D104" i="8"/>
  <c r="AF104" i="8" s="1"/>
  <c r="D105" i="8"/>
  <c r="AF105" i="8" s="1"/>
  <c r="D106" i="8"/>
  <c r="AF106" i="8" s="1"/>
  <c r="D107" i="8"/>
  <c r="AF107" i="8" s="1"/>
  <c r="D108" i="8"/>
  <c r="AF108" i="8" s="1"/>
  <c r="D109" i="8"/>
  <c r="AF109" i="8" s="1"/>
  <c r="D110" i="8"/>
  <c r="AF110" i="8" s="1"/>
  <c r="D111" i="8"/>
  <c r="AF111" i="8" s="1"/>
  <c r="D112" i="8"/>
  <c r="AF112" i="8" s="1"/>
  <c r="D113" i="8"/>
  <c r="AF113" i="8" s="1"/>
  <c r="D114" i="8"/>
  <c r="AF114" i="8" s="1"/>
  <c r="D115" i="8"/>
  <c r="AF115" i="8" s="1"/>
  <c r="D116" i="8"/>
  <c r="AF116" i="8" s="1"/>
  <c r="D117" i="8"/>
  <c r="AF117" i="8" s="1"/>
  <c r="D118" i="8"/>
  <c r="AF118" i="8" s="1"/>
  <c r="D119" i="8"/>
  <c r="AF119" i="8" s="1"/>
  <c r="D120" i="8"/>
  <c r="AF120" i="8" s="1"/>
  <c r="D121" i="8"/>
  <c r="AF121" i="8" s="1"/>
  <c r="D122" i="8"/>
  <c r="AF122" i="8" s="1"/>
  <c r="D123" i="8"/>
  <c r="AF123" i="8" s="1"/>
  <c r="D124" i="8"/>
  <c r="AF124" i="8" s="1"/>
  <c r="D125" i="8"/>
  <c r="AF125" i="8" s="1"/>
  <c r="D126" i="8"/>
  <c r="AF126" i="8" s="1"/>
  <c r="D127" i="8"/>
  <c r="AF127" i="8" s="1"/>
  <c r="D128" i="8"/>
  <c r="AF128" i="8" s="1"/>
  <c r="D129" i="8"/>
  <c r="AF129" i="8" s="1"/>
  <c r="D130" i="8"/>
  <c r="AF130" i="8" s="1"/>
  <c r="D131" i="8"/>
  <c r="AF131" i="8" s="1"/>
  <c r="D132" i="8"/>
  <c r="AF132" i="8" s="1"/>
  <c r="D133" i="8"/>
  <c r="AF133" i="8" s="1"/>
  <c r="D134" i="8"/>
  <c r="AF134" i="8" s="1"/>
  <c r="D135" i="8"/>
  <c r="AF135" i="8" s="1"/>
  <c r="D136" i="8"/>
  <c r="AF136" i="8" s="1"/>
  <c r="D137" i="8"/>
  <c r="AF137" i="8" s="1"/>
  <c r="D138" i="8"/>
  <c r="AF138" i="8" s="1"/>
  <c r="D139" i="8"/>
  <c r="AF139" i="8" s="1"/>
  <c r="D140" i="8"/>
  <c r="AF140" i="8" s="1"/>
  <c r="D141" i="8"/>
  <c r="AF141" i="8" s="1"/>
  <c r="D142" i="8"/>
  <c r="AF142" i="8" s="1"/>
  <c r="D143" i="8"/>
  <c r="AF143" i="8" s="1"/>
  <c r="D144" i="8"/>
  <c r="AF144" i="8" s="1"/>
  <c r="D145" i="8"/>
  <c r="AF145" i="8" s="1"/>
  <c r="D146" i="8"/>
  <c r="AF146" i="8" s="1"/>
  <c r="D147" i="8"/>
  <c r="AF147" i="8" s="1"/>
  <c r="D148" i="8"/>
  <c r="AF148" i="8" s="1"/>
  <c r="D149" i="8"/>
  <c r="AF149" i="8" s="1"/>
  <c r="D150" i="8"/>
  <c r="AF150" i="8" s="1"/>
  <c r="D151" i="8"/>
  <c r="AF151" i="8" s="1"/>
  <c r="D152" i="8"/>
  <c r="AF152" i="8" s="1"/>
  <c r="D153" i="8"/>
  <c r="AF153" i="8" s="1"/>
  <c r="D154" i="8"/>
  <c r="AF154" i="8" s="1"/>
  <c r="D155" i="8"/>
  <c r="AF155" i="8" s="1"/>
  <c r="D156" i="8"/>
  <c r="AF156" i="8" s="1"/>
  <c r="D157" i="8"/>
  <c r="AF157" i="8" s="1"/>
  <c r="D158" i="8"/>
  <c r="AF158" i="8" s="1"/>
  <c r="D159" i="8"/>
  <c r="AF159" i="8" s="1"/>
  <c r="D160" i="8"/>
  <c r="AF160" i="8" s="1"/>
  <c r="D161" i="8"/>
  <c r="AF161" i="8" s="1"/>
  <c r="D162" i="8"/>
  <c r="AF162" i="8" s="1"/>
  <c r="D163" i="8"/>
  <c r="AF163" i="8" s="1"/>
  <c r="D164" i="8"/>
  <c r="AF164" i="8" s="1"/>
  <c r="D165" i="8"/>
  <c r="AF165" i="8" s="1"/>
  <c r="D166" i="8"/>
  <c r="AF166" i="8" s="1"/>
  <c r="D167" i="8"/>
  <c r="AF167" i="8" s="1"/>
  <c r="D168" i="8"/>
  <c r="AF168" i="8" s="1"/>
  <c r="D169" i="8"/>
  <c r="AF169" i="8" s="1"/>
  <c r="D170" i="8"/>
  <c r="AF170" i="8" s="1"/>
  <c r="D171" i="8"/>
  <c r="AF171" i="8" s="1"/>
  <c r="D172" i="8"/>
  <c r="AF172" i="8" s="1"/>
  <c r="D173" i="8"/>
  <c r="AF173" i="8" s="1"/>
  <c r="D174" i="8"/>
  <c r="AF174" i="8" s="1"/>
  <c r="D175" i="8"/>
  <c r="AF175" i="8" s="1"/>
  <c r="D176" i="8"/>
  <c r="AF176" i="8" s="1"/>
  <c r="D177" i="8"/>
  <c r="AF177" i="8" s="1"/>
  <c r="D178" i="8"/>
  <c r="AF178" i="8" s="1"/>
  <c r="D179" i="8"/>
  <c r="AF179" i="8" s="1"/>
  <c r="D180" i="8"/>
  <c r="AF180" i="8" s="1"/>
  <c r="D181" i="8"/>
  <c r="AF181" i="8" s="1"/>
  <c r="D182" i="8"/>
  <c r="AF182" i="8" s="1"/>
  <c r="D183" i="8"/>
  <c r="AF183" i="8" s="1"/>
  <c r="D184" i="8"/>
  <c r="AF184" i="8" s="1"/>
  <c r="D185" i="8"/>
  <c r="AF185" i="8" s="1"/>
  <c r="D186" i="8"/>
  <c r="AF186" i="8" s="1"/>
  <c r="D187" i="8"/>
  <c r="AF187" i="8" s="1"/>
  <c r="D188" i="8"/>
  <c r="AF188" i="8" s="1"/>
  <c r="D189" i="8"/>
  <c r="AF189" i="8" s="1"/>
  <c r="D190" i="8"/>
  <c r="AF190" i="8" s="1"/>
  <c r="D191" i="8"/>
  <c r="AF191" i="8" s="1"/>
  <c r="D192" i="8"/>
  <c r="AF192" i="8" s="1"/>
  <c r="D193" i="8"/>
  <c r="AF193" i="8" s="1"/>
  <c r="D194" i="8"/>
  <c r="AF194" i="8" s="1"/>
  <c r="D195" i="8"/>
  <c r="AF195" i="8" s="1"/>
  <c r="D196" i="8"/>
  <c r="AF196" i="8" s="1"/>
  <c r="D197" i="8"/>
  <c r="AF197" i="8" s="1"/>
  <c r="D198" i="8"/>
  <c r="AF198" i="8" s="1"/>
  <c r="D199" i="8"/>
  <c r="AF199" i="8" s="1"/>
  <c r="D200" i="8"/>
  <c r="AF200" i="8" s="1"/>
  <c r="D201" i="8"/>
  <c r="AF201" i="8" s="1"/>
  <c r="D202" i="8"/>
  <c r="AF202" i="8" s="1"/>
  <c r="D203" i="8"/>
  <c r="AF203" i="8" s="1"/>
  <c r="D204" i="8"/>
  <c r="AF204" i="8" s="1"/>
  <c r="D205" i="8"/>
  <c r="AF205" i="8" s="1"/>
  <c r="D206" i="8"/>
  <c r="AF206" i="8" s="1"/>
  <c r="D207" i="8"/>
  <c r="AF207" i="8" s="1"/>
  <c r="D208" i="8"/>
  <c r="AF208" i="8" s="1"/>
  <c r="D209" i="8"/>
  <c r="AF209" i="8" s="1"/>
  <c r="D210" i="8"/>
  <c r="AF210" i="8" s="1"/>
  <c r="D211" i="8"/>
  <c r="AF211" i="8" s="1"/>
  <c r="D212" i="8"/>
  <c r="AF212" i="8" s="1"/>
  <c r="D213" i="8"/>
  <c r="AF213" i="8" s="1"/>
  <c r="D214" i="8"/>
  <c r="AF214" i="8" s="1"/>
  <c r="D215" i="8"/>
  <c r="AF215" i="8" s="1"/>
  <c r="D216" i="8"/>
  <c r="AF216" i="8" s="1"/>
  <c r="D217" i="8"/>
  <c r="AF217" i="8" s="1"/>
  <c r="D218" i="8"/>
  <c r="AF218" i="8" s="1"/>
  <c r="D219" i="8"/>
  <c r="AF219" i="8" s="1"/>
  <c r="D220" i="8"/>
  <c r="AF220" i="8" s="1"/>
  <c r="D221" i="8"/>
  <c r="AF221" i="8" s="1"/>
  <c r="D222" i="8"/>
  <c r="AF222" i="8" s="1"/>
  <c r="D223" i="8"/>
  <c r="AF223" i="8" s="1"/>
  <c r="D224" i="8"/>
  <c r="AF224" i="8" s="1"/>
  <c r="D225" i="8"/>
  <c r="AF225" i="8" s="1"/>
  <c r="D226" i="8"/>
  <c r="AF226" i="8" s="1"/>
  <c r="D227" i="8"/>
  <c r="AF227" i="8" s="1"/>
  <c r="D228" i="8"/>
  <c r="AF228" i="8" s="1"/>
  <c r="D229" i="8"/>
  <c r="AF229" i="8" s="1"/>
  <c r="D230" i="8"/>
  <c r="AF230" i="8" s="1"/>
  <c r="D231" i="8"/>
  <c r="AF231" i="8" s="1"/>
  <c r="D232" i="8"/>
  <c r="AF232" i="8" s="1"/>
  <c r="D233" i="8"/>
  <c r="AF233" i="8" s="1"/>
  <c r="D234" i="8"/>
  <c r="AF234" i="8" s="1"/>
  <c r="D235" i="8"/>
  <c r="AF235" i="8" s="1"/>
  <c r="D236" i="8"/>
  <c r="AF236" i="8" s="1"/>
  <c r="D237" i="8"/>
  <c r="AF237" i="8" s="1"/>
  <c r="D238" i="8"/>
  <c r="AF238" i="8" s="1"/>
  <c r="D239" i="8"/>
  <c r="AF239" i="8" s="1"/>
  <c r="D240" i="8"/>
  <c r="AF240" i="8" s="1"/>
  <c r="D241" i="8"/>
  <c r="AF241" i="8" s="1"/>
  <c r="D242" i="8"/>
  <c r="AF242" i="8" s="1"/>
  <c r="D243" i="8"/>
  <c r="AF243" i="8" s="1"/>
  <c r="D244" i="8"/>
  <c r="AF244" i="8" s="1"/>
  <c r="D245" i="8"/>
  <c r="AF245" i="8" s="1"/>
  <c r="D246" i="8"/>
  <c r="AF246" i="8" s="1"/>
  <c r="D247" i="8"/>
  <c r="AF247" i="8" s="1"/>
  <c r="D248" i="8"/>
  <c r="AF248" i="8" s="1"/>
  <c r="D249" i="8"/>
  <c r="AF249" i="8" s="1"/>
  <c r="D250" i="8"/>
  <c r="AF250" i="8" s="1"/>
  <c r="D251" i="8"/>
  <c r="AF251" i="8" s="1"/>
  <c r="D252" i="8"/>
  <c r="AF252" i="8" s="1"/>
  <c r="D253" i="8"/>
  <c r="AF253" i="8" s="1"/>
  <c r="D254" i="8"/>
  <c r="AF254" i="8" s="1"/>
  <c r="D255" i="8"/>
  <c r="AF255" i="8" s="1"/>
  <c r="D256" i="8"/>
  <c r="AF256" i="8" s="1"/>
  <c r="D257" i="8"/>
  <c r="AF257" i="8" s="1"/>
  <c r="D258" i="8"/>
  <c r="AF258" i="8" s="1"/>
  <c r="D259" i="8"/>
  <c r="AF259" i="8" s="1"/>
  <c r="D260" i="8"/>
  <c r="AF260" i="8" s="1"/>
  <c r="F260" i="8"/>
  <c r="P260" i="8"/>
  <c r="R260" i="8"/>
  <c r="S260" i="8"/>
  <c r="T260" i="8"/>
  <c r="U260" i="8"/>
  <c r="X260" i="8"/>
  <c r="Z260" i="8"/>
  <c r="AA260" i="8"/>
  <c r="AB260" i="8"/>
  <c r="AC260" i="8"/>
  <c r="AD260" i="8"/>
  <c r="AE260" i="8"/>
  <c r="D261" i="8"/>
  <c r="AF261" i="8" s="1"/>
  <c r="F261" i="8"/>
  <c r="P261" i="8"/>
  <c r="R261" i="8"/>
  <c r="S261" i="8"/>
  <c r="T261" i="8"/>
  <c r="U261" i="8"/>
  <c r="X261" i="8"/>
  <c r="Z261" i="8"/>
  <c r="AA261" i="8"/>
  <c r="AB261" i="8"/>
  <c r="AC261" i="8"/>
  <c r="AD261" i="8"/>
  <c r="AE261" i="8"/>
  <c r="D262" i="8"/>
  <c r="AF262" i="8" s="1"/>
  <c r="F262" i="8"/>
  <c r="P262" i="8"/>
  <c r="R262" i="8"/>
  <c r="S262" i="8"/>
  <c r="T262" i="8"/>
  <c r="U262" i="8"/>
  <c r="X262" i="8"/>
  <c r="Z262" i="8"/>
  <c r="AA262" i="8"/>
  <c r="AB262" i="8"/>
  <c r="AC262" i="8"/>
  <c r="AD262" i="8"/>
  <c r="AE262" i="8"/>
  <c r="D263" i="8"/>
  <c r="AF263" i="8" s="1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W263" i="8"/>
  <c r="X263" i="8"/>
  <c r="Y263" i="8"/>
  <c r="Z263" i="8"/>
  <c r="AA263" i="8"/>
  <c r="AB263" i="8"/>
  <c r="AC263" i="8"/>
  <c r="AD263" i="8"/>
  <c r="AE263" i="8"/>
  <c r="D264" i="8"/>
  <c r="AF264" i="8" s="1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W264" i="8"/>
  <c r="X264" i="8"/>
  <c r="Y264" i="8"/>
  <c r="Z264" i="8"/>
  <c r="AA264" i="8"/>
  <c r="AB264" i="8"/>
  <c r="AC264" i="8"/>
  <c r="AD264" i="8"/>
  <c r="AE264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W265" i="8"/>
  <c r="X265" i="8"/>
  <c r="Y265" i="8"/>
  <c r="Z265" i="8"/>
  <c r="AA265" i="8"/>
  <c r="AB265" i="8"/>
  <c r="AC265" i="8"/>
  <c r="AD265" i="8"/>
  <c r="AE265" i="8"/>
  <c r="AF265" i="8"/>
  <c r="D266" i="8"/>
  <c r="AF266" i="8" s="1"/>
  <c r="D267" i="8"/>
  <c r="AF267" i="8" s="1"/>
  <c r="D268" i="8"/>
  <c r="AF268" i="8" s="1"/>
  <c r="D269" i="8"/>
  <c r="AF269" i="8" s="1"/>
  <c r="D270" i="8"/>
  <c r="AF270" i="8" s="1"/>
  <c r="D271" i="8"/>
  <c r="AF271" i="8" s="1"/>
  <c r="D272" i="8"/>
  <c r="AF272" i="8"/>
  <c r="D273" i="8"/>
  <c r="AF273" i="8" s="1"/>
  <c r="D274" i="8"/>
  <c r="AF274" i="8" s="1"/>
  <c r="D275" i="8"/>
  <c r="AF275" i="8" s="1"/>
  <c r="D276" i="8"/>
  <c r="AF276" i="8" s="1"/>
  <c r="D277" i="8"/>
  <c r="AF277" i="8" s="1"/>
  <c r="D278" i="8"/>
  <c r="AF278" i="8" s="1"/>
  <c r="D279" i="8"/>
  <c r="AF279" i="8"/>
  <c r="D280" i="8"/>
  <c r="AF280" i="8"/>
  <c r="D281" i="8"/>
  <c r="AF281" i="8" s="1"/>
  <c r="D282" i="8"/>
  <c r="AF282" i="8" s="1"/>
  <c r="D283" i="8"/>
  <c r="AF283" i="8" s="1"/>
  <c r="D284" i="8"/>
  <c r="AF284" i="8" s="1"/>
  <c r="D285" i="8"/>
  <c r="AF285" i="8" s="1"/>
  <c r="D286" i="8"/>
  <c r="AF286" i="8" s="1"/>
  <c r="D287" i="8"/>
  <c r="AF287" i="8"/>
  <c r="D288" i="8"/>
  <c r="AF288" i="8" s="1"/>
  <c r="D289" i="8"/>
  <c r="AF289" i="8"/>
  <c r="D290" i="8"/>
  <c r="AF290" i="8" s="1"/>
  <c r="D291" i="8"/>
  <c r="AF291" i="8" s="1"/>
  <c r="D292" i="8"/>
  <c r="AF292" i="8" s="1"/>
  <c r="D293" i="8"/>
  <c r="AF293" i="8"/>
  <c r="D294" i="8"/>
  <c r="AF294" i="8" s="1"/>
  <c r="D295" i="8"/>
  <c r="AF295" i="8" s="1"/>
  <c r="D296" i="8"/>
  <c r="AF296" i="8"/>
  <c r="D297" i="8"/>
  <c r="AF297" i="8"/>
  <c r="D298" i="8"/>
  <c r="AF298" i="8" s="1"/>
  <c r="D299" i="8"/>
  <c r="AF299" i="8" s="1"/>
  <c r="D300" i="8"/>
  <c r="AF300" i="8"/>
  <c r="D301" i="8"/>
  <c r="AF301" i="8"/>
  <c r="D302" i="8"/>
  <c r="AF302" i="8" s="1"/>
  <c r="D303" i="8"/>
  <c r="AF303" i="8"/>
  <c r="D304" i="8"/>
  <c r="AF304" i="8"/>
  <c r="D305" i="8"/>
  <c r="AF305" i="8"/>
  <c r="D306" i="8"/>
  <c r="AF306" i="8" s="1"/>
  <c r="D307" i="8"/>
  <c r="AF307" i="8"/>
  <c r="D308" i="8"/>
  <c r="AF308" i="8"/>
  <c r="D309" i="8"/>
  <c r="AF309" i="8" s="1"/>
  <c r="D310" i="8"/>
  <c r="AF310" i="8" s="1"/>
  <c r="D311" i="8"/>
  <c r="AF311" i="8"/>
  <c r="D312" i="8"/>
  <c r="AF312" i="8"/>
  <c r="D313" i="8"/>
  <c r="AF313" i="8"/>
  <c r="D314" i="8"/>
  <c r="AF314" i="8" s="1"/>
  <c r="D315" i="8"/>
  <c r="AF315" i="8"/>
  <c r="D316" i="8"/>
  <c r="AF316" i="8" s="1"/>
  <c r="D317" i="8"/>
  <c r="AF317" i="8"/>
  <c r="D318" i="8"/>
  <c r="AF318" i="8" s="1"/>
  <c r="D319" i="8"/>
  <c r="AF319" i="8"/>
  <c r="D320" i="8"/>
  <c r="AF320" i="8"/>
  <c r="D321" i="8"/>
  <c r="AF321" i="8"/>
  <c r="D322" i="8"/>
  <c r="AF322" i="8" s="1"/>
  <c r="D323" i="8"/>
  <c r="AF323" i="8" s="1"/>
  <c r="D324" i="8"/>
  <c r="AF324" i="8"/>
  <c r="D325" i="8"/>
  <c r="AF325" i="8" s="1"/>
  <c r="D326" i="8"/>
  <c r="AF326" i="8" s="1"/>
  <c r="D327" i="8"/>
  <c r="AF327" i="8" s="1"/>
  <c r="D328" i="8"/>
  <c r="AF328" i="8"/>
  <c r="D329" i="8"/>
  <c r="AF329" i="8"/>
  <c r="D330" i="8"/>
  <c r="AF330" i="8" s="1"/>
  <c r="D331" i="8"/>
  <c r="AF331" i="8"/>
  <c r="D332" i="8"/>
  <c r="AF332" i="8" s="1"/>
  <c r="D333" i="8"/>
  <c r="AF333" i="8"/>
  <c r="D334" i="8"/>
  <c r="AF334" i="8" s="1"/>
  <c r="D335" i="8"/>
  <c r="AF335" i="8"/>
  <c r="D336" i="8"/>
  <c r="AF336" i="8"/>
  <c r="D337" i="8"/>
  <c r="AF337" i="8"/>
  <c r="D338" i="8"/>
  <c r="AF338" i="8" s="1"/>
  <c r="D339" i="8"/>
  <c r="AF339" i="8" s="1"/>
  <c r="D340" i="8"/>
  <c r="AF340" i="8"/>
  <c r="D341" i="8"/>
  <c r="AF341" i="8"/>
  <c r="D342" i="8"/>
  <c r="AF342" i="8" s="1"/>
  <c r="D343" i="8"/>
  <c r="AF343" i="8"/>
  <c r="D344" i="8"/>
  <c r="AF344" i="8"/>
  <c r="D345" i="8"/>
  <c r="AF345" i="8"/>
  <c r="D346" i="8"/>
  <c r="AF346" i="8" s="1"/>
  <c r="D347" i="8"/>
  <c r="AF347" i="8"/>
  <c r="D348" i="8"/>
  <c r="AF348" i="8"/>
  <c r="D349" i="8"/>
  <c r="AF349" i="8"/>
  <c r="D350" i="8"/>
  <c r="AF350" i="8" s="1"/>
  <c r="D351" i="8"/>
  <c r="AF351" i="8"/>
  <c r="D352" i="8"/>
  <c r="AF352" i="8"/>
  <c r="D353" i="8"/>
  <c r="AF353" i="8"/>
  <c r="D354" i="8"/>
  <c r="AF354" i="8" s="1"/>
  <c r="D355" i="8"/>
  <c r="AF355" i="8"/>
  <c r="D356" i="8"/>
  <c r="AF356" i="8"/>
  <c r="D357" i="8"/>
  <c r="AF357" i="8" s="1"/>
  <c r="D358" i="8"/>
  <c r="AF358" i="8" s="1"/>
  <c r="D359" i="8"/>
  <c r="AF359" i="8"/>
  <c r="D360" i="8"/>
  <c r="AF360" i="8"/>
  <c r="D361" i="8"/>
  <c r="AF361" i="8"/>
  <c r="D362" i="8"/>
  <c r="AF362" i="8" s="1"/>
  <c r="D363" i="8"/>
  <c r="AF363" i="8"/>
  <c r="D364" i="8"/>
  <c r="AF364" i="8" s="1"/>
  <c r="D365" i="8"/>
  <c r="AF365" i="8"/>
  <c r="D366" i="8"/>
  <c r="AF366" i="8" s="1"/>
  <c r="D367" i="8"/>
  <c r="AF367" i="8"/>
  <c r="D368" i="8"/>
  <c r="AF368" i="8"/>
  <c r="D369" i="8"/>
  <c r="AF369" i="8"/>
  <c r="D370" i="8"/>
  <c r="AF370" i="8" s="1"/>
  <c r="D371" i="8"/>
  <c r="AF371" i="8" s="1"/>
  <c r="D372" i="8"/>
  <c r="AF372" i="8"/>
  <c r="D373" i="8"/>
  <c r="AF373" i="8" s="1"/>
  <c r="Z5" i="15" l="1"/>
  <c r="Z6" i="15"/>
  <c r="Z7" i="15"/>
  <c r="Z8" i="15"/>
  <c r="Z9" i="15"/>
  <c r="Z10" i="15"/>
  <c r="Z11" i="15"/>
  <c r="Z12" i="15"/>
  <c r="Z13" i="15"/>
  <c r="Z14" i="15"/>
  <c r="Z4" i="15"/>
  <c r="X5" i="15"/>
  <c r="X6" i="15"/>
  <c r="X7" i="15"/>
  <c r="X8" i="15"/>
  <c r="X9" i="15"/>
  <c r="X10" i="15"/>
  <c r="X11" i="15"/>
  <c r="X12" i="15"/>
  <c r="X13" i="15"/>
  <c r="X14" i="15"/>
  <c r="X4" i="15"/>
  <c r="V5" i="15"/>
  <c r="V6" i="15"/>
  <c r="V7" i="15"/>
  <c r="V8" i="15"/>
  <c r="V9" i="15"/>
  <c r="V10" i="15"/>
  <c r="V11" i="15"/>
  <c r="V12" i="15"/>
  <c r="V13" i="15"/>
  <c r="V14" i="15"/>
  <c r="V4" i="15"/>
  <c r="Y15" i="15"/>
  <c r="Z15" i="15" s="1"/>
  <c r="W15" i="15"/>
  <c r="X15" i="15" s="1"/>
  <c r="U15" i="15"/>
  <c r="V15" i="15" s="1"/>
  <c r="N28" i="15"/>
  <c r="N18" i="15"/>
  <c r="N8" i="15"/>
  <c r="CG4" i="12" l="1"/>
  <c r="CG8" i="14"/>
  <c r="CG7" i="14"/>
  <c r="CG6" i="14"/>
  <c r="CG5" i="14"/>
  <c r="CG4" i="14"/>
  <c r="CA8" i="14"/>
  <c r="CA7" i="14"/>
  <c r="CA6" i="14"/>
  <c r="CA5" i="14"/>
  <c r="CA4" i="14"/>
  <c r="CA15" i="13"/>
  <c r="CA14" i="13"/>
  <c r="CA13" i="13"/>
  <c r="CA12" i="13"/>
  <c r="CA11" i="13"/>
  <c r="CA10" i="13"/>
  <c r="CA9" i="13"/>
  <c r="CA8" i="13"/>
  <c r="CA7" i="13"/>
  <c r="CA6" i="13"/>
  <c r="CA5" i="13"/>
  <c r="CA4" i="13"/>
  <c r="CA14" i="12"/>
  <c r="CA15" i="12"/>
  <c r="CA13" i="12"/>
  <c r="CA12" i="12"/>
  <c r="CA11" i="12"/>
  <c r="CA10" i="12"/>
  <c r="CA9" i="12"/>
  <c r="CA8" i="12"/>
  <c r="CA7" i="12"/>
  <c r="CA6" i="12"/>
  <c r="CA5" i="12"/>
  <c r="CA4" i="12"/>
  <c r="BR8" i="14"/>
  <c r="BR7" i="14"/>
  <c r="BR6" i="14"/>
  <c r="BR5" i="14"/>
  <c r="BR4" i="14"/>
  <c r="BR15" i="13"/>
  <c r="BR14" i="13"/>
  <c r="BR13" i="13"/>
  <c r="BR12" i="13"/>
  <c r="BR11" i="13"/>
  <c r="BR10" i="13"/>
  <c r="BR9" i="13"/>
  <c r="BR8" i="13"/>
  <c r="BR7" i="13"/>
  <c r="BR6" i="13"/>
  <c r="BR5" i="13"/>
  <c r="BR4" i="13"/>
  <c r="BR15" i="12"/>
  <c r="BR14" i="12"/>
  <c r="BR13" i="12"/>
  <c r="BR12" i="12"/>
  <c r="BR11" i="12"/>
  <c r="BR10" i="12"/>
  <c r="BR9" i="12"/>
  <c r="BR8" i="12"/>
  <c r="BR7" i="12"/>
  <c r="BR6" i="12"/>
  <c r="BR5" i="12"/>
  <c r="BR4" i="12"/>
  <c r="BK8" i="14"/>
  <c r="BK7" i="14"/>
  <c r="BK6" i="14"/>
  <c r="BK5" i="14"/>
  <c r="BK4" i="14"/>
  <c r="BK16" i="13"/>
  <c r="BK15" i="13"/>
  <c r="BK14" i="13"/>
  <c r="BK13" i="13"/>
  <c r="BK12" i="13"/>
  <c r="BK11" i="13"/>
  <c r="BK10" i="13"/>
  <c r="BK9" i="13"/>
  <c r="BK8" i="13"/>
  <c r="BK7" i="13"/>
  <c r="BK6" i="13"/>
  <c r="BK5" i="13"/>
  <c r="BK15" i="12"/>
  <c r="BK14" i="12"/>
  <c r="BK13" i="12"/>
  <c r="BK12" i="12"/>
  <c r="BK11" i="12"/>
  <c r="BK10" i="12"/>
  <c r="BK9" i="12"/>
  <c r="BK8" i="12"/>
  <c r="BK7" i="12"/>
  <c r="BK6" i="12"/>
  <c r="BK5" i="12"/>
  <c r="BK4" i="12"/>
  <c r="BB8" i="14"/>
  <c r="BB7" i="14"/>
  <c r="BB6" i="14"/>
  <c r="BB5" i="14"/>
  <c r="BB4" i="14"/>
  <c r="BB16" i="13"/>
  <c r="BB15" i="13"/>
  <c r="BB14" i="13"/>
  <c r="BB13" i="13"/>
  <c r="BB12" i="13"/>
  <c r="BB11" i="13"/>
  <c r="BB10" i="13"/>
  <c r="BB9" i="13"/>
  <c r="BB8" i="13"/>
  <c r="BB7" i="13"/>
  <c r="BB6" i="13"/>
  <c r="BB5" i="13"/>
  <c r="BB5" i="12"/>
  <c r="AF18" i="9" l="1"/>
  <c r="AF17" i="9"/>
  <c r="AF16" i="9"/>
  <c r="AF15" i="9"/>
  <c r="AF14" i="9"/>
  <c r="AF13" i="9"/>
  <c r="AF12" i="9"/>
  <c r="AF11" i="9"/>
  <c r="AF10" i="9"/>
  <c r="AF9" i="9"/>
  <c r="AF8" i="9"/>
  <c r="AF7" i="9"/>
  <c r="AF6" i="9"/>
  <c r="AF5" i="9"/>
  <c r="AF4" i="9"/>
  <c r="D15" i="8"/>
  <c r="AF15" i="8" s="1"/>
  <c r="D16" i="8"/>
  <c r="AF16" i="8" s="1"/>
  <c r="D17" i="8"/>
  <c r="AF17" i="8" s="1"/>
  <c r="D18" i="8"/>
  <c r="AF18" i="8" s="1"/>
  <c r="D3" i="8"/>
  <c r="AF3" i="8" s="1"/>
  <c r="D4" i="8"/>
  <c r="AF4" i="8" s="1"/>
  <c r="D5" i="8"/>
  <c r="AF5" i="8" s="1"/>
  <c r="D6" i="8"/>
  <c r="AF6" i="8" s="1"/>
  <c r="D7" i="8"/>
  <c r="AF7" i="8" s="1"/>
  <c r="D8" i="8"/>
  <c r="AF8" i="8" s="1"/>
  <c r="D9" i="8"/>
  <c r="AF9" i="8" s="1"/>
  <c r="D10" i="8"/>
  <c r="AF10" i="8" s="1"/>
  <c r="D11" i="8"/>
  <c r="AF11" i="8" s="1"/>
  <c r="D12" i="8"/>
  <c r="AF12" i="8" s="1"/>
  <c r="D13" i="8"/>
  <c r="AF13" i="8" s="1"/>
  <c r="D14" i="8"/>
  <c r="AF14" i="8" s="1"/>
  <c r="D19" i="8"/>
  <c r="AF19" i="8" s="1"/>
  <c r="D20" i="8"/>
  <c r="AF20" i="8" s="1"/>
  <c r="D21" i="8"/>
  <c r="AF21" i="8" s="1"/>
  <c r="D22" i="8"/>
  <c r="AF22" i="8" s="1"/>
  <c r="D23" i="8"/>
  <c r="AF23" i="8" s="1"/>
  <c r="D24" i="8"/>
  <c r="AF24" i="8" s="1"/>
  <c r="D25" i="8"/>
  <c r="AF25" i="8" s="1"/>
  <c r="D26" i="8"/>
  <c r="AF26" i="8" s="1"/>
  <c r="D27" i="8"/>
  <c r="AF27" i="8" s="1"/>
  <c r="D28" i="8"/>
  <c r="AF28" i="8" s="1"/>
  <c r="D2" i="8"/>
  <c r="AF2" i="8" s="1"/>
  <c r="O44" i="4"/>
  <c r="O45" i="4"/>
  <c r="O46" i="4"/>
  <c r="O47" i="4"/>
  <c r="O48" i="4"/>
  <c r="O49" i="4"/>
  <c r="O50" i="4"/>
  <c r="O51" i="4"/>
  <c r="O52" i="4"/>
  <c r="O53" i="4"/>
  <c r="O54" i="4"/>
  <c r="O43" i="4"/>
  <c r="S45" i="4" l="1"/>
  <c r="S46" i="4"/>
  <c r="S47" i="4"/>
  <c r="S48" i="4"/>
  <c r="S49" i="4"/>
  <c r="S50" i="4"/>
  <c r="S51" i="4"/>
  <c r="S52" i="4"/>
  <c r="S53" i="4"/>
  <c r="S54" i="4"/>
  <c r="S44" i="4"/>
  <c r="D55" i="4"/>
  <c r="E55" i="4"/>
  <c r="F55" i="4"/>
  <c r="G55" i="4"/>
  <c r="H55" i="4"/>
  <c r="I55" i="4"/>
  <c r="J55" i="4"/>
  <c r="K55" i="4"/>
  <c r="L55" i="4"/>
  <c r="M55" i="4"/>
  <c r="N55" i="4"/>
  <c r="C55" i="4"/>
  <c r="K10" i="3"/>
  <c r="K9" i="3"/>
  <c r="K8" i="3"/>
  <c r="K7" i="3"/>
  <c r="K6" i="3"/>
  <c r="K5" i="3"/>
  <c r="K4" i="3"/>
  <c r="D31" i="3"/>
  <c r="E31" i="3"/>
  <c r="F31" i="3"/>
  <c r="G31" i="3"/>
  <c r="H31" i="3"/>
  <c r="I31" i="3"/>
  <c r="C31" i="3"/>
  <c r="T264" i="1"/>
  <c r="T265" i="1"/>
  <c r="T263" i="1"/>
  <c r="T262" i="1"/>
  <c r="T261" i="1"/>
  <c r="T260" i="1"/>
  <c r="L9" i="3" l="1"/>
  <c r="L7" i="3"/>
  <c r="L8" i="3"/>
  <c r="L5" i="3"/>
  <c r="L6" i="3"/>
  <c r="L10" i="3"/>
  <c r="AD265" i="1"/>
  <c r="AC265" i="1"/>
  <c r="AB265" i="1"/>
  <c r="AA265" i="1"/>
  <c r="Z265" i="1"/>
  <c r="Y265" i="1"/>
  <c r="X265" i="1"/>
  <c r="W265" i="1"/>
  <c r="V265" i="1"/>
  <c r="S265" i="1"/>
  <c r="R265" i="1"/>
  <c r="Q265" i="1"/>
  <c r="P265" i="1"/>
  <c r="O265" i="1"/>
  <c r="N265" i="1"/>
  <c r="M265" i="1"/>
  <c r="L265" i="1"/>
  <c r="K265" i="1"/>
  <c r="J265" i="1"/>
  <c r="I265" i="1"/>
  <c r="H265" i="1"/>
  <c r="G265" i="1"/>
  <c r="F265" i="1"/>
  <c r="E265" i="1"/>
  <c r="D265" i="1"/>
  <c r="AD264" i="1"/>
  <c r="AC264" i="1"/>
  <c r="AB264" i="1"/>
  <c r="AA264" i="1"/>
  <c r="Z264" i="1"/>
  <c r="Y264" i="1"/>
  <c r="X264" i="1"/>
  <c r="W264" i="1"/>
  <c r="V264" i="1"/>
  <c r="S264" i="1"/>
  <c r="R264" i="1"/>
  <c r="Q264" i="1"/>
  <c r="P264" i="1"/>
  <c r="O264" i="1"/>
  <c r="N264" i="1"/>
  <c r="M264" i="1"/>
  <c r="L264" i="1"/>
  <c r="K264" i="1"/>
  <c r="J264" i="1"/>
  <c r="I264" i="1"/>
  <c r="H264" i="1"/>
  <c r="G264" i="1"/>
  <c r="F264" i="1"/>
  <c r="E264" i="1"/>
  <c r="D264" i="1"/>
  <c r="AD263" i="1"/>
  <c r="AC263" i="1"/>
  <c r="AB263" i="1"/>
  <c r="AA263" i="1"/>
  <c r="Z263" i="1"/>
  <c r="Y263" i="1"/>
  <c r="X263" i="1"/>
  <c r="W263" i="1"/>
  <c r="V263" i="1"/>
  <c r="S263" i="1"/>
  <c r="R263" i="1"/>
  <c r="Q263" i="1"/>
  <c r="P263" i="1"/>
  <c r="O263" i="1"/>
  <c r="N263" i="1"/>
  <c r="M263" i="1"/>
  <c r="L263" i="1"/>
  <c r="K263" i="1"/>
  <c r="J263" i="1"/>
  <c r="I263" i="1"/>
  <c r="H263" i="1"/>
  <c r="G263" i="1"/>
  <c r="F263" i="1"/>
  <c r="E263" i="1"/>
  <c r="D263" i="1"/>
  <c r="AD262" i="1"/>
  <c r="AC262" i="1"/>
  <c r="AB262" i="1"/>
  <c r="AA262" i="1"/>
  <c r="Z262" i="1"/>
  <c r="Y262" i="1"/>
  <c r="W262" i="1"/>
  <c r="S262" i="1"/>
  <c r="R262" i="1"/>
  <c r="Q262" i="1"/>
  <c r="O262" i="1"/>
  <c r="E262" i="1"/>
  <c r="AD261" i="1"/>
  <c r="AC261" i="1"/>
  <c r="AB261" i="1"/>
  <c r="AA261" i="1"/>
  <c r="Z261" i="1"/>
  <c r="Y261" i="1"/>
  <c r="W261" i="1"/>
  <c r="S261" i="1"/>
  <c r="R261" i="1"/>
  <c r="Q261" i="1"/>
  <c r="O261" i="1"/>
  <c r="E261" i="1"/>
  <c r="AD260" i="1"/>
  <c r="AC260" i="1"/>
  <c r="AB260" i="1"/>
  <c r="AA260" i="1"/>
  <c r="Z260" i="1"/>
  <c r="Y260" i="1"/>
  <c r="W260" i="1"/>
  <c r="S260" i="1"/>
  <c r="R260" i="1"/>
  <c r="Q260" i="1"/>
  <c r="O260" i="1"/>
  <c r="E260" i="1"/>
</calcChain>
</file>

<file path=xl/sharedStrings.xml><?xml version="1.0" encoding="utf-8"?>
<sst xmlns="http://schemas.openxmlformats.org/spreadsheetml/2006/main" count="3374" uniqueCount="239">
  <si>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</si>
  <si>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</si>
  <si>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</si>
  <si>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</si>
  <si>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</si>
  <si>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</si>
  <si>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</si>
  <si>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</si>
  <si>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</si>
  <si>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</si>
  <si>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</si>
  <si>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</si>
  <si>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</si>
  <si>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</si>
  <si>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</si>
  <si>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</si>
  <si>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</si>
  <si>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</si>
  <si>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</si>
  <si>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</si>
  <si>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</si>
  <si>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</si>
  <si>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</si>
  <si>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</si>
  <si>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</si>
  <si>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</si>
  <si>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</si>
  <si>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</si>
  <si>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</si>
  <si>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</si>
  <si>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</si>
  <si>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</si>
  <si>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</si>
  <si>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</si>
  <si>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</si>
  <si>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</si>
  <si>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</si>
  <si>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</si>
  <si>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</si>
  <si>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</si>
  <si>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</si>
  <si>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</si>
  <si>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</si>
  <si>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</si>
  <si>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</si>
  <si>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food</t>
  </si>
  <si>
    <t>Sub categories</t>
  </si>
  <si>
    <t>Category</t>
  </si>
  <si>
    <t>luxury</t>
  </si>
  <si>
    <t>misc</t>
  </si>
  <si>
    <t>Row Labels</t>
  </si>
  <si>
    <t>Grand Total</t>
  </si>
  <si>
    <t>Total</t>
  </si>
  <si>
    <t>Based on latest month data (May'23)</t>
  </si>
  <si>
    <t>category</t>
  </si>
  <si>
    <t>sub categories</t>
  </si>
  <si>
    <t>Rural + Urban</t>
  </si>
  <si>
    <t>2017</t>
  </si>
  <si>
    <t>2018</t>
  </si>
  <si>
    <t>2019</t>
  </si>
  <si>
    <t>2020</t>
  </si>
  <si>
    <t>2021</t>
  </si>
  <si>
    <t>2022</t>
  </si>
  <si>
    <t>2023</t>
  </si>
  <si>
    <t>Category Total</t>
  </si>
  <si>
    <t>Year</t>
  </si>
  <si>
    <t>Y-o-Y% Change</t>
  </si>
  <si>
    <t>2017-2018</t>
  </si>
  <si>
    <t>2018-2019</t>
  </si>
  <si>
    <t>2019-2020</t>
  </si>
  <si>
    <t>2020-2021</t>
  </si>
  <si>
    <t>2021-2022</t>
  </si>
  <si>
    <t>2022-2023</t>
  </si>
  <si>
    <t>June'22</t>
  </si>
  <si>
    <t>July'22</t>
  </si>
  <si>
    <t>August'22</t>
  </si>
  <si>
    <t>September'22</t>
  </si>
  <si>
    <t>October'22</t>
  </si>
  <si>
    <t>November'22</t>
  </si>
  <si>
    <t>December'22</t>
  </si>
  <si>
    <t>January'23</t>
  </si>
  <si>
    <t>February'23</t>
  </si>
  <si>
    <t>March'23</t>
  </si>
  <si>
    <t>April'23</t>
  </si>
  <si>
    <t>May'23</t>
  </si>
  <si>
    <t>M-o-M% Change</t>
  </si>
  <si>
    <t>June'22-July'22</t>
  </si>
  <si>
    <t>July'22-August'22</t>
  </si>
  <si>
    <t>August'22-September'22</t>
  </si>
  <si>
    <t>September'22-October'22</t>
  </si>
  <si>
    <t>October'22-November'22</t>
  </si>
  <si>
    <t>November'22-December'22</t>
  </si>
  <si>
    <t>December'22-January'23</t>
  </si>
  <si>
    <t>January'23-February'23</t>
  </si>
  <si>
    <t>February'23-March'23</t>
  </si>
  <si>
    <t>March'23-April'23</t>
  </si>
  <si>
    <t>April'23-May'23</t>
  </si>
  <si>
    <t>M-on-M% Change</t>
  </si>
  <si>
    <t>Jun'22-July'22</t>
  </si>
  <si>
    <t>Jun'22</t>
  </si>
  <si>
    <t>July'22-Aug'22</t>
  </si>
  <si>
    <t>Aug'22-Sept'22</t>
  </si>
  <si>
    <t>Sept'22-Oct'22</t>
  </si>
  <si>
    <t>Oct'22-Nov'22</t>
  </si>
  <si>
    <t>Nov'22-Dec'22</t>
  </si>
  <si>
    <t>Dec'22-Jan'23</t>
  </si>
  <si>
    <t>Jan'23-Feb'23</t>
  </si>
  <si>
    <t>Mar'23-Apr'23</t>
  </si>
  <si>
    <t>Feb'23-Mar'23</t>
  </si>
  <si>
    <t>Apr'23-May'23</t>
  </si>
  <si>
    <t>Total as per sub-categories</t>
  </si>
  <si>
    <t>era</t>
  </si>
  <si>
    <t>mon</t>
  </si>
  <si>
    <t>Post Covid</t>
  </si>
  <si>
    <t>essential services</t>
  </si>
  <si>
    <t>health care</t>
  </si>
  <si>
    <t>pre covid total</t>
  </si>
  <si>
    <t>post covid total</t>
  </si>
  <si>
    <t>Pre Covid CPI India</t>
  </si>
  <si>
    <t>Post Covid CPI India</t>
  </si>
  <si>
    <t>Month</t>
  </si>
  <si>
    <t>Nov'19</t>
  </si>
  <si>
    <t>Dec'19</t>
  </si>
  <si>
    <t>Jan'20</t>
  </si>
  <si>
    <t>Feb'20</t>
  </si>
  <si>
    <t>Mar'20</t>
  </si>
  <si>
    <t>Apr'20</t>
  </si>
  <si>
    <t>May'20</t>
  </si>
  <si>
    <t>Jun'20</t>
  </si>
  <si>
    <t>Jul'20</t>
  </si>
  <si>
    <t>Aug'20</t>
  </si>
  <si>
    <t>Sept'20</t>
  </si>
  <si>
    <t>Oct'20</t>
  </si>
  <si>
    <t>Sum of pre covid total</t>
  </si>
  <si>
    <t>Sum of post covid total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</si>
  <si>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</si>
  <si>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</si>
  <si>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</si>
  <si>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</si>
  <si>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</si>
  <si>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</si>
  <si>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</si>
  <si>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</si>
  <si>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</si>
  <si>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</si>
  <si>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</si>
  <si>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</si>
  <si>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TOTAL</t>
  </si>
  <si>
    <t>IMPORT^</t>
  </si>
  <si>
    <t xml:space="preserve"> CRUDE OIL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</si>
  <si>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</si>
  <si>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</si>
  <si>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</si>
  <si>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</si>
  <si>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</si>
  <si>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</si>
  <si>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</si>
  <si>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</si>
  <si>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</si>
  <si>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</si>
  <si>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</si>
  <si>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</si>
  <si>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21 M-o-M% Change</t>
  </si>
  <si>
    <t>23 M-o-M% Change</t>
  </si>
  <si>
    <t>22 M-o-M% Change</t>
  </si>
  <si>
    <t>2021 M-o-M% Change</t>
  </si>
  <si>
    <t>2023 M-o-M% Change</t>
  </si>
  <si>
    <t>Sub Categories</t>
  </si>
  <si>
    <t>Absolute % change is = 0.78% - 0.18% = 0.60%  and the biggest contributor food category towards inflation is "meat and fish"</t>
  </si>
  <si>
    <t>2021 Food</t>
  </si>
  <si>
    <t>2021 luxury</t>
  </si>
  <si>
    <t>2021 clothing &amp; footwear</t>
  </si>
  <si>
    <t>2021 essential services</t>
  </si>
  <si>
    <t>2021 healthcare</t>
  </si>
  <si>
    <t>2021 misc</t>
  </si>
  <si>
    <t>2022 Food</t>
  </si>
  <si>
    <t>2022 luxury</t>
  </si>
  <si>
    <t>2022 clothing &amp; footwear</t>
  </si>
  <si>
    <t>2022 essential services</t>
  </si>
  <si>
    <t>2022 healthcare</t>
  </si>
  <si>
    <t>2022 misc</t>
  </si>
  <si>
    <t>2023 Food</t>
  </si>
  <si>
    <t>2023 misc</t>
  </si>
  <si>
    <t>2023 healthcare</t>
  </si>
  <si>
    <t>2023 essential services</t>
  </si>
  <si>
    <t>2023 clothing &amp; footwear</t>
  </si>
  <si>
    <t>2023 luxury</t>
  </si>
  <si>
    <t>Trend</t>
  </si>
  <si>
    <t>2021 Trend</t>
  </si>
  <si>
    <t>2022 Trend</t>
  </si>
  <si>
    <t>2023 Trend</t>
  </si>
  <si>
    <t>(` Crore Rs.)</t>
  </si>
  <si>
    <t>Total Sum</t>
  </si>
  <si>
    <t>Total Contribution</t>
  </si>
  <si>
    <t>Y-on-Y% Change</t>
  </si>
  <si>
    <t>June'22 to May'23</t>
  </si>
  <si>
    <t>M-on-M food% change</t>
  </si>
  <si>
    <t>M-on-M health care% change</t>
  </si>
  <si>
    <t>M-on-M essential services% change</t>
  </si>
  <si>
    <t>food M-on-M change</t>
  </si>
  <si>
    <t>health care M-o-M change</t>
  </si>
  <si>
    <t>essential services M-o-M change</t>
  </si>
  <si>
    <t>2022 M-o-M% Change</t>
  </si>
  <si>
    <t>Import of Crude oil (2021)</t>
  </si>
  <si>
    <t>Import of Crude oil (2023)</t>
  </si>
  <si>
    <t>Import of Crude oil (2022)</t>
  </si>
  <si>
    <r>
      <t xml:space="preserve">Crude Oil Import Data for year 2021-2023 </t>
    </r>
    <r>
      <rPr>
        <b/>
        <i/>
        <sz val="22"/>
        <color theme="1"/>
        <rFont val="Calibri"/>
        <family val="2"/>
        <scheme val="minor"/>
      </rPr>
      <t>(in Crore Rs.)</t>
    </r>
  </si>
  <si>
    <t>Category correlation with crude oil</t>
  </si>
  <si>
    <t>IMPORT</t>
  </si>
  <si>
    <t>jan-feb</t>
  </si>
  <si>
    <t>feb-mar</t>
  </si>
  <si>
    <t>mar-apr</t>
  </si>
  <si>
    <t>apr-may</t>
  </si>
  <si>
    <t>may-jun</t>
  </si>
  <si>
    <t>jun-jul</t>
  </si>
  <si>
    <t>jul-aug</t>
  </si>
  <si>
    <t>aug-sept</t>
  </si>
  <si>
    <t>sept-oct</t>
  </si>
  <si>
    <t>oct-nov</t>
  </si>
  <si>
    <t>nov-dec</t>
  </si>
  <si>
    <t>dec'19-jan'20</t>
  </si>
  <si>
    <t>jan'20-feb'20</t>
  </si>
  <si>
    <t>feb'20-mar'20</t>
  </si>
  <si>
    <t>mar'20-apr'20</t>
  </si>
  <si>
    <t>apr'20-may'20</t>
  </si>
  <si>
    <t>may'20-jun'20</t>
  </si>
  <si>
    <t>jun'20-jul'20</t>
  </si>
  <si>
    <t>jul'20-aug'20</t>
  </si>
  <si>
    <t>aug'20-sept'20</t>
  </si>
  <si>
    <t>sept'20-oct'20</t>
  </si>
  <si>
    <t>oct'20-nov'20</t>
  </si>
  <si>
    <t xml:space="preserve">Food category </t>
  </si>
  <si>
    <t xml:space="preserve">Luxury category </t>
  </si>
  <si>
    <t xml:space="preserve">Clothing &amp; Footwear category </t>
  </si>
  <si>
    <t xml:space="preserve">Essential Services category </t>
  </si>
  <si>
    <t xml:space="preserve">Health Care category </t>
  </si>
  <si>
    <t xml:space="preserve">Misc category </t>
  </si>
  <si>
    <r>
      <rPr>
        <u/>
        <sz val="14"/>
        <color theme="1"/>
        <rFont val="Calibri"/>
        <family val="2"/>
        <scheme val="minor"/>
      </rPr>
      <t>Source:</t>
    </r>
    <r>
      <rPr>
        <u/>
        <sz val="14"/>
        <color theme="10"/>
        <rFont val="Calibri"/>
        <family val="2"/>
        <scheme val="minor"/>
      </rPr>
      <t xml:space="preserve"> https://ppac.gov.in/import-export/history</t>
    </r>
  </si>
  <si>
    <t>Source:-  https://ppac.gov.in/import-export/history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</si>
</sst>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1" formatCode="_ * #,##0_ ;_ * \-#,##0_ ;_ * &quot;-&quot;_ ;_ @_ "/>
    <numFmt numFmtId="43" formatCode="_ * #,##0.00_ ;_ * \-#,##0.00_ ;_ * &quot;-&quot;??_ ;_ @_ "/>
    <numFmt numFmtId="164" formatCode="0.0%"/>
    <numFmt numFmtId="165" formatCode="0.0"/>
    <numFmt numFmtId="166" formatCode="_-* #,##0_-;\-* #,##0_-;_-* &quot;-&quot;_-;_-@_-"/>
    <numFmt numFmtId="167" formatCode="_-* #,##0.00_-;\-* #,##0.00_-;_-* &quot;-&quot;??_-;_-@_-"/>
    <numFmt numFmtId="168" formatCode="_ &quot;\&quot;* #,##0_ ;_ &quot;\&quot;* \-#,##0_ ;_ &quot;\&quot;* &quot;-&quot;_ ;_ @_ "/>
    <numFmt numFmtId="169" formatCode="_ &quot;\&quot;* #,##0.00_ ;_ &quot;\&quot;* \-#,##0.00_ ;_ &quot;\&quot;* &quot;-&quot;??_ ;_ @_ "/>
    <numFmt numFmtId="170" formatCode="#,##0.00&quot; F&quot;_);[Red]\(#,##0.00&quot; F&quot;\)"/>
    <numFmt numFmtId="171" formatCode="0.0000_}"/>
    <numFmt numFmtId="172" formatCode="_-* #,##0.00\ _D_M_-;\-* #,##0.00\ _D_M_-;_-* &quot;-&quot;??\ _D_M_-;_-@_-"/>
    <numFmt numFmtId="173" formatCode="&quot;$&quot;#,##0\ ;\(&quot;$&quot;#,##0\)"/>
    <numFmt numFmtId="174" formatCode="0.00_)"/>
    <numFmt numFmtId="175" formatCode="0.00_);[Red]\(0.00\)"/>
    <numFmt numFmtId="176" formatCode="&quot;Rs.&quot;#,##0.00;[Red]\-&quot;Rs.&quot;#,##0.00"/>
    <numFmt numFmtId="177" formatCode="_-&quot;Rs.&quot;* #,##0_-;\-&quot;Rs.&quot;* #,##0_-;_-&quot;Rs.&quot;* &quot;-&quot;_-;_-@_-"/>
    <numFmt numFmtId="178" formatCode="_(&quot;Rs.&quot;* #,##0.00_);_(&quot;Rs.&quot;* \(#,##0.00\);_(&quot;Rs.&quot;* &quot;-&quot;??_);_(@_)"/>
    <numFmt numFmtId="179" formatCode="_-&quot;Rs.&quot;* #,##0.00_-;\-&quot;Rs.&quot;* #,##0.00_-;_-&quot;Rs.&quot;* &quot;-&quot;??_-;_-@_-"/>
    <numFmt numFmtId="180" formatCode="mm/dd/yy"/>
    <numFmt numFmtId="181" formatCode="&quot;Rs.&quot;#,##0.00;\-&quot;Rs.&quot;#,##0.00"/>
    <numFmt numFmtId="182" formatCode="&quot;Rs.&quot;#,##0;\-&quot;Rs.&quot;#,##0"/>
    <numFmt numFmtId="183" formatCode="&quot;Rs.&quot;#,##0;[Red]\-&quot;Rs.&quot;#,##0"/>
  </numFmts>
  <fonts count="114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0"/>
      <name val="Arial"/>
      <family val="2"/>
    </font>
    <font>
      <b/>
      <i/>
      <sz val="11"/>
      <name val="Times New Roman"/>
      <family val="1"/>
    </font>
    <font>
      <b/>
      <sz val="14"/>
      <name val="Times New Roman"/>
      <family val="1"/>
    </font>
    <font>
      <sz val="12"/>
      <name val="Arial"/>
      <family val="2"/>
    </font>
    <font>
      <sz val="8"/>
      <name val="Arial"/>
      <family val="2"/>
    </font>
    <font>
      <b/>
      <sz val="12"/>
      <color theme="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1"/>
      <color rgb="FFC00000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0"/>
      <color indexed="36"/>
      <name val="Arial"/>
      <family val="2"/>
    </font>
    <font>
      <sz val="12"/>
      <name val="¾©"/>
      <family val="3"/>
      <charset val="129"/>
    </font>
    <font>
      <sz val="12"/>
      <name val="¹ÙÅÁÃ¼"/>
      <family val="1"/>
      <charset val="129"/>
    </font>
    <font>
      <sz val="10"/>
      <color indexed="8"/>
      <name val="Calibri"/>
      <family val="2"/>
    </font>
    <font>
      <sz val="10"/>
      <color indexed="9"/>
      <name val="Calibri"/>
      <family val="2"/>
    </font>
    <font>
      <sz val="10"/>
      <color indexed="20"/>
      <name val="Calibri"/>
      <family val="2"/>
    </font>
    <font>
      <sz val="11"/>
      <color indexed="37"/>
      <name val="Calibri"/>
      <family val="2"/>
    </font>
    <font>
      <b/>
      <sz val="18"/>
      <color indexed="8"/>
      <name val="Footlight MT Light"/>
      <family val="1"/>
    </font>
    <font>
      <sz val="12"/>
      <name val="±¼¸²Ã¼"/>
      <family val="3"/>
      <charset val="129"/>
    </font>
    <font>
      <sz val="10"/>
      <color indexed="8"/>
      <name val="Arial"/>
      <family val="2"/>
    </font>
    <font>
      <b/>
      <sz val="10"/>
      <color indexed="52"/>
      <name val="Calibri"/>
      <family val="2"/>
    </font>
    <font>
      <b/>
      <sz val="11"/>
      <color indexed="17"/>
      <name val="Calibri"/>
      <family val="2"/>
    </font>
    <font>
      <b/>
      <sz val="10"/>
      <color indexed="9"/>
      <name val="Calibri"/>
      <family val="2"/>
    </font>
    <font>
      <u/>
      <sz val="10"/>
      <color indexed="12"/>
      <name val="Arial"/>
      <family val="2"/>
    </font>
    <font>
      <sz val="9"/>
      <name val="Times New Roman"/>
      <family val="1"/>
    </font>
    <font>
      <sz val="12"/>
      <color indexed="8"/>
      <name val="Arial"/>
      <family val="2"/>
    </font>
    <font>
      <sz val="10"/>
      <color indexed="8"/>
      <name val="Antique Olive"/>
      <family val="2"/>
    </font>
    <font>
      <sz val="10"/>
      <name val="Tahoma"/>
      <family val="2"/>
    </font>
    <font>
      <sz val="10"/>
      <color indexed="24"/>
      <name val="Arial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i/>
      <sz val="10"/>
      <color indexed="23"/>
      <name val="Calibri"/>
      <family val="2"/>
    </font>
    <font>
      <sz val="16"/>
      <color indexed="8"/>
      <name val="Footlight MT Light"/>
      <family val="1"/>
    </font>
    <font>
      <sz val="10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u/>
      <sz val="7.5"/>
      <color indexed="12"/>
      <name val="Antique Olive"/>
      <family val="2"/>
    </font>
    <font>
      <sz val="10"/>
      <color indexed="62"/>
      <name val="Calibri"/>
      <family val="2"/>
    </font>
    <font>
      <sz val="11"/>
      <color indexed="48"/>
      <name val="Calibri"/>
      <family val="2"/>
    </font>
    <font>
      <sz val="16"/>
      <name val="Times New Roman"/>
      <family val="1"/>
    </font>
    <font>
      <sz val="10"/>
      <color indexed="52"/>
      <name val="Calibri"/>
      <family val="2"/>
    </font>
    <font>
      <b/>
      <sz val="9"/>
      <name val="Helv"/>
    </font>
    <font>
      <b/>
      <sz val="10"/>
      <color indexed="8"/>
      <name val="Antique Olive"/>
      <family val="2"/>
    </font>
    <font>
      <sz val="10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b/>
      <sz val="10"/>
      <color indexed="63"/>
      <name val="Calibri"/>
      <family val="2"/>
    </font>
    <font>
      <sz val="10"/>
      <name val="Courier"/>
      <family val="3"/>
    </font>
    <font>
      <sz val="8"/>
      <name val="Helv"/>
    </font>
    <font>
      <b/>
      <sz val="8"/>
      <color indexed="8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sz val="19"/>
      <name val="Arial"/>
      <family val="2"/>
    </font>
    <font>
      <sz val="8"/>
      <color indexed="14"/>
      <name val="Arial"/>
      <family val="2"/>
    </font>
    <font>
      <b/>
      <sz val="18"/>
      <color indexed="62"/>
      <name val="Cambria"/>
      <family val="2"/>
    </font>
    <font>
      <b/>
      <sz val="12"/>
      <name val="MS Sans Serif"/>
      <family val="2"/>
    </font>
    <font>
      <sz val="12"/>
      <name val="MS Sans Serif"/>
      <family val="2"/>
    </font>
    <font>
      <b/>
      <sz val="8"/>
      <color indexed="8"/>
      <name val="Helv"/>
    </font>
    <font>
      <sz val="10"/>
      <color indexed="12"/>
      <name val="Arial"/>
      <family val="2"/>
    </font>
    <font>
      <sz val="10"/>
      <color indexed="10"/>
      <name val="Calibri"/>
      <family val="2"/>
    </font>
    <font>
      <sz val="11"/>
      <color indexed="14"/>
      <name val="Calibri"/>
      <family val="2"/>
    </font>
    <font>
      <sz val="12"/>
      <color theme="1"/>
      <name val="Arial"/>
      <family val="2"/>
    </font>
    <font>
      <sz val="12"/>
      <color theme="1"/>
      <name val="Tahoma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i/>
      <sz val="22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u/>
      <sz val="14"/>
      <color theme="1"/>
      <name val="Calibri"/>
      <family val="2"/>
      <scheme val="minor"/>
    </font>
    <font>
      <u/>
      <sz val="32"/>
      <color rgb="FF002060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92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22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36"/>
      </patternFill>
    </fill>
    <fill>
      <patternFill patternType="solid">
        <fgColor indexed="55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48"/>
        <bgColor indexed="48"/>
      </patternFill>
    </fill>
    <fill>
      <patternFill patternType="solid">
        <fgColor indexed="10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25"/>
        <bgColor indexed="25"/>
      </patternFill>
    </fill>
    <fill>
      <patternFill patternType="solid">
        <fgColor indexed="57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7"/>
        <bgColor indexed="57"/>
      </patternFill>
    </fill>
    <fill>
      <patternFill patternType="solid">
        <fgColor indexed="55"/>
        <bgColor indexed="55"/>
      </patternFill>
    </fill>
    <fill>
      <patternFill patternType="solid">
        <fgColor indexed="54"/>
      </patternFill>
    </fill>
    <fill>
      <patternFill patternType="solid">
        <fgColor indexed="18"/>
        <bgColor indexed="18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53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53"/>
        <bgColor indexed="53"/>
      </patternFill>
    </fill>
    <fill>
      <patternFill patternType="solid">
        <fgColor indexed="35"/>
        <bgColor indexed="35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0"/>
      </patternFill>
    </fill>
    <fill>
      <patternFill patternType="solid">
        <fgColor indexed="43"/>
        <bgColor indexed="64"/>
      </patternFill>
    </fill>
    <fill>
      <patternFill patternType="solid">
        <fgColor indexed="12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0"/>
      </patternFill>
    </fill>
    <fill>
      <patternFill patternType="solid">
        <fgColor indexed="41"/>
      </patternFill>
    </fill>
    <fill>
      <patternFill patternType="solid">
        <fgColor indexed="23"/>
      </patternFill>
    </fill>
    <fill>
      <patternFill patternType="solid">
        <fgColor indexed="9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solid">
        <fgColor indexed="9"/>
        <bgColor indexed="9"/>
      </patternFill>
    </fill>
    <fill>
      <patternFill patternType="solid">
        <fgColor rgb="FFFED2D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thin">
        <color indexed="8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58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7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</borders>
  <cellStyleXfs count="749">
    <xf numFmtId="0" fontId="0" fillId="0" borderId="0"/>
    <xf numFmtId="9" fontId="3" fillId="0" borderId="0" applyFont="0" applyFill="0" applyBorder="0" applyAlignment="0" applyProtection="0"/>
    <xf numFmtId="0" fontId="19" fillId="0" borderId="0"/>
    <xf numFmtId="0" fontId="22" fillId="0" borderId="0"/>
    <xf numFmtId="0" fontId="23" fillId="0" borderId="0"/>
    <xf numFmtId="0" fontId="52" fillId="0" borderId="0" applyNumberFormat="0" applyFill="0" applyBorder="0" applyAlignment="0" applyProtection="0">
      <alignment vertical="top"/>
      <protection locked="0"/>
    </xf>
    <xf numFmtId="0" fontId="53" fillId="0" borderId="0"/>
    <xf numFmtId="9" fontId="54" fillId="0" borderId="0" applyFont="0" applyFill="0" applyBorder="0" applyAlignment="0" applyProtection="0"/>
    <xf numFmtId="0" fontId="35" fillId="27" borderId="0" applyNumberFormat="0" applyBorder="0" applyAlignment="0" applyProtection="0"/>
    <xf numFmtId="0" fontId="55" fillId="28" borderId="0" applyNumberFormat="0" applyBorder="0" applyAlignment="0" applyProtection="0"/>
    <xf numFmtId="0" fontId="3" fillId="5" borderId="0" applyNumberFormat="0" applyBorder="0" applyAlignment="0" applyProtection="0"/>
    <xf numFmtId="0" fontId="35" fillId="27" borderId="0" applyNumberFormat="0" applyBorder="0" applyAlignment="0" applyProtection="0"/>
    <xf numFmtId="0" fontId="3" fillId="5" borderId="0" applyNumberFormat="0" applyBorder="0" applyAlignment="0" applyProtection="0"/>
    <xf numFmtId="0" fontId="35" fillId="27" borderId="0" applyNumberFormat="0" applyBorder="0" applyAlignment="0" applyProtection="0"/>
    <xf numFmtId="0" fontId="3" fillId="5" borderId="0" applyNumberFormat="0" applyBorder="0" applyAlignment="0" applyProtection="0"/>
    <xf numFmtId="0" fontId="55" fillId="28" borderId="0" applyNumberFormat="0" applyBorder="0" applyAlignment="0" applyProtection="0"/>
    <xf numFmtId="0" fontId="35" fillId="29" borderId="0" applyNumberFormat="0" applyBorder="0" applyAlignment="0" applyProtection="0"/>
    <xf numFmtId="0" fontId="55" fillId="30" borderId="0" applyNumberFormat="0" applyBorder="0" applyAlignment="0" applyProtection="0"/>
    <xf numFmtId="0" fontId="3" fillId="8" borderId="0" applyNumberFormat="0" applyBorder="0" applyAlignment="0" applyProtection="0"/>
    <xf numFmtId="0" fontId="35" fillId="29" borderId="0" applyNumberFormat="0" applyBorder="0" applyAlignment="0" applyProtection="0"/>
    <xf numFmtId="0" fontId="3" fillId="8" borderId="0" applyNumberFormat="0" applyBorder="0" applyAlignment="0" applyProtection="0"/>
    <xf numFmtId="0" fontId="35" fillId="29" borderId="0" applyNumberFormat="0" applyBorder="0" applyAlignment="0" applyProtection="0"/>
    <xf numFmtId="0" fontId="3" fillId="8" borderId="0" applyNumberFormat="0" applyBorder="0" applyAlignment="0" applyProtection="0"/>
    <xf numFmtId="0" fontId="55" fillId="30" borderId="0" applyNumberFormat="0" applyBorder="0" applyAlignment="0" applyProtection="0"/>
    <xf numFmtId="0" fontId="35" fillId="31" borderId="0" applyNumberFormat="0" applyBorder="0" applyAlignment="0" applyProtection="0"/>
    <xf numFmtId="0" fontId="55" fillId="32" borderId="0" applyNumberFormat="0" applyBorder="0" applyAlignment="0" applyProtection="0"/>
    <xf numFmtId="0" fontId="3" fillId="11" borderId="0" applyNumberFormat="0" applyBorder="0" applyAlignment="0" applyProtection="0"/>
    <xf numFmtId="0" fontId="35" fillId="31" borderId="0" applyNumberFormat="0" applyBorder="0" applyAlignment="0" applyProtection="0"/>
    <xf numFmtId="0" fontId="3" fillId="11" borderId="0" applyNumberFormat="0" applyBorder="0" applyAlignment="0" applyProtection="0"/>
    <xf numFmtId="0" fontId="35" fillId="31" borderId="0" applyNumberFormat="0" applyBorder="0" applyAlignment="0" applyProtection="0"/>
    <xf numFmtId="0" fontId="3" fillId="11" borderId="0" applyNumberFormat="0" applyBorder="0" applyAlignment="0" applyProtection="0"/>
    <xf numFmtId="0" fontId="55" fillId="32" borderId="0" applyNumberFormat="0" applyBorder="0" applyAlignment="0" applyProtection="0"/>
    <xf numFmtId="0" fontId="35" fillId="33" borderId="0" applyNumberFormat="0" applyBorder="0" applyAlignment="0" applyProtection="0"/>
    <xf numFmtId="0" fontId="55" fillId="28" borderId="0" applyNumberFormat="0" applyBorder="0" applyAlignment="0" applyProtection="0"/>
    <xf numFmtId="0" fontId="3" fillId="14" borderId="0" applyNumberFormat="0" applyBorder="0" applyAlignment="0" applyProtection="0"/>
    <xf numFmtId="0" fontId="35" fillId="33" borderId="0" applyNumberFormat="0" applyBorder="0" applyAlignment="0" applyProtection="0"/>
    <xf numFmtId="0" fontId="3" fillId="14" borderId="0" applyNumberFormat="0" applyBorder="0" applyAlignment="0" applyProtection="0"/>
    <xf numFmtId="0" fontId="35" fillId="33" borderId="0" applyNumberFormat="0" applyBorder="0" applyAlignment="0" applyProtection="0"/>
    <xf numFmtId="0" fontId="3" fillId="14" borderId="0" applyNumberFormat="0" applyBorder="0" applyAlignment="0" applyProtection="0"/>
    <xf numFmtId="0" fontId="55" fillId="28" borderId="0" applyNumberFormat="0" applyBorder="0" applyAlignment="0" applyProtection="0"/>
    <xf numFmtId="0" fontId="35" fillId="34" borderId="0" applyNumberFormat="0" applyBorder="0" applyAlignment="0" applyProtection="0"/>
    <xf numFmtId="0" fontId="55" fillId="34" borderId="0" applyNumberFormat="0" applyBorder="0" applyAlignment="0" applyProtection="0"/>
    <xf numFmtId="0" fontId="3" fillId="17" borderId="0" applyNumberFormat="0" applyBorder="0" applyAlignment="0" applyProtection="0"/>
    <xf numFmtId="0" fontId="35" fillId="34" borderId="0" applyNumberFormat="0" applyBorder="0" applyAlignment="0" applyProtection="0"/>
    <xf numFmtId="0" fontId="3" fillId="17" borderId="0" applyNumberFormat="0" applyBorder="0" applyAlignment="0" applyProtection="0"/>
    <xf numFmtId="0" fontId="35" fillId="34" borderId="0" applyNumberFormat="0" applyBorder="0" applyAlignment="0" applyProtection="0"/>
    <xf numFmtId="0" fontId="3" fillId="17" borderId="0" applyNumberFormat="0" applyBorder="0" applyAlignment="0" applyProtection="0"/>
    <xf numFmtId="0" fontId="55" fillId="34" borderId="0" applyNumberFormat="0" applyBorder="0" applyAlignment="0" applyProtection="0"/>
    <xf numFmtId="0" fontId="35" fillId="30" borderId="0" applyNumberFormat="0" applyBorder="0" applyAlignment="0" applyProtection="0"/>
    <xf numFmtId="0" fontId="55" fillId="30" borderId="0" applyNumberFormat="0" applyBorder="0" applyAlignment="0" applyProtection="0"/>
    <xf numFmtId="0" fontId="3" fillId="20" borderId="0" applyNumberFormat="0" applyBorder="0" applyAlignment="0" applyProtection="0"/>
    <xf numFmtId="0" fontId="35" fillId="30" borderId="0" applyNumberFormat="0" applyBorder="0" applyAlignment="0" applyProtection="0"/>
    <xf numFmtId="0" fontId="3" fillId="20" borderId="0" applyNumberFormat="0" applyBorder="0" applyAlignment="0" applyProtection="0"/>
    <xf numFmtId="0" fontId="35" fillId="30" borderId="0" applyNumberFormat="0" applyBorder="0" applyAlignment="0" applyProtection="0"/>
    <xf numFmtId="0" fontId="3" fillId="20" borderId="0" applyNumberFormat="0" applyBorder="0" applyAlignment="0" applyProtection="0"/>
    <xf numFmtId="0" fontId="55" fillId="30" borderId="0" applyNumberFormat="0" applyBorder="0" applyAlignment="0" applyProtection="0"/>
    <xf numFmtId="0" fontId="35" fillId="35" borderId="0" applyNumberFormat="0" applyBorder="0" applyAlignment="0" applyProtection="0"/>
    <xf numFmtId="0" fontId="55" fillId="28" borderId="0" applyNumberFormat="0" applyBorder="0" applyAlignment="0" applyProtection="0"/>
    <xf numFmtId="0" fontId="3" fillId="6" borderId="0" applyNumberFormat="0" applyBorder="0" applyAlignment="0" applyProtection="0"/>
    <xf numFmtId="0" fontId="35" fillId="35" borderId="0" applyNumberFormat="0" applyBorder="0" applyAlignment="0" applyProtection="0"/>
    <xf numFmtId="0" fontId="3" fillId="6" borderId="0" applyNumberFormat="0" applyBorder="0" applyAlignment="0" applyProtection="0"/>
    <xf numFmtId="0" fontId="35" fillId="35" borderId="0" applyNumberFormat="0" applyBorder="0" applyAlignment="0" applyProtection="0"/>
    <xf numFmtId="0" fontId="3" fillId="6" borderId="0" applyNumberFormat="0" applyBorder="0" applyAlignment="0" applyProtection="0"/>
    <xf numFmtId="0" fontId="55" fillId="28" borderId="0" applyNumberFormat="0" applyBorder="0" applyAlignment="0" applyProtection="0"/>
    <xf numFmtId="0" fontId="35" fillId="36" borderId="0" applyNumberFormat="0" applyBorder="0" applyAlignment="0" applyProtection="0"/>
    <xf numFmtId="0" fontId="55" fillId="36" borderId="0" applyNumberFormat="0" applyBorder="0" applyAlignment="0" applyProtection="0"/>
    <xf numFmtId="0" fontId="3" fillId="9" borderId="0" applyNumberFormat="0" applyBorder="0" applyAlignment="0" applyProtection="0"/>
    <xf numFmtId="0" fontId="35" fillId="36" borderId="0" applyNumberFormat="0" applyBorder="0" applyAlignment="0" applyProtection="0"/>
    <xf numFmtId="0" fontId="3" fillId="9" borderId="0" applyNumberFormat="0" applyBorder="0" applyAlignment="0" applyProtection="0"/>
    <xf numFmtId="0" fontId="35" fillId="36" borderId="0" applyNumberFormat="0" applyBorder="0" applyAlignment="0" applyProtection="0"/>
    <xf numFmtId="0" fontId="3" fillId="9" borderId="0" applyNumberFormat="0" applyBorder="0" applyAlignment="0" applyProtection="0"/>
    <xf numFmtId="0" fontId="55" fillId="36" borderId="0" applyNumberFormat="0" applyBorder="0" applyAlignment="0" applyProtection="0"/>
    <xf numFmtId="0" fontId="35" fillId="37" borderId="0" applyNumberFormat="0" applyBorder="0" applyAlignment="0" applyProtection="0"/>
    <xf numFmtId="0" fontId="55" fillId="38" borderId="0" applyNumberFormat="0" applyBorder="0" applyAlignment="0" applyProtection="0"/>
    <xf numFmtId="0" fontId="3" fillId="12" borderId="0" applyNumberFormat="0" applyBorder="0" applyAlignment="0" applyProtection="0"/>
    <xf numFmtId="0" fontId="35" fillId="37" borderId="0" applyNumberFormat="0" applyBorder="0" applyAlignment="0" applyProtection="0"/>
    <xf numFmtId="0" fontId="3" fillId="12" borderId="0" applyNumberFormat="0" applyBorder="0" applyAlignment="0" applyProtection="0"/>
    <xf numFmtId="0" fontId="35" fillId="37" borderId="0" applyNumberFormat="0" applyBorder="0" applyAlignment="0" applyProtection="0"/>
    <xf numFmtId="0" fontId="3" fillId="12" borderId="0" applyNumberFormat="0" applyBorder="0" applyAlignment="0" applyProtection="0"/>
    <xf numFmtId="0" fontId="55" fillId="38" borderId="0" applyNumberFormat="0" applyBorder="0" applyAlignment="0" applyProtection="0"/>
    <xf numFmtId="0" fontId="35" fillId="33" borderId="0" applyNumberFormat="0" applyBorder="0" applyAlignment="0" applyProtection="0"/>
    <xf numFmtId="0" fontId="55" fillId="28" borderId="0" applyNumberFormat="0" applyBorder="0" applyAlignment="0" applyProtection="0"/>
    <xf numFmtId="0" fontId="3" fillId="15" borderId="0" applyNumberFormat="0" applyBorder="0" applyAlignment="0" applyProtection="0"/>
    <xf numFmtId="0" fontId="35" fillId="33" borderId="0" applyNumberFormat="0" applyBorder="0" applyAlignment="0" applyProtection="0"/>
    <xf numFmtId="0" fontId="3" fillId="15" borderId="0" applyNumberFormat="0" applyBorder="0" applyAlignment="0" applyProtection="0"/>
    <xf numFmtId="0" fontId="35" fillId="33" borderId="0" applyNumberFormat="0" applyBorder="0" applyAlignment="0" applyProtection="0"/>
    <xf numFmtId="0" fontId="3" fillId="15" borderId="0" applyNumberFormat="0" applyBorder="0" applyAlignment="0" applyProtection="0"/>
    <xf numFmtId="0" fontId="55" fillId="28" borderId="0" applyNumberFormat="0" applyBorder="0" applyAlignment="0" applyProtection="0"/>
    <xf numFmtId="0" fontId="35" fillId="35" borderId="0" applyNumberFormat="0" applyBorder="0" applyAlignment="0" applyProtection="0"/>
    <xf numFmtId="0" fontId="55" fillId="35" borderId="0" applyNumberFormat="0" applyBorder="0" applyAlignment="0" applyProtection="0"/>
    <xf numFmtId="0" fontId="3" fillId="18" borderId="0" applyNumberFormat="0" applyBorder="0" applyAlignment="0" applyProtection="0"/>
    <xf numFmtId="0" fontId="35" fillId="35" borderId="0" applyNumberFormat="0" applyBorder="0" applyAlignment="0" applyProtection="0"/>
    <xf numFmtId="0" fontId="3" fillId="18" borderId="0" applyNumberFormat="0" applyBorder="0" applyAlignment="0" applyProtection="0"/>
    <xf numFmtId="0" fontId="35" fillId="35" borderId="0" applyNumberFormat="0" applyBorder="0" applyAlignment="0" applyProtection="0"/>
    <xf numFmtId="0" fontId="3" fillId="18" borderId="0" applyNumberFormat="0" applyBorder="0" applyAlignment="0" applyProtection="0"/>
    <xf numFmtId="0" fontId="55" fillId="35" borderId="0" applyNumberFormat="0" applyBorder="0" applyAlignment="0" applyProtection="0"/>
    <xf numFmtId="0" fontId="35" fillId="39" borderId="0" applyNumberFormat="0" applyBorder="0" applyAlignment="0" applyProtection="0"/>
    <xf numFmtId="0" fontId="55" fillId="30" borderId="0" applyNumberFormat="0" applyBorder="0" applyAlignment="0" applyProtection="0"/>
    <xf numFmtId="0" fontId="3" fillId="21" borderId="0" applyNumberFormat="0" applyBorder="0" applyAlignment="0" applyProtection="0"/>
    <xf numFmtId="0" fontId="35" fillId="39" borderId="0" applyNumberFormat="0" applyBorder="0" applyAlignment="0" applyProtection="0"/>
    <xf numFmtId="0" fontId="3" fillId="21" borderId="0" applyNumberFormat="0" applyBorder="0" applyAlignment="0" applyProtection="0"/>
    <xf numFmtId="0" fontId="35" fillId="39" borderId="0" applyNumberFormat="0" applyBorder="0" applyAlignment="0" applyProtection="0"/>
    <xf numFmtId="0" fontId="3" fillId="21" borderId="0" applyNumberFormat="0" applyBorder="0" applyAlignment="0" applyProtection="0"/>
    <xf numFmtId="0" fontId="55" fillId="30" borderId="0" applyNumberFormat="0" applyBorder="0" applyAlignment="0" applyProtection="0"/>
    <xf numFmtId="0" fontId="36" fillId="40" borderId="0" applyNumberFormat="0" applyBorder="0" applyAlignment="0" applyProtection="0"/>
    <xf numFmtId="0" fontId="56" fillId="41" borderId="0" applyNumberFormat="0" applyBorder="0" applyAlignment="0" applyProtection="0"/>
    <xf numFmtId="0" fontId="8" fillId="7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56" fillId="41" borderId="0" applyNumberFormat="0" applyBorder="0" applyAlignment="0" applyProtection="0"/>
    <xf numFmtId="0" fontId="36" fillId="36" borderId="0" applyNumberFormat="0" applyBorder="0" applyAlignment="0" applyProtection="0"/>
    <xf numFmtId="0" fontId="56" fillId="36" borderId="0" applyNumberFormat="0" applyBorder="0" applyAlignment="0" applyProtection="0"/>
    <xf numFmtId="0" fontId="8" fillId="10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56" fillId="36" borderId="0" applyNumberFormat="0" applyBorder="0" applyAlignment="0" applyProtection="0"/>
    <xf numFmtId="0" fontId="36" fillId="37" borderId="0" applyNumberFormat="0" applyBorder="0" applyAlignment="0" applyProtection="0"/>
    <xf numFmtId="0" fontId="56" fillId="38" borderId="0" applyNumberFormat="0" applyBorder="0" applyAlignment="0" applyProtection="0"/>
    <xf numFmtId="0" fontId="8" fillId="13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56" fillId="38" borderId="0" applyNumberFormat="0" applyBorder="0" applyAlignment="0" applyProtection="0"/>
    <xf numFmtId="0" fontId="36" fillId="42" borderId="0" applyNumberFormat="0" applyBorder="0" applyAlignment="0" applyProtection="0"/>
    <xf numFmtId="0" fontId="56" fillId="43" borderId="0" applyNumberFormat="0" applyBorder="0" applyAlignment="0" applyProtection="0"/>
    <xf numFmtId="0" fontId="8" fillId="16" borderId="0" applyNumberFormat="0" applyBorder="0" applyAlignment="0" applyProtection="0"/>
    <xf numFmtId="0" fontId="36" fillId="42" borderId="0" applyNumberFormat="0" applyBorder="0" applyAlignment="0" applyProtection="0"/>
    <xf numFmtId="0" fontId="36" fillId="42" borderId="0" applyNumberFormat="0" applyBorder="0" applyAlignment="0" applyProtection="0"/>
    <xf numFmtId="0" fontId="56" fillId="43" borderId="0" applyNumberFormat="0" applyBorder="0" applyAlignment="0" applyProtection="0"/>
    <xf numFmtId="0" fontId="36" fillId="41" borderId="0" applyNumberFormat="0" applyBorder="0" applyAlignment="0" applyProtection="0"/>
    <xf numFmtId="0" fontId="56" fillId="41" borderId="0" applyNumberFormat="0" applyBorder="0" applyAlignment="0" applyProtection="0"/>
    <xf numFmtId="0" fontId="8" fillId="19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56" fillId="41" borderId="0" applyNumberFormat="0" applyBorder="0" applyAlignment="0" applyProtection="0"/>
    <xf numFmtId="0" fontId="36" fillId="44" borderId="0" applyNumberFormat="0" applyBorder="0" applyAlignment="0" applyProtection="0"/>
    <xf numFmtId="0" fontId="56" fillId="30" borderId="0" applyNumberFormat="0" applyBorder="0" applyAlignment="0" applyProtection="0"/>
    <xf numFmtId="0" fontId="8" fillId="22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56" fillId="30" borderId="0" applyNumberFormat="0" applyBorder="0" applyAlignment="0" applyProtection="0"/>
    <xf numFmtId="0" fontId="35" fillId="46" borderId="0" applyNumberFormat="0" applyBorder="0" applyAlignment="0" applyProtection="0"/>
    <xf numFmtId="0" fontId="35" fillId="47" borderId="0" applyNumberFormat="0" applyBorder="0" applyAlignment="0" applyProtection="0"/>
    <xf numFmtId="0" fontId="36" fillId="48" borderId="0" applyNumberFormat="0" applyBorder="0" applyAlignment="0" applyProtection="0"/>
    <xf numFmtId="0" fontId="36" fillId="45" borderId="0" applyNumberFormat="0" applyBorder="0" applyAlignment="0" applyProtection="0"/>
    <xf numFmtId="0" fontId="56" fillId="41" borderId="0" applyNumberFormat="0" applyBorder="0" applyAlignment="0" applyProtection="0"/>
    <xf numFmtId="0" fontId="36" fillId="49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56" fillId="41" borderId="0" applyNumberFormat="0" applyBorder="0" applyAlignment="0" applyProtection="0"/>
    <xf numFmtId="0" fontId="35" fillId="51" borderId="0" applyNumberFormat="0" applyBorder="0" applyAlignment="0" applyProtection="0"/>
    <xf numFmtId="0" fontId="35" fillId="52" borderId="0" applyNumberFormat="0" applyBorder="0" applyAlignment="0" applyProtection="0"/>
    <xf numFmtId="0" fontId="36" fillId="53" borderId="0" applyNumberFormat="0" applyBorder="0" applyAlignment="0" applyProtection="0"/>
    <xf numFmtId="0" fontId="36" fillId="50" borderId="0" applyNumberFormat="0" applyBorder="0" applyAlignment="0" applyProtection="0"/>
    <xf numFmtId="0" fontId="56" fillId="50" borderId="0" applyNumberFormat="0" applyBorder="0" applyAlignment="0" applyProtection="0"/>
    <xf numFmtId="0" fontId="36" fillId="54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56" fillId="50" borderId="0" applyNumberFormat="0" applyBorder="0" applyAlignment="0" applyProtection="0"/>
    <xf numFmtId="0" fontId="35" fillId="56" borderId="0" applyNumberFormat="0" applyBorder="0" applyAlignment="0" applyProtection="0"/>
    <xf numFmtId="0" fontId="35" fillId="57" borderId="0" applyNumberFormat="0" applyBorder="0" applyAlignment="0" applyProtection="0"/>
    <xf numFmtId="0" fontId="36" fillId="58" borderId="0" applyNumberFormat="0" applyBorder="0" applyAlignment="0" applyProtection="0"/>
    <xf numFmtId="0" fontId="36" fillId="55" borderId="0" applyNumberFormat="0" applyBorder="0" applyAlignment="0" applyProtection="0"/>
    <xf numFmtId="0" fontId="56" fillId="55" borderId="0" applyNumberFormat="0" applyBorder="0" applyAlignment="0" applyProtection="0"/>
    <xf numFmtId="0" fontId="36" fillId="59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56" fillId="55" borderId="0" applyNumberFormat="0" applyBorder="0" applyAlignment="0" applyProtection="0"/>
    <xf numFmtId="0" fontId="35" fillId="51" borderId="0" applyNumberFormat="0" applyBorder="0" applyAlignment="0" applyProtection="0"/>
    <xf numFmtId="0" fontId="35" fillId="60" borderId="0" applyNumberFormat="0" applyBorder="0" applyAlignment="0" applyProtection="0"/>
    <xf numFmtId="0" fontId="36" fillId="52" borderId="0" applyNumberFormat="0" applyBorder="0" applyAlignment="0" applyProtection="0"/>
    <xf numFmtId="0" fontId="36" fillId="42" borderId="0" applyNumberFormat="0" applyBorder="0" applyAlignment="0" applyProtection="0"/>
    <xf numFmtId="0" fontId="5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42" borderId="0" applyNumberFormat="0" applyBorder="0" applyAlignment="0" applyProtection="0"/>
    <xf numFmtId="0" fontId="36" fillId="42" borderId="0" applyNumberFormat="0" applyBorder="0" applyAlignment="0" applyProtection="0"/>
    <xf numFmtId="0" fontId="56" fillId="61" borderId="0" applyNumberFormat="0" applyBorder="0" applyAlignment="0" applyProtection="0"/>
    <xf numFmtId="0" fontId="35" fillId="63" borderId="0" applyNumberFormat="0" applyBorder="0" applyAlignment="0" applyProtection="0"/>
    <xf numFmtId="0" fontId="35" fillId="64" borderId="0" applyNumberFormat="0" applyBorder="0" applyAlignment="0" applyProtection="0"/>
    <xf numFmtId="0" fontId="36" fillId="48" borderId="0" applyNumberFormat="0" applyBorder="0" applyAlignment="0" applyProtection="0"/>
    <xf numFmtId="0" fontId="36" fillId="41" borderId="0" applyNumberFormat="0" applyBorder="0" applyAlignment="0" applyProtection="0"/>
    <xf numFmtId="0" fontId="56" fillId="41" borderId="0" applyNumberFormat="0" applyBorder="0" applyAlignment="0" applyProtection="0"/>
    <xf numFmtId="0" fontId="36" fillId="48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56" fillId="41" borderId="0" applyNumberFormat="0" applyBorder="0" applyAlignment="0" applyProtection="0"/>
    <xf numFmtId="0" fontId="35" fillId="66" borderId="0" applyNumberFormat="0" applyBorder="0" applyAlignment="0" applyProtection="0"/>
    <xf numFmtId="0" fontId="35" fillId="67" borderId="0" applyNumberFormat="0" applyBorder="0" applyAlignment="0" applyProtection="0"/>
    <xf numFmtId="0" fontId="36" fillId="68" borderId="0" applyNumberFormat="0" applyBorder="0" applyAlignment="0" applyProtection="0"/>
    <xf numFmtId="0" fontId="36" fillId="65" borderId="0" applyNumberFormat="0" applyBorder="0" applyAlignment="0" applyProtection="0"/>
    <xf numFmtId="0" fontId="56" fillId="65" borderId="0" applyNumberFormat="0" applyBorder="0" applyAlignment="0" applyProtection="0"/>
    <xf numFmtId="0" fontId="36" fillId="69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56" fillId="65" borderId="0" applyNumberFormat="0" applyBorder="0" applyAlignment="0" applyProtection="0"/>
    <xf numFmtId="0" fontId="19" fillId="0" borderId="0" applyNumberFormat="0" applyFont="0" applyFill="0" applyBorder="0" applyAlignment="0">
      <protection locked="0"/>
    </xf>
    <xf numFmtId="0" fontId="19" fillId="0" borderId="0" applyNumberFormat="0" applyFont="0" applyFill="0" applyBorder="0" applyAlignment="0">
      <protection locked="0"/>
    </xf>
    <xf numFmtId="168" fontId="54" fillId="0" borderId="0" applyFont="0" applyFill="0" applyBorder="0" applyAlignment="0" applyProtection="0"/>
    <xf numFmtId="169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37" fillId="29" borderId="0" applyNumberFormat="0" applyBorder="0" applyAlignment="0" applyProtection="0"/>
    <xf numFmtId="0" fontId="57" fillId="29" borderId="0" applyNumberFormat="0" applyBorder="0" applyAlignment="0" applyProtection="0"/>
    <xf numFmtId="0" fontId="58" fillId="66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57" fillId="29" borderId="0" applyNumberFormat="0" applyBorder="0" applyAlignment="0" applyProtection="0"/>
    <xf numFmtId="0" fontId="19" fillId="35" borderId="0" applyNumberFormat="0" applyBorder="0" applyAlignment="0">
      <protection locked="0"/>
    </xf>
    <xf numFmtId="0" fontId="19" fillId="35" borderId="0" applyNumberFormat="0" applyBorder="0" applyAlignment="0">
      <protection locked="0"/>
    </xf>
    <xf numFmtId="4" fontId="59" fillId="0" borderId="18" applyFill="0">
      <alignment vertical="center"/>
      <protection locked="0"/>
    </xf>
    <xf numFmtId="0" fontId="60" fillId="0" borderId="0"/>
    <xf numFmtId="0" fontId="61" fillId="0" borderId="0" applyFill="0" applyBorder="0" applyAlignment="0"/>
    <xf numFmtId="0" fontId="61" fillId="0" borderId="0" applyFill="0" applyBorder="0" applyAlignment="0"/>
    <xf numFmtId="0" fontId="19" fillId="0" borderId="0" applyFill="0" applyBorder="0" applyAlignment="0"/>
    <xf numFmtId="0" fontId="19" fillId="0" borderId="0" applyFill="0" applyBorder="0" applyAlignment="0"/>
    <xf numFmtId="0" fontId="38" fillId="28" borderId="19" applyNumberFormat="0" applyAlignment="0" applyProtection="0"/>
    <xf numFmtId="0" fontId="62" fillId="28" borderId="19" applyNumberFormat="0" applyAlignment="0" applyProtection="0"/>
    <xf numFmtId="0" fontId="63" fillId="70" borderId="20" applyNumberFormat="0" applyAlignment="0" applyProtection="0"/>
    <xf numFmtId="0" fontId="38" fillId="28" borderId="19" applyNumberFormat="0" applyAlignment="0" applyProtection="0"/>
    <xf numFmtId="0" fontId="38" fillId="28" borderId="19" applyNumberFormat="0" applyAlignment="0" applyProtection="0"/>
    <xf numFmtId="0" fontId="62" fillId="28" borderId="19" applyNumberFormat="0" applyAlignment="0" applyProtection="0"/>
    <xf numFmtId="0" fontId="39" fillId="43" borderId="21" applyNumberFormat="0" applyAlignment="0" applyProtection="0"/>
    <xf numFmtId="0" fontId="64" fillId="43" borderId="21" applyNumberFormat="0" applyAlignment="0" applyProtection="0"/>
    <xf numFmtId="0" fontId="39" fillId="62" borderId="21" applyNumberFormat="0" applyAlignment="0" applyProtection="0"/>
    <xf numFmtId="0" fontId="39" fillId="43" borderId="21" applyNumberFormat="0" applyAlignment="0" applyProtection="0"/>
    <xf numFmtId="0" fontId="39" fillId="43" borderId="21" applyNumberFormat="0" applyAlignment="0" applyProtection="0"/>
    <xf numFmtId="0" fontId="64" fillId="43" borderId="21" applyNumberFormat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7" fontId="67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167" fontId="105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" fontId="68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" fontId="68" fillId="0" borderId="0" applyFont="0" applyFill="0" applyBorder="0" applyAlignment="0" applyProtection="0"/>
    <xf numFmtId="172" fontId="1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3" fontId="68" fillId="0" borderId="0" applyFont="0" applyFill="0" applyBorder="0" applyAlignment="0" applyProtection="0"/>
    <xf numFmtId="3" fontId="70" fillId="0" borderId="0" applyFont="0" applyFill="0" applyBorder="0" applyAlignment="0" applyProtection="0"/>
    <xf numFmtId="0" fontId="71" fillId="0" borderId="0" applyNumberFormat="0" applyAlignment="0">
      <alignment horizontal="left"/>
    </xf>
    <xf numFmtId="173" fontId="68" fillId="0" borderId="0" applyFont="0" applyFill="0" applyBorder="0" applyAlignment="0" applyProtection="0"/>
    <xf numFmtId="165" fontId="1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50" fillId="71" borderId="0" applyNumberFormat="0" applyBorder="0" applyAlignment="0" applyProtection="0"/>
    <xf numFmtId="0" fontId="50" fillId="72" borderId="0" applyNumberFormat="0" applyBorder="0" applyAlignment="0" applyProtection="0"/>
    <xf numFmtId="0" fontId="50" fillId="73" borderId="0" applyNumberFormat="0" applyBorder="0" applyAlignment="0" applyProtection="0"/>
    <xf numFmtId="0" fontId="72" fillId="0" borderId="0" applyNumberFormat="0" applyAlignment="0">
      <alignment horizontal="left"/>
    </xf>
    <xf numFmtId="0" fontId="40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4" fontId="74" fillId="0" borderId="0" applyFill="0" applyBorder="0">
      <protection locked="0"/>
    </xf>
    <xf numFmtId="2" fontId="68" fillId="0" borderId="0" applyFont="0" applyFill="0" applyBorder="0" applyAlignment="0" applyProtection="0"/>
    <xf numFmtId="2" fontId="70" fillId="0" borderId="0" applyFont="0" applyFill="0" applyBorder="0" applyAlignment="0" applyProtection="0"/>
    <xf numFmtId="0" fontId="41" fillId="31" borderId="0" applyNumberFormat="0" applyBorder="0" applyAlignment="0" applyProtection="0"/>
    <xf numFmtId="0" fontId="75" fillId="31" borderId="0" applyNumberFormat="0" applyBorder="0" applyAlignment="0" applyProtection="0"/>
    <xf numFmtId="0" fontId="35" fillId="57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75" fillId="31" borderId="0" applyNumberFormat="0" applyBorder="0" applyAlignment="0" applyProtection="0"/>
    <xf numFmtId="38" fontId="23" fillId="74" borderId="0" applyNumberFormat="0" applyBorder="0" applyAlignment="0" applyProtection="0"/>
    <xf numFmtId="38" fontId="23" fillId="74" borderId="0" applyNumberFormat="0" applyBorder="0" applyAlignment="0" applyProtection="0"/>
    <xf numFmtId="0" fontId="76" fillId="0" borderId="22" applyNumberFormat="0" applyAlignment="0" applyProtection="0">
      <alignment horizontal="left" vertical="center"/>
    </xf>
    <xf numFmtId="0" fontId="76" fillId="0" borderId="9">
      <alignment horizontal="left" vertical="center"/>
    </xf>
    <xf numFmtId="0" fontId="42" fillId="0" borderId="23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77" fillId="0" borderId="24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3" fillId="0" borderId="25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78" fillId="0" borderId="26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4" fillId="0" borderId="27" applyNumberFormat="0" applyFill="0" applyAlignment="0" applyProtection="0"/>
    <xf numFmtId="0" fontId="79" fillId="0" borderId="28" applyNumberFormat="0" applyFill="0" applyAlignment="0" applyProtection="0"/>
    <xf numFmtId="0" fontId="79" fillId="0" borderId="29" applyNumberFormat="0" applyFill="0" applyAlignment="0" applyProtection="0"/>
    <xf numFmtId="0" fontId="44" fillId="0" borderId="27" applyNumberFormat="0" applyFill="0" applyAlignment="0" applyProtection="0"/>
    <xf numFmtId="0" fontId="44" fillId="0" borderId="27" applyNumberFormat="0" applyFill="0" applyAlignment="0" applyProtection="0"/>
    <xf numFmtId="0" fontId="79" fillId="0" borderId="28" applyNumberFormat="0" applyFill="0" applyAlignment="0" applyProtection="0"/>
    <xf numFmtId="0" fontId="4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10" fontId="23" fillId="75" borderId="7" applyNumberFormat="0" applyBorder="0" applyAlignment="0" applyProtection="0"/>
    <xf numFmtId="10" fontId="23" fillId="75" borderId="7" applyNumberFormat="0" applyBorder="0" applyAlignment="0" applyProtection="0"/>
    <xf numFmtId="0" fontId="81" fillId="30" borderId="19" applyNumberFormat="0" applyAlignment="0" applyProtection="0"/>
    <xf numFmtId="0" fontId="81" fillId="30" borderId="19" applyNumberFormat="0" applyAlignment="0" applyProtection="0"/>
    <xf numFmtId="0" fontId="81" fillId="30" borderId="19" applyNumberFormat="0" applyAlignment="0" applyProtection="0"/>
    <xf numFmtId="0" fontId="81" fillId="30" borderId="19" applyNumberFormat="0" applyAlignment="0" applyProtection="0"/>
    <xf numFmtId="0" fontId="81" fillId="30" borderId="19" applyNumberFormat="0" applyAlignment="0" applyProtection="0"/>
    <xf numFmtId="0" fontId="81" fillId="30" borderId="19" applyNumberFormat="0" applyAlignment="0" applyProtection="0"/>
    <xf numFmtId="0" fontId="81" fillId="30" borderId="19" applyNumberFormat="0" applyAlignment="0" applyProtection="0"/>
    <xf numFmtId="0" fontId="81" fillId="30" borderId="19" applyNumberFormat="0" applyAlignment="0" applyProtection="0"/>
    <xf numFmtId="0" fontId="81" fillId="30" borderId="19" applyNumberFormat="0" applyAlignment="0" applyProtection="0"/>
    <xf numFmtId="0" fontId="81" fillId="30" borderId="19" applyNumberFormat="0" applyAlignment="0" applyProtection="0"/>
    <xf numFmtId="0" fontId="45" fillId="30" borderId="19" applyNumberFormat="0" applyAlignment="0" applyProtection="0"/>
    <xf numFmtId="0" fontId="81" fillId="30" borderId="19" applyNumberFormat="0" applyAlignment="0" applyProtection="0"/>
    <xf numFmtId="0" fontId="82" fillId="67" borderId="20" applyNumberFormat="0" applyAlignment="0" applyProtection="0"/>
    <xf numFmtId="0" fontId="81" fillId="30" borderId="19" applyNumberFormat="0" applyAlignment="0" applyProtection="0"/>
    <xf numFmtId="0" fontId="81" fillId="30" borderId="19" applyNumberFormat="0" applyAlignment="0" applyProtection="0"/>
    <xf numFmtId="0" fontId="45" fillId="30" borderId="19" applyNumberFormat="0" applyAlignment="0" applyProtection="0"/>
    <xf numFmtId="0" fontId="81" fillId="30" borderId="19" applyNumberFormat="0" applyAlignment="0" applyProtection="0"/>
    <xf numFmtId="0" fontId="45" fillId="30" borderId="19" applyNumberFormat="0" applyAlignment="0" applyProtection="0"/>
    <xf numFmtId="0" fontId="81" fillId="30" borderId="19" applyNumberFormat="0" applyAlignment="0" applyProtection="0"/>
    <xf numFmtId="0" fontId="81" fillId="30" borderId="19" applyNumberFormat="0" applyAlignment="0" applyProtection="0"/>
    <xf numFmtId="0" fontId="81" fillId="30" borderId="19" applyNumberFormat="0" applyAlignment="0" applyProtection="0"/>
    <xf numFmtId="0" fontId="81" fillId="30" borderId="19" applyNumberFormat="0" applyAlignment="0" applyProtection="0"/>
    <xf numFmtId="0" fontId="81" fillId="30" borderId="19" applyNumberFormat="0" applyAlignment="0" applyProtection="0"/>
    <xf numFmtId="0" fontId="81" fillId="30" borderId="19" applyNumberFormat="0" applyAlignment="0" applyProtection="0"/>
    <xf numFmtId="174" fontId="83" fillId="0" borderId="30" applyNumberFormat="0" applyFill="0" applyBorder="0">
      <alignment horizontal="left" vertical="center"/>
    </xf>
    <xf numFmtId="0" fontId="46" fillId="0" borderId="31" applyNumberFormat="0" applyFill="0" applyAlignment="0" applyProtection="0"/>
    <xf numFmtId="0" fontId="84" fillId="0" borderId="31" applyNumberFormat="0" applyFill="0" applyAlignment="0" applyProtection="0"/>
    <xf numFmtId="0" fontId="41" fillId="0" borderId="32" applyNumberFormat="0" applyFill="0" applyAlignment="0" applyProtection="0"/>
    <xf numFmtId="0" fontId="46" fillId="0" borderId="31" applyNumberFormat="0" applyFill="0" applyAlignment="0" applyProtection="0"/>
    <xf numFmtId="0" fontId="46" fillId="0" borderId="31" applyNumberFormat="0" applyFill="0" applyAlignment="0" applyProtection="0"/>
    <xf numFmtId="0" fontId="84" fillId="0" borderId="31" applyNumberFormat="0" applyFill="0" applyAlignment="0" applyProtection="0"/>
    <xf numFmtId="174" fontId="85" fillId="0" borderId="0"/>
    <xf numFmtId="165" fontId="25" fillId="0" borderId="16">
      <alignment horizontal="right"/>
    </xf>
    <xf numFmtId="175" fontId="86" fillId="0" borderId="0" applyNumberFormat="0" applyFont="0" applyBorder="0" applyAlignment="0"/>
    <xf numFmtId="0" fontId="47" fillId="38" borderId="0" applyNumberFormat="0" applyBorder="0" applyAlignment="0" applyProtection="0"/>
    <xf numFmtId="0" fontId="87" fillId="38" borderId="0" applyNumberFormat="0" applyBorder="0" applyAlignment="0" applyProtection="0"/>
    <xf numFmtId="0" fontId="41" fillId="67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87" fillId="38" borderId="0" applyNumberFormat="0" applyBorder="0" applyAlignment="0" applyProtection="0"/>
    <xf numFmtId="37" fontId="88" fillId="0" borderId="0"/>
    <xf numFmtId="41" fontId="19" fillId="0" borderId="0"/>
    <xf numFmtId="41" fontId="19" fillId="0" borderId="0"/>
    <xf numFmtId="41" fontId="19" fillId="0" borderId="0"/>
    <xf numFmtId="41" fontId="19" fillId="0" borderId="0"/>
    <xf numFmtId="174" fontId="89" fillId="0" borderId="0"/>
    <xf numFmtId="0" fontId="22" fillId="0" borderId="0"/>
    <xf numFmtId="0" fontId="3" fillId="0" borderId="0"/>
    <xf numFmtId="0" fontId="19" fillId="0" borderId="0"/>
    <xf numFmtId="0" fontId="1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9" fillId="0" borderId="0"/>
    <xf numFmtId="0" fontId="1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9" fillId="0" borderId="0"/>
    <xf numFmtId="0" fontId="1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9" fillId="0" borderId="0"/>
    <xf numFmtId="0" fontId="19" fillId="0" borderId="0"/>
    <xf numFmtId="0" fontId="68" fillId="0" borderId="0" applyBorder="0"/>
    <xf numFmtId="0" fontId="19" fillId="0" borderId="0"/>
    <xf numFmtId="0" fontId="19" fillId="0" borderId="0"/>
    <xf numFmtId="0" fontId="19" fillId="0" borderId="0"/>
    <xf numFmtId="0" fontId="105" fillId="0" borderId="0"/>
    <xf numFmtId="0" fontId="19" fillId="0" borderId="0"/>
    <xf numFmtId="0" fontId="10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35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19" fillId="0" borderId="0"/>
    <xf numFmtId="0" fontId="10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19" fillId="0" borderId="0"/>
    <xf numFmtId="0" fontId="105" fillId="0" borderId="0"/>
    <xf numFmtId="0" fontId="105" fillId="0" borderId="0"/>
    <xf numFmtId="0" fontId="1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0"/>
    <xf numFmtId="0" fontId="3" fillId="0" borderId="0"/>
    <xf numFmtId="0" fontId="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" fillId="0" borderId="0"/>
    <xf numFmtId="0" fontId="3" fillId="0" borderId="0"/>
    <xf numFmtId="0" fontId="68" fillId="0" borderId="0" applyBorder="0"/>
    <xf numFmtId="0" fontId="19" fillId="0" borderId="0"/>
    <xf numFmtId="0" fontId="68" fillId="0" borderId="0" applyBorder="0"/>
    <xf numFmtId="0" fontId="68" fillId="0" borderId="0" applyBorder="0"/>
    <xf numFmtId="0" fontId="19" fillId="0" borderId="0"/>
    <xf numFmtId="0" fontId="23" fillId="76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6" fillId="0" borderId="0"/>
    <xf numFmtId="0" fontId="19" fillId="0" borderId="0"/>
    <xf numFmtId="0" fontId="19" fillId="0" borderId="0"/>
    <xf numFmtId="0" fontId="19" fillId="0" borderId="0"/>
    <xf numFmtId="0" fontId="3" fillId="0" borderId="0"/>
    <xf numFmtId="0" fontId="3" fillId="0" borderId="0"/>
    <xf numFmtId="0" fontId="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9" fillId="0" borderId="0"/>
    <xf numFmtId="0" fontId="1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9" fillId="0" borderId="0"/>
    <xf numFmtId="0" fontId="10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0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22" fillId="32" borderId="33" applyNumberFormat="0" applyFont="0" applyAlignment="0" applyProtection="0"/>
    <xf numFmtId="0" fontId="19" fillId="32" borderId="33" applyNumberFormat="0" applyFont="0" applyAlignment="0" applyProtection="0"/>
    <xf numFmtId="0" fontId="19" fillId="32" borderId="33" applyNumberFormat="0" applyFont="0" applyAlignment="0" applyProtection="0"/>
    <xf numFmtId="0" fontId="3" fillId="4" borderId="3" applyNumberFormat="0" applyFont="0" applyAlignment="0" applyProtection="0"/>
    <xf numFmtId="0" fontId="19" fillId="32" borderId="33" applyNumberFormat="0" applyFont="0" applyAlignment="0" applyProtection="0"/>
    <xf numFmtId="0" fontId="19" fillId="32" borderId="33" applyNumberFormat="0" applyFont="0" applyAlignment="0" applyProtection="0"/>
    <xf numFmtId="0" fontId="23" fillId="66" borderId="20" applyNumberFormat="0" applyFont="0" applyAlignment="0" applyProtection="0"/>
    <xf numFmtId="0" fontId="19" fillId="32" borderId="33" applyNumberFormat="0" applyFont="0" applyAlignment="0" applyProtection="0"/>
    <xf numFmtId="0" fontId="19" fillId="32" borderId="33" applyNumberFormat="0" applyFont="0" applyAlignment="0" applyProtection="0"/>
    <xf numFmtId="0" fontId="3" fillId="4" borderId="3" applyNumberFormat="0" applyFont="0" applyAlignment="0" applyProtection="0"/>
    <xf numFmtId="0" fontId="19" fillId="32" borderId="34" applyNumberFormat="0" applyFont="0" applyAlignment="0" applyProtection="0"/>
    <xf numFmtId="0" fontId="48" fillId="28" borderId="35" applyNumberFormat="0" applyAlignment="0" applyProtection="0"/>
    <xf numFmtId="0" fontId="90" fillId="28" borderId="35" applyNumberFormat="0" applyAlignment="0" applyProtection="0"/>
    <xf numFmtId="0" fontId="48" fillId="70" borderId="35" applyNumberFormat="0" applyAlignment="0" applyProtection="0"/>
    <xf numFmtId="0" fontId="48" fillId="28" borderId="35" applyNumberFormat="0" applyAlignment="0" applyProtection="0"/>
    <xf numFmtId="0" fontId="48" fillId="28" borderId="35" applyNumberFormat="0" applyAlignment="0" applyProtection="0"/>
    <xf numFmtId="0" fontId="90" fillId="28" borderId="35" applyNumberFormat="0" applyAlignment="0" applyProtection="0"/>
    <xf numFmtId="176" fontId="91" fillId="0" borderId="0">
      <protection hidden="1"/>
    </xf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0" fontId="68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10" fontId="68" fillId="0" borderId="0" applyFont="0" applyFill="0" applyBorder="0" applyAlignment="0" applyProtection="0"/>
    <xf numFmtId="10" fontId="68" fillId="0" borderId="0" applyFont="0" applyFill="0" applyBorder="0" applyAlignment="0" applyProtection="0"/>
    <xf numFmtId="10" fontId="68" fillId="0" borderId="0" applyFont="0" applyFill="0" applyBorder="0" applyAlignment="0" applyProtection="0"/>
    <xf numFmtId="10" fontId="68" fillId="0" borderId="0" applyFont="0" applyFill="0" applyBorder="0" applyAlignment="0" applyProtection="0"/>
    <xf numFmtId="10" fontId="68" fillId="0" borderId="0" applyFont="0" applyFill="0" applyBorder="0" applyAlignment="0" applyProtection="0"/>
    <xf numFmtId="10" fontId="68" fillId="0" borderId="0" applyFont="0" applyFill="0" applyBorder="0" applyAlignment="0" applyProtection="0"/>
    <xf numFmtId="10" fontId="68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19" fillId="0" borderId="0" applyFont="0" applyFill="0" applyBorder="0" applyAlignment="0" applyProtection="0"/>
    <xf numFmtId="10" fontId="68" fillId="0" borderId="0" applyFont="0" applyFill="0" applyBorder="0" applyAlignment="0" applyProtection="0"/>
    <xf numFmtId="10" fontId="68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177" fontId="91" fillId="0" borderId="0"/>
    <xf numFmtId="166" fontId="91" fillId="0" borderId="0"/>
    <xf numFmtId="178" fontId="91" fillId="0" borderId="0"/>
    <xf numFmtId="179" fontId="91" fillId="0" borderId="0"/>
    <xf numFmtId="180" fontId="92" fillId="0" borderId="0" applyNumberFormat="0" applyFill="0" applyBorder="0" applyAlignment="0" applyProtection="0">
      <alignment horizontal="left"/>
    </xf>
    <xf numFmtId="14" fontId="92" fillId="0" borderId="0" applyNumberFormat="0" applyFill="0" applyBorder="0" applyAlignment="0" applyProtection="0">
      <alignment horizontal="left"/>
    </xf>
    <xf numFmtId="4" fontId="23" fillId="38" borderId="20" applyNumberFormat="0" applyProtection="0">
      <alignment vertical="center"/>
    </xf>
    <xf numFmtId="4" fontId="23" fillId="38" borderId="20" applyNumberFormat="0" applyProtection="0">
      <alignment vertical="center"/>
    </xf>
    <xf numFmtId="4" fontId="23" fillId="77" borderId="20" applyNumberFormat="0" applyProtection="0">
      <alignment horizontal="left" vertical="center" indent="1"/>
    </xf>
    <xf numFmtId="0" fontId="93" fillId="38" borderId="36" applyNumberFormat="0" applyProtection="0">
      <alignment horizontal="left" vertical="top" indent="1"/>
    </xf>
    <xf numFmtId="4" fontId="23" fillId="41" borderId="20" applyNumberFormat="0" applyProtection="0">
      <alignment horizontal="left" vertical="center" indent="1"/>
    </xf>
    <xf numFmtId="4" fontId="23" fillId="29" borderId="20" applyNumberFormat="0" applyProtection="0">
      <alignment horizontal="right" vertical="center"/>
    </xf>
    <xf numFmtId="4" fontId="23" fillId="78" borderId="20" applyNumberFormat="0" applyProtection="0">
      <alignment horizontal="right" vertical="center"/>
    </xf>
    <xf numFmtId="4" fontId="23" fillId="50" borderId="37" applyNumberFormat="0" applyProtection="0">
      <alignment horizontal="right" vertical="center"/>
    </xf>
    <xf numFmtId="4" fontId="23" fillId="39" borderId="20" applyNumberFormat="0" applyProtection="0">
      <alignment horizontal="right" vertical="center"/>
    </xf>
    <xf numFmtId="4" fontId="23" fillId="44" borderId="20" applyNumberFormat="0" applyProtection="0">
      <alignment horizontal="right" vertical="center"/>
    </xf>
    <xf numFmtId="4" fontId="23" fillId="65" borderId="20" applyNumberFormat="0" applyProtection="0">
      <alignment horizontal="right" vertical="center"/>
    </xf>
    <xf numFmtId="4" fontId="23" fillId="55" borderId="20" applyNumberFormat="0" applyProtection="0">
      <alignment horizontal="right" vertical="center"/>
    </xf>
    <xf numFmtId="4" fontId="23" fillId="79" borderId="20" applyNumberFormat="0" applyProtection="0">
      <alignment horizontal="right" vertical="center"/>
    </xf>
    <xf numFmtId="4" fontId="23" fillId="37" borderId="20" applyNumberFormat="0" applyProtection="0">
      <alignment horizontal="right" vertical="center"/>
    </xf>
    <xf numFmtId="4" fontId="23" fillId="80" borderId="37" applyNumberFormat="0" applyProtection="0">
      <alignment horizontal="left" vertical="center" indent="1"/>
    </xf>
    <xf numFmtId="4" fontId="19" fillId="61" borderId="37" applyNumberFormat="0" applyProtection="0">
      <alignment horizontal="left" vertical="center" indent="1"/>
    </xf>
    <xf numFmtId="4" fontId="19" fillId="61" borderId="37" applyNumberFormat="0" applyProtection="0">
      <alignment horizontal="left" vertical="center" indent="1"/>
    </xf>
    <xf numFmtId="4" fontId="23" fillId="81" borderId="20" applyNumberFormat="0" applyProtection="0">
      <alignment horizontal="right" vertical="center"/>
    </xf>
    <xf numFmtId="4" fontId="23" fillId="82" borderId="37" applyNumberFormat="0" applyProtection="0">
      <alignment horizontal="left" vertical="center" indent="1"/>
    </xf>
    <xf numFmtId="4" fontId="23" fillId="81" borderId="37" applyNumberFormat="0" applyProtection="0">
      <alignment horizontal="left" vertical="center" indent="1"/>
    </xf>
    <xf numFmtId="0" fontId="23" fillId="28" borderId="20" applyNumberFormat="0" applyProtection="0">
      <alignment horizontal="left" vertical="center" indent="1"/>
    </xf>
    <xf numFmtId="0" fontId="23" fillId="61" borderId="36" applyNumberFormat="0" applyProtection="0">
      <alignment horizontal="left" vertical="top" indent="1"/>
    </xf>
    <xf numFmtId="0" fontId="23" fillId="83" borderId="20" applyNumberFormat="0" applyProtection="0">
      <alignment horizontal="left" vertical="center" indent="1"/>
    </xf>
    <xf numFmtId="0" fontId="23" fillId="81" borderId="36" applyNumberFormat="0" applyProtection="0">
      <alignment horizontal="left" vertical="top" indent="1"/>
    </xf>
    <xf numFmtId="0" fontId="23" fillId="35" borderId="20" applyNumberFormat="0" applyProtection="0">
      <alignment horizontal="left" vertical="center" indent="1"/>
    </xf>
    <xf numFmtId="0" fontId="23" fillId="35" borderId="36" applyNumberFormat="0" applyProtection="0">
      <alignment horizontal="left" vertical="top" indent="1"/>
    </xf>
    <xf numFmtId="0" fontId="23" fillId="82" borderId="20" applyNumberFormat="0" applyProtection="0">
      <alignment horizontal="left" vertical="center" indent="1"/>
    </xf>
    <xf numFmtId="0" fontId="23" fillId="82" borderId="36" applyNumberFormat="0" applyProtection="0">
      <alignment horizontal="left" vertical="top" indent="1"/>
    </xf>
    <xf numFmtId="0" fontId="23" fillId="84" borderId="38" applyNumberFormat="0">
      <protection locked="0"/>
    </xf>
    <xf numFmtId="0" fontId="94" fillId="61" borderId="39" applyBorder="0"/>
    <xf numFmtId="4" fontId="95" fillId="32" borderId="36" applyNumberFormat="0" applyProtection="0">
      <alignment vertical="center"/>
    </xf>
    <xf numFmtId="4" fontId="23" fillId="32" borderId="7" applyNumberFormat="0" applyProtection="0">
      <alignment vertical="center"/>
    </xf>
    <xf numFmtId="4" fontId="95" fillId="28" borderId="36" applyNumberFormat="0" applyProtection="0">
      <alignment horizontal="left" vertical="center" indent="1"/>
    </xf>
    <xf numFmtId="0" fontId="95" fillId="32" borderId="36" applyNumberFormat="0" applyProtection="0">
      <alignment horizontal="left" vertical="top" indent="1"/>
    </xf>
    <xf numFmtId="4" fontId="23" fillId="0" borderId="20" applyNumberFormat="0" applyProtection="0">
      <alignment horizontal="right" vertical="center"/>
    </xf>
    <xf numFmtId="4" fontId="23" fillId="84" borderId="20" applyNumberFormat="0" applyProtection="0">
      <alignment horizontal="right" vertical="center"/>
    </xf>
    <xf numFmtId="4" fontId="23" fillId="41" borderId="20" applyNumberFormat="0" applyProtection="0">
      <alignment horizontal="left" vertical="center" indent="1"/>
    </xf>
    <xf numFmtId="0" fontId="95" fillId="81" borderId="36" applyNumberFormat="0" applyProtection="0">
      <alignment horizontal="left" vertical="top" indent="1"/>
    </xf>
    <xf numFmtId="4" fontId="96" fillId="85" borderId="37" applyNumberFormat="0" applyProtection="0">
      <alignment horizontal="left" vertical="center" indent="1"/>
    </xf>
    <xf numFmtId="0" fontId="23" fillId="86" borderId="7"/>
    <xf numFmtId="4" fontId="97" fillId="84" borderId="20" applyNumberFormat="0" applyProtection="0">
      <alignment horizontal="right" vertical="center"/>
    </xf>
    <xf numFmtId="0" fontId="98" fillId="0" borderId="0" applyNumberFormat="0" applyFill="0" applyBorder="0" applyAlignment="0" applyProtection="0"/>
    <xf numFmtId="0" fontId="99" fillId="0" borderId="7">
      <alignment horizontal="center"/>
    </xf>
    <xf numFmtId="0" fontId="19" fillId="0" borderId="0" applyNumberFormat="0" applyFill="0" applyBorder="0" applyAlignment="0" applyProtection="0"/>
    <xf numFmtId="0" fontId="99" fillId="0" borderId="0">
      <alignment horizontal="center" vertical="center"/>
    </xf>
    <xf numFmtId="0" fontId="100" fillId="87" borderId="0" applyNumberFormat="0" applyFill="0">
      <alignment horizontal="left" vertical="center"/>
    </xf>
    <xf numFmtId="40" fontId="101" fillId="0" borderId="0" applyBorder="0">
      <alignment horizontal="right"/>
    </xf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49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50" fillId="0" borderId="40" applyNumberFormat="0" applyFill="0" applyAlignment="0" applyProtection="0"/>
    <xf numFmtId="0" fontId="68" fillId="0" borderId="41" applyNumberFormat="0" applyFont="0" applyFill="0" applyAlignment="0" applyProtection="0"/>
    <xf numFmtId="0" fontId="50" fillId="0" borderId="42" applyNumberFormat="0" applyFill="0" applyAlignment="0" applyProtection="0"/>
    <xf numFmtId="0" fontId="68" fillId="0" borderId="41" applyNumberFormat="0" applyFont="0" applyFill="0" applyAlignment="0" applyProtection="0"/>
    <xf numFmtId="0" fontId="68" fillId="0" borderId="41" applyNumberFormat="0" applyFont="0" applyFill="0" applyAlignment="0" applyProtection="0"/>
    <xf numFmtId="181" fontId="91" fillId="0" borderId="37">
      <protection locked="0"/>
    </xf>
    <xf numFmtId="178" fontId="91" fillId="0" borderId="37">
      <protection locked="0"/>
    </xf>
    <xf numFmtId="49" fontId="102" fillId="0" borderId="7">
      <alignment vertical="top"/>
      <protection locked="0"/>
    </xf>
    <xf numFmtId="182" fontId="91" fillId="0" borderId="37">
      <protection locked="0"/>
    </xf>
    <xf numFmtId="183" fontId="91" fillId="0" borderId="37">
      <protection locked="0"/>
    </xf>
    <xf numFmtId="49" fontId="102" fillId="0" borderId="37" applyFill="0" applyAlignment="0">
      <alignment horizontal="left"/>
      <protection locked="0"/>
    </xf>
    <xf numFmtId="0" fontId="51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5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3" borderId="1" xfId="0" applyFont="1" applyFill="1" applyBorder="1"/>
    <xf numFmtId="0" fontId="2" fillId="3" borderId="2" xfId="0" applyFont="1" applyFill="1" applyBorder="1"/>
    <xf numFmtId="0" fontId="2" fillId="0" borderId="1" xfId="0" applyFont="1" applyBorder="1"/>
    <xf numFmtId="0" fontId="2" fillId="0" borderId="2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3" borderId="2" xfId="0" applyFill="1" applyBorder="1"/>
    <xf numFmtId="0" fontId="0" fillId="0" borderId="2" xfId="0" applyBorder="1"/>
    <xf numFmtId="0" fontId="0" fillId="3" borderId="6" xfId="0" applyFill="1" applyBorder="1"/>
    <xf numFmtId="0" fontId="0" fillId="0" borderId="6" xfId="0" applyBorder="1"/>
    <xf numFmtId="0" fontId="7" fillId="2" borderId="2" xfId="0" applyFont="1" applyFill="1" applyBorder="1"/>
    <xf numFmtId="0" fontId="11" fillId="2" borderId="2" xfId="0" applyFont="1" applyFill="1" applyBorder="1"/>
    <xf numFmtId="164" fontId="0" fillId="0" borderId="0" xfId="1" applyNumberFormat="1" applyFont="1"/>
    <xf numFmtId="2" fontId="0" fillId="0" borderId="0" xfId="0" applyNumberFormat="1"/>
    <xf numFmtId="1" fontId="0" fillId="0" borderId="0" xfId="0" applyNumberFormat="1" applyAlignment="1">
      <alignment horizontal="center" vertical="center"/>
    </xf>
    <xf numFmtId="0" fontId="5" fillId="2" borderId="0" xfId="0" applyFont="1" applyFill="1"/>
    <xf numFmtId="10" fontId="0" fillId="0" borderId="0" xfId="1" applyNumberFormat="1" applyFont="1"/>
    <xf numFmtId="9" fontId="0" fillId="0" borderId="0" xfId="0" applyNumberFormat="1"/>
    <xf numFmtId="0" fontId="0" fillId="3" borderId="1" xfId="0" applyFill="1" applyBorder="1"/>
    <xf numFmtId="0" fontId="2" fillId="0" borderId="0" xfId="0" applyFont="1"/>
    <xf numFmtId="0" fontId="2" fillId="3" borderId="0" xfId="0" applyFont="1" applyFill="1"/>
    <xf numFmtId="0" fontId="12" fillId="0" borderId="2" xfId="0" applyFont="1" applyBorder="1"/>
    <xf numFmtId="0" fontId="12" fillId="3" borderId="2" xfId="0" applyFont="1" applyFill="1" applyBorder="1"/>
    <xf numFmtId="0" fontId="1" fillId="2" borderId="4" xfId="0" applyFont="1" applyFill="1" applyBorder="1"/>
    <xf numFmtId="0" fontId="11" fillId="2" borderId="4" xfId="0" applyFont="1" applyFill="1" applyBorder="1"/>
    <xf numFmtId="0" fontId="2" fillId="0" borderId="5" xfId="0" applyFont="1" applyBorder="1"/>
    <xf numFmtId="0" fontId="12" fillId="3" borderId="5" xfId="0" applyFont="1" applyFill="1" applyBorder="1"/>
    <xf numFmtId="0" fontId="10" fillId="2" borderId="2" xfId="0" applyFont="1" applyFill="1" applyBorder="1"/>
    <xf numFmtId="0" fontId="12" fillId="3" borderId="1" xfId="0" applyFont="1" applyFill="1" applyBorder="1"/>
    <xf numFmtId="0" fontId="12" fillId="0" borderId="1" xfId="0" applyFont="1" applyBorder="1"/>
    <xf numFmtId="0" fontId="10" fillId="2" borderId="4" xfId="0" applyFont="1" applyFill="1" applyBorder="1"/>
    <xf numFmtId="0" fontId="10" fillId="2" borderId="0" xfId="0" applyFont="1" applyFill="1"/>
    <xf numFmtId="0" fontId="0" fillId="0" borderId="1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2" xfId="0" quotePrefix="1" applyBorder="1"/>
    <xf numFmtId="0" fontId="0" fillId="0" borderId="13" xfId="0" quotePrefix="1" applyBorder="1"/>
    <xf numFmtId="0" fontId="0" fillId="0" borderId="14" xfId="0" applyBorder="1"/>
    <xf numFmtId="10" fontId="0" fillId="0" borderId="10" xfId="1" applyNumberFormat="1" applyFont="1" applyBorder="1"/>
    <xf numFmtId="0" fontId="0" fillId="0" borderId="0" xfId="1" applyNumberFormat="1" applyFont="1"/>
    <xf numFmtId="0" fontId="0" fillId="3" borderId="5" xfId="0" applyFill="1" applyBorder="1"/>
    <xf numFmtId="0" fontId="0" fillId="3" borderId="17" xfId="0" applyFill="1" applyBorder="1"/>
    <xf numFmtId="9" fontId="0" fillId="0" borderId="0" xfId="1" applyFont="1"/>
    <xf numFmtId="0" fontId="7" fillId="2" borderId="1" xfId="0" applyFont="1" applyFill="1" applyBorder="1"/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1" fillId="0" borderId="0" xfId="0" applyFont="1" applyAlignment="1">
      <alignment vertical="center"/>
    </xf>
    <xf numFmtId="2" fontId="0" fillId="0" borderId="10" xfId="1" applyNumberFormat="1" applyFont="1" applyBorder="1"/>
    <xf numFmtId="0" fontId="7" fillId="0" borderId="10" xfId="0" applyFont="1" applyBorder="1"/>
    <xf numFmtId="1" fontId="7" fillId="26" borderId="7" xfId="4" applyNumberFormat="1" applyFont="1" applyFill="1" applyBorder="1" applyAlignment="1">
      <alignment horizontal="right"/>
    </xf>
    <xf numFmtId="10" fontId="7" fillId="0" borderId="10" xfId="1" applyNumberFormat="1" applyFont="1" applyBorder="1"/>
    <xf numFmtId="0" fontId="0" fillId="24" borderId="7" xfId="0" applyFill="1" applyBorder="1"/>
    <xf numFmtId="0" fontId="0" fillId="90" borderId="0" xfId="0" applyFill="1"/>
    <xf numFmtId="0" fontId="21" fillId="25" borderId="7" xfId="3" applyFont="1" applyFill="1" applyBorder="1" applyAlignment="1">
      <alignment horizontal="center" vertical="center" wrapText="1"/>
    </xf>
    <xf numFmtId="0" fontId="21" fillId="25" borderId="7" xfId="3" applyFont="1" applyFill="1" applyBorder="1" applyAlignment="1">
      <alignment horizontal="center" vertical="center"/>
    </xf>
    <xf numFmtId="1" fontId="25" fillId="26" borderId="7" xfId="4" applyNumberFormat="1" applyFont="1" applyFill="1" applyBorder="1" applyAlignment="1">
      <alignment horizontal="center"/>
    </xf>
    <xf numFmtId="1" fontId="26" fillId="26" borderId="7" xfId="4" applyNumberFormat="1" applyFont="1" applyFill="1" applyBorder="1" applyAlignment="1">
      <alignment horizontal="right"/>
    </xf>
    <xf numFmtId="1" fontId="27" fillId="26" borderId="7" xfId="4" applyNumberFormat="1" applyFont="1" applyFill="1" applyBorder="1" applyAlignment="1">
      <alignment horizontal="right"/>
    </xf>
    <xf numFmtId="1" fontId="24" fillId="26" borderId="7" xfId="4" applyNumberFormat="1" applyFont="1" applyFill="1" applyBorder="1" applyAlignment="1">
      <alignment horizontal="left"/>
    </xf>
    <xf numFmtId="1" fontId="24" fillId="26" borderId="7" xfId="4" applyNumberFormat="1" applyFont="1" applyFill="1" applyBorder="1" applyAlignment="1">
      <alignment horizontal="center"/>
    </xf>
    <xf numFmtId="0" fontId="0" fillId="0" borderId="43" xfId="0" applyBorder="1"/>
    <xf numFmtId="0" fontId="0" fillId="0" borderId="45" xfId="0" applyBorder="1"/>
    <xf numFmtId="10" fontId="0" fillId="0" borderId="0" xfId="0" applyNumberFormat="1"/>
    <xf numFmtId="0" fontId="0" fillId="0" borderId="15" xfId="0" pivotButton="1" applyBorder="1"/>
    <xf numFmtId="0" fontId="0" fillId="0" borderId="44" xfId="0" applyBorder="1" applyAlignment="1">
      <alignment horizontal="left"/>
    </xf>
    <xf numFmtId="10" fontId="0" fillId="0" borderId="16" xfId="0" applyNumberFormat="1" applyBorder="1"/>
    <xf numFmtId="0" fontId="0" fillId="0" borderId="13" xfId="0" applyBorder="1" applyAlignment="1">
      <alignment horizontal="left"/>
    </xf>
    <xf numFmtId="10" fontId="0" fillId="0" borderId="11" xfId="0" applyNumberFormat="1" applyBorder="1"/>
    <xf numFmtId="164" fontId="0" fillId="0" borderId="16" xfId="0" applyNumberFormat="1" applyBorder="1"/>
    <xf numFmtId="164" fontId="0" fillId="0" borderId="11" xfId="0" applyNumberFormat="1" applyBorder="1"/>
    <xf numFmtId="164" fontId="0" fillId="0" borderId="8" xfId="0" applyNumberFormat="1" applyBorder="1"/>
    <xf numFmtId="164" fontId="0" fillId="0" borderId="10" xfId="0" applyNumberFormat="1" applyBorder="1"/>
    <xf numFmtId="0" fontId="5" fillId="2" borderId="46" xfId="0" applyFont="1" applyFill="1" applyBorder="1"/>
    <xf numFmtId="0" fontId="5" fillId="2" borderId="47" xfId="0" applyFont="1" applyFill="1" applyBorder="1"/>
    <xf numFmtId="0" fontId="0" fillId="3" borderId="50" xfId="0" applyFill="1" applyBorder="1"/>
    <xf numFmtId="0" fontId="0" fillId="3" borderId="51" xfId="0" applyFill="1" applyBorder="1"/>
    <xf numFmtId="0" fontId="28" fillId="88" borderId="50" xfId="0" applyFont="1" applyFill="1" applyBorder="1"/>
    <xf numFmtId="0" fontId="28" fillId="88" borderId="51" xfId="0" applyFont="1" applyFill="1" applyBorder="1"/>
    <xf numFmtId="0" fontId="0" fillId="0" borderId="50" xfId="0" applyBorder="1"/>
    <xf numFmtId="0" fontId="0" fillId="0" borderId="51" xfId="0" applyBorder="1"/>
    <xf numFmtId="0" fontId="0" fillId="0" borderId="48" xfId="0" applyBorder="1"/>
    <xf numFmtId="0" fontId="0" fillId="0" borderId="49" xfId="0" applyBorder="1"/>
    <xf numFmtId="0" fontId="0" fillId="24" borderId="12" xfId="0" applyFill="1" applyBorder="1"/>
    <xf numFmtId="0" fontId="28" fillId="88" borderId="0" xfId="0" applyFont="1" applyFill="1"/>
    <xf numFmtId="10" fontId="0" fillId="0" borderId="45" xfId="0" applyNumberFormat="1" applyBorder="1"/>
    <xf numFmtId="0" fontId="2" fillId="0" borderId="52" xfId="0" applyFont="1" applyBorder="1"/>
    <xf numFmtId="0" fontId="5" fillId="2" borderId="4" xfId="0" applyFont="1" applyFill="1" applyBorder="1"/>
    <xf numFmtId="0" fontId="10" fillId="2" borderId="52" xfId="0" applyFont="1" applyFill="1" applyBorder="1"/>
    <xf numFmtId="2" fontId="0" fillId="0" borderId="43" xfId="0" applyNumberFormat="1" applyBorder="1"/>
    <xf numFmtId="0" fontId="0" fillId="0" borderId="8" xfId="0" applyBorder="1" applyAlignment="1">
      <alignment horizontal="left"/>
    </xf>
    <xf numFmtId="10" fontId="0" fillId="0" borderId="10" xfId="0" applyNumberFormat="1" applyBorder="1"/>
    <xf numFmtId="0" fontId="16" fillId="23" borderId="15" xfId="0" applyFont="1" applyFill="1" applyBorder="1" applyAlignment="1">
      <alignment horizontal="center" vertical="center" wrapText="1"/>
    </xf>
    <xf numFmtId="0" fontId="16" fillId="23" borderId="43" xfId="0" applyFont="1" applyFill="1" applyBorder="1" applyAlignment="1">
      <alignment horizontal="center" vertical="center" wrapText="1"/>
    </xf>
    <xf numFmtId="0" fontId="16" fillId="23" borderId="14" xfId="0" applyFont="1" applyFill="1" applyBorder="1" applyAlignment="1">
      <alignment horizontal="center" vertical="center" wrapText="1"/>
    </xf>
    <xf numFmtId="0" fontId="16" fillId="23" borderId="13" xfId="0" applyFont="1" applyFill="1" applyBorder="1" applyAlignment="1">
      <alignment horizontal="center" vertical="center" wrapText="1"/>
    </xf>
    <xf numFmtId="0" fontId="16" fillId="23" borderId="45" xfId="0" applyFont="1" applyFill="1" applyBorder="1" applyAlignment="1">
      <alignment horizontal="center" vertical="center" wrapText="1"/>
    </xf>
    <xf numFmtId="0" fontId="16" fillId="23" borderId="11" xfId="0" applyFont="1" applyFill="1" applyBorder="1" applyAlignment="1">
      <alignment horizontal="center" vertical="center" wrapText="1"/>
    </xf>
    <xf numFmtId="0" fontId="113" fillId="23" borderId="15" xfId="0" applyFont="1" applyFill="1" applyBorder="1" applyAlignment="1">
      <alignment horizontal="center" vertical="center"/>
    </xf>
    <xf numFmtId="0" fontId="113" fillId="23" borderId="43" xfId="0" applyFont="1" applyFill="1" applyBorder="1" applyAlignment="1">
      <alignment horizontal="center" vertical="center"/>
    </xf>
    <xf numFmtId="0" fontId="113" fillId="23" borderId="14" xfId="0" applyFont="1" applyFill="1" applyBorder="1" applyAlignment="1">
      <alignment horizontal="center" vertical="center"/>
    </xf>
    <xf numFmtId="0" fontId="113" fillId="23" borderId="13" xfId="0" applyFont="1" applyFill="1" applyBorder="1" applyAlignment="1">
      <alignment horizontal="center" vertical="center"/>
    </xf>
    <xf numFmtId="0" fontId="113" fillId="23" borderId="45" xfId="0" applyFont="1" applyFill="1" applyBorder="1" applyAlignment="1">
      <alignment horizontal="center" vertical="center"/>
    </xf>
    <xf numFmtId="0" fontId="113" fillId="23" borderId="11" xfId="0" applyFont="1" applyFill="1" applyBorder="1" applyAlignment="1">
      <alignment horizontal="center" vertical="center"/>
    </xf>
    <xf numFmtId="0" fontId="14" fillId="24" borderId="0" xfId="0" applyFont="1" applyFill="1" applyAlignment="1">
      <alignment horizontal="center" vertical="center" wrapText="1"/>
    </xf>
    <xf numFmtId="0" fontId="17" fillId="23" borderId="15" xfId="0" applyFont="1" applyFill="1" applyBorder="1" applyAlignment="1">
      <alignment horizontal="center" vertical="center"/>
    </xf>
    <xf numFmtId="0" fontId="17" fillId="23" borderId="43" xfId="0" applyFont="1" applyFill="1" applyBorder="1" applyAlignment="1">
      <alignment horizontal="center" vertical="center"/>
    </xf>
    <xf numFmtId="0" fontId="17" fillId="23" borderId="14" xfId="0" applyFont="1" applyFill="1" applyBorder="1" applyAlignment="1">
      <alignment horizontal="center" vertical="center"/>
    </xf>
    <xf numFmtId="0" fontId="17" fillId="23" borderId="13" xfId="0" applyFont="1" applyFill="1" applyBorder="1" applyAlignment="1">
      <alignment horizontal="center" vertical="center"/>
    </xf>
    <xf numFmtId="0" fontId="17" fillId="23" borderId="45" xfId="0" applyFont="1" applyFill="1" applyBorder="1" applyAlignment="1">
      <alignment horizontal="center" vertical="center"/>
    </xf>
    <xf numFmtId="0" fontId="17" fillId="23" borderId="11" xfId="0" applyFont="1" applyFill="1" applyBorder="1" applyAlignment="1">
      <alignment horizontal="center" vertical="center"/>
    </xf>
    <xf numFmtId="0" fontId="18" fillId="23" borderId="15" xfId="0" applyFont="1" applyFill="1" applyBorder="1" applyAlignment="1">
      <alignment horizontal="center" vertical="center"/>
    </xf>
    <xf numFmtId="0" fontId="18" fillId="23" borderId="43" xfId="0" applyFont="1" applyFill="1" applyBorder="1" applyAlignment="1">
      <alignment horizontal="center" vertical="center"/>
    </xf>
    <xf numFmtId="0" fontId="18" fillId="23" borderId="14" xfId="0" applyFont="1" applyFill="1" applyBorder="1" applyAlignment="1">
      <alignment horizontal="center" vertical="center"/>
    </xf>
    <xf numFmtId="0" fontId="18" fillId="23" borderId="13" xfId="0" applyFont="1" applyFill="1" applyBorder="1" applyAlignment="1">
      <alignment horizontal="center" vertical="center"/>
    </xf>
    <xf numFmtId="0" fontId="18" fillId="23" borderId="45" xfId="0" applyFont="1" applyFill="1" applyBorder="1" applyAlignment="1">
      <alignment horizontal="center" vertical="center"/>
    </xf>
    <xf numFmtId="0" fontId="18" fillId="23" borderId="11" xfId="0" applyFont="1" applyFill="1" applyBorder="1" applyAlignment="1">
      <alignment horizontal="center" vertical="center"/>
    </xf>
    <xf numFmtId="0" fontId="110" fillId="23" borderId="8" xfId="748" applyFont="1" applyFill="1" applyBorder="1" applyAlignment="1">
      <alignment horizontal="center"/>
    </xf>
    <xf numFmtId="0" fontId="110" fillId="23" borderId="9" xfId="748" applyFont="1" applyFill="1" applyBorder="1" applyAlignment="1">
      <alignment horizontal="center"/>
    </xf>
    <xf numFmtId="0" fontId="110" fillId="23" borderId="10" xfId="748" applyFont="1" applyFill="1" applyBorder="1" applyAlignment="1">
      <alignment horizontal="center"/>
    </xf>
    <xf numFmtId="0" fontId="17" fillId="23" borderId="44" xfId="0" applyFont="1" applyFill="1" applyBorder="1" applyAlignment="1">
      <alignment horizontal="center" vertical="center"/>
    </xf>
    <xf numFmtId="0" fontId="17" fillId="23" borderId="0" xfId="0" applyFont="1" applyFill="1" applyAlignment="1">
      <alignment horizontal="center" vertical="center"/>
    </xf>
    <xf numFmtId="0" fontId="17" fillId="23" borderId="16" xfId="0" applyFont="1" applyFill="1" applyBorder="1" applyAlignment="1">
      <alignment horizontal="center" vertical="center"/>
    </xf>
    <xf numFmtId="0" fontId="33" fillId="89" borderId="7" xfId="0" applyFont="1" applyFill="1" applyBorder="1" applyAlignment="1">
      <alignment horizontal="center" vertical="center" wrapText="1"/>
    </xf>
    <xf numFmtId="0" fontId="33" fillId="89" borderId="15" xfId="0" applyFont="1" applyFill="1" applyBorder="1" applyAlignment="1">
      <alignment horizontal="center" vertical="center" wrapText="1"/>
    </xf>
    <xf numFmtId="0" fontId="33" fillId="89" borderId="14" xfId="0" applyFont="1" applyFill="1" applyBorder="1" applyAlignment="1">
      <alignment horizontal="center" vertical="center" wrapText="1"/>
    </xf>
    <xf numFmtId="0" fontId="33" fillId="89" borderId="13" xfId="0" applyFont="1" applyFill="1" applyBorder="1" applyAlignment="1">
      <alignment horizontal="center" vertical="center" wrapText="1"/>
    </xf>
    <xf numFmtId="0" fontId="33" fillId="89" borderId="11" xfId="0" applyFont="1" applyFill="1" applyBorder="1" applyAlignment="1">
      <alignment horizontal="center" vertical="center" wrapText="1"/>
    </xf>
    <xf numFmtId="0" fontId="33" fillId="89" borderId="7" xfId="0" applyFont="1" applyFill="1" applyBorder="1" applyAlignment="1">
      <alignment horizontal="center" vertical="center"/>
    </xf>
    <xf numFmtId="0" fontId="20" fillId="0" borderId="0" xfId="2" applyFont="1" applyAlignment="1">
      <alignment horizontal="right"/>
    </xf>
    <xf numFmtId="0" fontId="21" fillId="89" borderId="7" xfId="2" applyFont="1" applyFill="1" applyBorder="1" applyAlignment="1">
      <alignment horizontal="center" vertical="center"/>
    </xf>
    <xf numFmtId="0" fontId="21" fillId="89" borderId="8" xfId="2" applyFont="1" applyFill="1" applyBorder="1" applyAlignment="1">
      <alignment horizontal="center" vertical="center"/>
    </xf>
    <xf numFmtId="0" fontId="21" fillId="89" borderId="9" xfId="2" applyFont="1" applyFill="1" applyBorder="1" applyAlignment="1">
      <alignment horizontal="center" vertical="center"/>
    </xf>
    <xf numFmtId="0" fontId="21" fillId="89" borderId="10" xfId="2" applyFont="1" applyFill="1" applyBorder="1" applyAlignment="1">
      <alignment horizontal="center" vertical="center"/>
    </xf>
    <xf numFmtId="0" fontId="112" fillId="91" borderId="0" xfId="748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0" fillId="0" borderId="4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4" fillId="0" borderId="4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4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1" fillId="0" borderId="4" xfId="0" applyFont="1" applyBorder="1" applyAlignment="1">
      <alignment horizontal="center" vertical="center"/>
    </xf>
  </cellXfs>
  <cellStyles count="749">
    <cellStyle name="µÚ¿¡ ¿À´Â ÇÏÀÌÆÛ¸µÅ©" xfId="5" xr:uid="{3F7F0109-12A8-44FF-8157-99B0332A1294}"/>
    <cellStyle name="W?_BOOKSHIP_laroux_´ë¿ÜÇÑ¹®°ø¹® " xfId="6" xr:uid="{7BEFB54C-3B80-4B4C-8DD2-D1075568F61C}"/>
    <cellStyle name="¹éºÐÀ²_±âÅ¸" xfId="7" xr:uid="{BDCF2CC3-D514-4DBE-A564-ED6C388BE348}"/>
    <cellStyle name="20% - Accent1 2" xfId="8" xr:uid="{E3D4EAF8-DF46-4B36-A4A4-065DD8A41BEA}"/>
    <cellStyle name="20% - Accent1 2 2" xfId="9" xr:uid="{68BE2041-0E59-493C-87E9-A367E239A2A9}"/>
    <cellStyle name="20% - Accent1 2 3" xfId="10" xr:uid="{7D0F736F-EA74-479E-9E92-DF568B6A6610}"/>
    <cellStyle name="20% - Accent1 3" xfId="11" xr:uid="{308F17C9-5FD8-4369-826B-BB9B3E246EDD}"/>
    <cellStyle name="20% - Accent1 3 2" xfId="12" xr:uid="{F8A56AB9-D848-48F2-A51E-206BCF7FBAC1}"/>
    <cellStyle name="20% - Accent1 4" xfId="13" xr:uid="{565A2B21-A8E6-4624-8D9F-AB5819EA5F11}"/>
    <cellStyle name="20% - Accent1 4 2" xfId="14" xr:uid="{C9398A9A-7E24-42A8-B44D-8D3CEFFDE99F}"/>
    <cellStyle name="20% - Accent1 5" xfId="15" xr:uid="{E12EC9E7-4CE3-4C12-8E1C-16C77678BFC6}"/>
    <cellStyle name="20% - Accent2 2" xfId="16" xr:uid="{F02FD1CB-583E-4138-AAB4-DB36226AF5AF}"/>
    <cellStyle name="20% - Accent2 2 2" xfId="17" xr:uid="{1C132855-6F80-42E4-A5ED-EF31D6B9E281}"/>
    <cellStyle name="20% - Accent2 2 3" xfId="18" xr:uid="{2314C9D9-2A1F-462E-92E3-0B3F5F49D225}"/>
    <cellStyle name="20% - Accent2 3" xfId="19" xr:uid="{36283050-E37B-4D23-9F54-773FE1E512A2}"/>
    <cellStyle name="20% - Accent2 3 2" xfId="20" xr:uid="{DDBC3116-DEC4-498C-8D9A-02AD941437C1}"/>
    <cellStyle name="20% - Accent2 4" xfId="21" xr:uid="{AC9C6DDC-173F-464B-A605-5858A0F194AD}"/>
    <cellStyle name="20% - Accent2 4 2" xfId="22" xr:uid="{AEE62425-C679-4D16-954B-4CEB981B8BF2}"/>
    <cellStyle name="20% - Accent2 5" xfId="23" xr:uid="{FD6796F6-6172-4F24-9C5F-45258A9894B2}"/>
    <cellStyle name="20% - Accent3 2" xfId="24" xr:uid="{4F351FE8-F93E-4A25-8C01-3A466EB186F1}"/>
    <cellStyle name="20% - Accent3 2 2" xfId="25" xr:uid="{294BF15F-FFBE-45DE-8080-BA57316FA7F3}"/>
    <cellStyle name="20% - Accent3 2 3" xfId="26" xr:uid="{AEC72C2C-3148-40B9-AB2C-973DA25A1BDE}"/>
    <cellStyle name="20% - Accent3 3" xfId="27" xr:uid="{B82F0A6F-D10C-4674-8DE3-87C4BB72CD1A}"/>
    <cellStyle name="20% - Accent3 3 2" xfId="28" xr:uid="{99053BE4-1DFD-4F56-A209-E708A8DF1BDC}"/>
    <cellStyle name="20% - Accent3 4" xfId="29" xr:uid="{25869505-DB1A-4CA9-A445-9B0CF8048A41}"/>
    <cellStyle name="20% - Accent3 4 2" xfId="30" xr:uid="{B038A2BF-E305-400D-9BC1-4C506CD2EF57}"/>
    <cellStyle name="20% - Accent3 5" xfId="31" xr:uid="{88147912-24FF-48C8-AC1B-095DA2059A5D}"/>
    <cellStyle name="20% - Accent4 2" xfId="32" xr:uid="{634A09B6-E27A-41BD-894C-B5AF17E950A1}"/>
    <cellStyle name="20% - Accent4 2 2" xfId="33" xr:uid="{27E018B9-4B9E-4E28-9E63-ADA508160144}"/>
    <cellStyle name="20% - Accent4 2 3" xfId="34" xr:uid="{E02A8934-3FF2-4116-8813-A53F7C6157F1}"/>
    <cellStyle name="20% - Accent4 3" xfId="35" xr:uid="{FB9D09F5-41EF-431A-8DDD-C282876194EA}"/>
    <cellStyle name="20% - Accent4 3 2" xfId="36" xr:uid="{05A98D43-470F-4AFE-9DC8-55218F253408}"/>
    <cellStyle name="20% - Accent4 4" xfId="37" xr:uid="{AA9C66E8-CE1F-4525-A17C-F237E694888C}"/>
    <cellStyle name="20% - Accent4 4 2" xfId="38" xr:uid="{4B276C08-E725-40D3-886F-832131EF81F8}"/>
    <cellStyle name="20% - Accent4 5" xfId="39" xr:uid="{34634178-A226-4FB7-BFE0-560FAD234335}"/>
    <cellStyle name="20% - Accent5 2" xfId="40" xr:uid="{1A4A4339-7CBF-436C-BE9C-171F1D649779}"/>
    <cellStyle name="20% - Accent5 2 2" xfId="41" xr:uid="{4415C730-CE20-43DE-A867-7FEF9A24D145}"/>
    <cellStyle name="20% - Accent5 2 3" xfId="42" xr:uid="{B37CA7F0-FE17-4199-B7FD-7ACAB127133C}"/>
    <cellStyle name="20% - Accent5 3" xfId="43" xr:uid="{7B47AD3E-AEA6-4693-A3A4-37EBFDA3A4A0}"/>
    <cellStyle name="20% - Accent5 3 2" xfId="44" xr:uid="{D7BF00BF-F5C3-493E-8736-E396AB673497}"/>
    <cellStyle name="20% - Accent5 4" xfId="45" xr:uid="{7ACB7DE0-DF1E-4792-A318-BC1845BBE5D4}"/>
    <cellStyle name="20% - Accent5 4 2" xfId="46" xr:uid="{ACC35BF5-80FE-42D5-8750-0EC53143FDF1}"/>
    <cellStyle name="20% - Accent5 5" xfId="47" xr:uid="{69835F82-AA21-4D89-9ED1-D243CAF055E9}"/>
    <cellStyle name="20% - Accent6 2" xfId="48" xr:uid="{D151B722-98E7-465F-BE31-2473A4B5F5F5}"/>
    <cellStyle name="20% - Accent6 2 2" xfId="49" xr:uid="{975127BD-F0F9-4F84-B7FB-C785FA140F3B}"/>
    <cellStyle name="20% - Accent6 2 3" xfId="50" xr:uid="{745C8353-02BE-45B1-A5A5-55B6E992BB93}"/>
    <cellStyle name="20% - Accent6 3" xfId="51" xr:uid="{C66D8636-2444-4EDA-A04F-948D5A71FBD8}"/>
    <cellStyle name="20% - Accent6 3 2" xfId="52" xr:uid="{F7263B45-897D-4C23-82DC-6D32B3CEC92A}"/>
    <cellStyle name="20% - Accent6 4" xfId="53" xr:uid="{E81D5F85-B2B0-46E6-B14C-6D0739C22931}"/>
    <cellStyle name="20% - Accent6 4 2" xfId="54" xr:uid="{D18B647B-993A-4C92-BB30-53A80AD6E8D2}"/>
    <cellStyle name="20% - Accent6 5" xfId="55" xr:uid="{0FAA8339-3219-45BE-9AA0-F93F0D83D7B0}"/>
    <cellStyle name="40% - Accent1 2" xfId="56" xr:uid="{458E848B-31EF-43EA-AF38-E64F312AF455}"/>
    <cellStyle name="40% - Accent1 2 2" xfId="57" xr:uid="{0B47EA0C-60D3-414F-8391-1E6FA7E45BE5}"/>
    <cellStyle name="40% - Accent1 2 3" xfId="58" xr:uid="{484EB9B1-D4AB-49BC-AFB5-63FD6B461C5B}"/>
    <cellStyle name="40% - Accent1 3" xfId="59" xr:uid="{A14B2BAE-8303-468F-AB95-46AB020889B0}"/>
    <cellStyle name="40% - Accent1 3 2" xfId="60" xr:uid="{0E9119A3-135F-4E24-B3C5-4552F73F7FB1}"/>
    <cellStyle name="40% - Accent1 4" xfId="61" xr:uid="{4A756E62-E38B-4D06-95C4-6F2FC4853424}"/>
    <cellStyle name="40% - Accent1 4 2" xfId="62" xr:uid="{9F2D2FC8-E3D7-4EA6-B6DE-42D9011548AB}"/>
    <cellStyle name="40% - Accent1 5" xfId="63" xr:uid="{08B9DE72-B024-47EE-B801-0268DA855DB5}"/>
    <cellStyle name="40% - Accent2 2" xfId="64" xr:uid="{ED75939E-B100-4629-B230-80705F0F62A5}"/>
    <cellStyle name="40% - Accent2 2 2" xfId="65" xr:uid="{ECAA969E-E7DD-4E24-8DB3-DBEA93B69B0A}"/>
    <cellStyle name="40% - Accent2 2 3" xfId="66" xr:uid="{C9A57C4B-780A-4BA5-B3B6-F1138FF25280}"/>
    <cellStyle name="40% - Accent2 3" xfId="67" xr:uid="{F2699877-47AA-4E4B-A382-6ABA52395ECF}"/>
    <cellStyle name="40% - Accent2 3 2" xfId="68" xr:uid="{EB4F2F7D-CC72-41C5-9270-10F35F8BD285}"/>
    <cellStyle name="40% - Accent2 4" xfId="69" xr:uid="{3CC8D4BD-2285-48C4-A8ED-BCA020AB43E1}"/>
    <cellStyle name="40% - Accent2 4 2" xfId="70" xr:uid="{AC8C2BB3-0946-4F44-8A31-D924A6056611}"/>
    <cellStyle name="40% - Accent2 5" xfId="71" xr:uid="{559B6CC1-D9AC-4B9F-9F13-FAC9D26EA14E}"/>
    <cellStyle name="40% - Accent3 2" xfId="72" xr:uid="{D9E51F12-FEFE-4010-9BE5-65CA5626924B}"/>
    <cellStyle name="40% - Accent3 2 2" xfId="73" xr:uid="{FF89BA02-69F3-404C-AA66-7A349482B855}"/>
    <cellStyle name="40% - Accent3 2 3" xfId="74" xr:uid="{B62801CB-72F1-4A23-B1D3-144AF0098A89}"/>
    <cellStyle name="40% - Accent3 3" xfId="75" xr:uid="{A6376217-3234-467B-8ECD-CACADBB14B84}"/>
    <cellStyle name="40% - Accent3 3 2" xfId="76" xr:uid="{6D1E0B5A-54A9-478E-9C8C-5C9165D06CFC}"/>
    <cellStyle name="40% - Accent3 4" xfId="77" xr:uid="{CD13DBD4-2CB5-4E02-8E6E-AA66C91F217E}"/>
    <cellStyle name="40% - Accent3 4 2" xfId="78" xr:uid="{4AA4AEEA-2066-4140-9B61-158C24F35BA2}"/>
    <cellStyle name="40% - Accent3 5" xfId="79" xr:uid="{3CC65447-33DC-4AE4-B557-DCD44F4A336B}"/>
    <cellStyle name="40% - Accent4 2" xfId="80" xr:uid="{8000AB8D-9BA4-4754-BD6C-AF62BE4530F9}"/>
    <cellStyle name="40% - Accent4 2 2" xfId="81" xr:uid="{41D93A13-8117-4C37-9C3F-92B6E030DFA2}"/>
    <cellStyle name="40% - Accent4 2 3" xfId="82" xr:uid="{9B278D52-4A19-4172-B8FF-473AAFA07AA0}"/>
    <cellStyle name="40% - Accent4 3" xfId="83" xr:uid="{A5E08D2A-A815-4A95-845B-3326555A7052}"/>
    <cellStyle name="40% - Accent4 3 2" xfId="84" xr:uid="{B670CC26-4AC9-4095-96DA-5FE9E20D7BA2}"/>
    <cellStyle name="40% - Accent4 4" xfId="85" xr:uid="{BA27B75D-4196-43B2-B13B-50835CACF54F}"/>
    <cellStyle name="40% - Accent4 4 2" xfId="86" xr:uid="{D22AD521-8FE6-4CCC-BCBF-91DA65D29EF6}"/>
    <cellStyle name="40% - Accent4 5" xfId="87" xr:uid="{A73CB085-84C9-4342-9664-1F9F80191052}"/>
    <cellStyle name="40% - Accent5 2" xfId="88" xr:uid="{117207FE-47DE-438D-942A-AFD709FF35A1}"/>
    <cellStyle name="40% - Accent5 2 2" xfId="89" xr:uid="{DEA02A06-E114-4993-AF55-D43C365E5D81}"/>
    <cellStyle name="40% - Accent5 2 3" xfId="90" xr:uid="{8183E3B1-5C86-4E4F-B316-129E71599F23}"/>
    <cellStyle name="40% - Accent5 3" xfId="91" xr:uid="{18980743-F270-47CA-81AE-4911D26A2F7A}"/>
    <cellStyle name="40% - Accent5 3 2" xfId="92" xr:uid="{CCFD8931-6959-4BC7-8603-85B979ED489E}"/>
    <cellStyle name="40% - Accent5 4" xfId="93" xr:uid="{DC86E9DC-A782-46CC-8781-69DEFC6C0115}"/>
    <cellStyle name="40% - Accent5 4 2" xfId="94" xr:uid="{C7C7C642-E97B-4D77-ABDB-689FAEB23734}"/>
    <cellStyle name="40% - Accent5 5" xfId="95" xr:uid="{95F3A5FE-DC3B-4999-AC11-DDE599C93BE0}"/>
    <cellStyle name="40% - Accent6 2" xfId="96" xr:uid="{A753E816-86F5-4B75-9870-584907AA935D}"/>
    <cellStyle name="40% - Accent6 2 2" xfId="97" xr:uid="{29AABAA7-7EBE-448A-9C22-4F0DA961DDC9}"/>
    <cellStyle name="40% - Accent6 2 3" xfId="98" xr:uid="{255EF11C-92AD-4FA0-8389-727388416C30}"/>
    <cellStyle name="40% - Accent6 3" xfId="99" xr:uid="{7EF2A50A-5CC7-4A71-82B3-690798DAB0EF}"/>
    <cellStyle name="40% - Accent6 3 2" xfId="100" xr:uid="{311D616E-4BBB-43C6-BA87-EB66701C09A2}"/>
    <cellStyle name="40% - Accent6 4" xfId="101" xr:uid="{A7255ED2-4D62-40EB-9C2C-125F01011CE0}"/>
    <cellStyle name="40% - Accent6 4 2" xfId="102" xr:uid="{F65C5928-0085-4543-88A0-CE84FD8DCE3D}"/>
    <cellStyle name="40% - Accent6 5" xfId="103" xr:uid="{55F60E27-7805-4079-A21D-07426C4BC3C6}"/>
    <cellStyle name="60% - Accent1 2" xfId="104" xr:uid="{3BFD1B68-9278-4127-A4D2-2F2BE8CA6C06}"/>
    <cellStyle name="60% - Accent1 2 2" xfId="105" xr:uid="{86478E9B-5851-42C4-82C8-5C83E617C034}"/>
    <cellStyle name="60% - Accent1 2 3" xfId="106" xr:uid="{FBE00EAE-F478-4107-A594-D65444B83B3E}"/>
    <cellStyle name="60% - Accent1 3" xfId="107" xr:uid="{AB702D0D-F066-4406-AACF-D0EED365D292}"/>
    <cellStyle name="60% - Accent1 4" xfId="108" xr:uid="{053A24C9-270B-4009-8215-9F60A78EC4A3}"/>
    <cellStyle name="60% - Accent1 5" xfId="109" xr:uid="{2A749E83-1B6C-4419-AAEE-6C73ED4665AC}"/>
    <cellStyle name="60% - Accent2 2" xfId="110" xr:uid="{B4719E4B-2BEB-43A1-80F3-44883071DC41}"/>
    <cellStyle name="60% - Accent2 2 2" xfId="111" xr:uid="{EB65882C-9656-4AFF-B64B-913E5A799124}"/>
    <cellStyle name="60% - Accent2 2 3" xfId="112" xr:uid="{E01F0472-ED36-494B-999E-DBF64F2B52A0}"/>
    <cellStyle name="60% - Accent2 3" xfId="113" xr:uid="{98C65EBF-ABD5-4536-94EA-9901F6B50EBA}"/>
    <cellStyle name="60% - Accent2 4" xfId="114" xr:uid="{6C900118-8A4E-440A-8A3C-3CC4B33036EE}"/>
    <cellStyle name="60% - Accent2 5" xfId="115" xr:uid="{B7437972-55CF-43E3-B5F1-946BD650A3C5}"/>
    <cellStyle name="60% - Accent3 2" xfId="116" xr:uid="{131B539E-4316-458A-A4BA-349D2D786988}"/>
    <cellStyle name="60% - Accent3 2 2" xfId="117" xr:uid="{B4F17946-9D6E-419B-9CB7-4E6494B3F2DB}"/>
    <cellStyle name="60% - Accent3 2 3" xfId="118" xr:uid="{1C057DC5-FF0E-458E-8A44-BD88E1716C97}"/>
    <cellStyle name="60% - Accent3 3" xfId="119" xr:uid="{D86BB4EF-C73D-42E6-91B7-2FE5AA0CA848}"/>
    <cellStyle name="60% - Accent3 4" xfId="120" xr:uid="{2EFCC5D3-EF24-40AD-98D5-37E06C232BF2}"/>
    <cellStyle name="60% - Accent3 5" xfId="121" xr:uid="{BF8B676C-36DD-4ADA-91DC-058DDF607AFC}"/>
    <cellStyle name="60% - Accent4 2" xfId="122" xr:uid="{EFD2E77F-6E0C-492F-84BF-7EBBDCA0F284}"/>
    <cellStyle name="60% - Accent4 2 2" xfId="123" xr:uid="{61D1F9C0-C1AE-49ED-8B2E-185355F2FB1F}"/>
    <cellStyle name="60% - Accent4 2 3" xfId="124" xr:uid="{BEFBE18B-5F7A-4DAD-8CE6-1FC6387D73F9}"/>
    <cellStyle name="60% - Accent4 3" xfId="125" xr:uid="{098D8F2F-7F0A-4B5A-AE8D-16221BF67092}"/>
    <cellStyle name="60% - Accent4 4" xfId="126" xr:uid="{DC831A18-F89E-4D9B-A44E-C5083652EA10}"/>
    <cellStyle name="60% - Accent4 5" xfId="127" xr:uid="{E9F7618E-156F-4E83-9E0E-56714F1EAB13}"/>
    <cellStyle name="60% - Accent5 2" xfId="128" xr:uid="{15A564D6-ADC5-4836-B601-356D066570FC}"/>
    <cellStyle name="60% - Accent5 2 2" xfId="129" xr:uid="{574710B0-1FFD-4317-A527-E71853F3C534}"/>
    <cellStyle name="60% - Accent5 2 3" xfId="130" xr:uid="{96B92CF0-D787-4526-91EE-BE95AA482AD0}"/>
    <cellStyle name="60% - Accent5 3" xfId="131" xr:uid="{6117E1DC-F3AE-4E9D-8B2F-4317FD910273}"/>
    <cellStyle name="60% - Accent5 4" xfId="132" xr:uid="{180A645C-77B1-4D0E-9750-29A806833BF1}"/>
    <cellStyle name="60% - Accent5 5" xfId="133" xr:uid="{39441F9A-6A17-48E7-ADA2-D8F0AB1DE2D8}"/>
    <cellStyle name="60% - Accent6 2" xfId="134" xr:uid="{0A3B4255-5BAD-4649-BAC1-CCF0259A1C91}"/>
    <cellStyle name="60% - Accent6 2 2" xfId="135" xr:uid="{85E38D56-4ACE-43FC-A266-A145A0CA9274}"/>
    <cellStyle name="60% - Accent6 2 3" xfId="136" xr:uid="{FA4EF7A8-9DB7-4AE7-8458-B0FF86D90BB6}"/>
    <cellStyle name="60% - Accent6 3" xfId="137" xr:uid="{598D3013-2DD4-4726-8EE2-EA4621637CAF}"/>
    <cellStyle name="60% - Accent6 4" xfId="138" xr:uid="{6E3AFBFF-4E94-4A90-9368-2BAD81CDDEE1}"/>
    <cellStyle name="60% - Accent6 5" xfId="139" xr:uid="{C3E8759F-6BCC-4210-AC70-91F854D47FA4}"/>
    <cellStyle name="Accent1 - 20%" xfId="140" xr:uid="{5685B48D-34B5-4C82-BF81-61B050AF9408}"/>
    <cellStyle name="Accent1 - 40%" xfId="141" xr:uid="{B556837A-554D-46DA-9855-633047B5DA59}"/>
    <cellStyle name="Accent1 - 60%" xfId="142" xr:uid="{0690F14A-F146-4255-AFD9-0897E149A07E}"/>
    <cellStyle name="Accent1 2" xfId="143" xr:uid="{1D29C580-BF0E-4CA7-8B98-E9A8ADD4553C}"/>
    <cellStyle name="Accent1 2 2" xfId="144" xr:uid="{72187C30-F225-459D-A055-FC35580F055A}"/>
    <cellStyle name="Accent1 2 3" xfId="145" xr:uid="{E850A45D-767E-461C-8890-CA699A27F8A1}"/>
    <cellStyle name="Accent1 3" xfId="146" xr:uid="{7AF9281E-4656-439A-B2D8-C5E71D2C1B1C}"/>
    <cellStyle name="Accent1 4" xfId="147" xr:uid="{118CB626-CE9C-442E-AE8F-5712172AEDF9}"/>
    <cellStyle name="Accent1 5" xfId="148" xr:uid="{F311BC28-54C8-4817-B248-75E2DBA62DB1}"/>
    <cellStyle name="Accent2 - 20%" xfId="149" xr:uid="{1A83E666-0B1B-45EF-A386-0B9BB755F5F4}"/>
    <cellStyle name="Accent2 - 40%" xfId="150" xr:uid="{69F4FB78-D830-4D34-9934-8FBAEC2E350C}"/>
    <cellStyle name="Accent2 - 60%" xfId="151" xr:uid="{E7297597-4625-4339-BA9F-57E6DBC91695}"/>
    <cellStyle name="Accent2 2" xfId="152" xr:uid="{CFC01FCA-A763-45ED-B746-DCA3DEAF3D97}"/>
    <cellStyle name="Accent2 2 2" xfId="153" xr:uid="{FC9BD17C-B898-4E22-9422-A5F406AB336A}"/>
    <cellStyle name="Accent2 2 3" xfId="154" xr:uid="{0FDCC3CF-D87C-4B31-BE8F-E7B6A5994586}"/>
    <cellStyle name="Accent2 3" xfId="155" xr:uid="{AE425A4B-5D16-4310-A7E7-8B986CD8C027}"/>
    <cellStyle name="Accent2 4" xfId="156" xr:uid="{92557F2A-F741-4271-A1C6-103D36662F40}"/>
    <cellStyle name="Accent2 5" xfId="157" xr:uid="{35F08108-B254-4444-9704-1805CE17274D}"/>
    <cellStyle name="Accent3 - 20%" xfId="158" xr:uid="{47A74D26-FD0A-4785-9452-4708366BB0E2}"/>
    <cellStyle name="Accent3 - 40%" xfId="159" xr:uid="{6897C012-7134-4B5D-8BE3-71838DAFDE88}"/>
    <cellStyle name="Accent3 - 60%" xfId="160" xr:uid="{3F623E25-DCDE-4C5C-973B-AEB4BB1494EF}"/>
    <cellStyle name="Accent3 2" xfId="161" xr:uid="{29F19F47-BD6A-4A97-9BF6-4399B0577DDC}"/>
    <cellStyle name="Accent3 2 2" xfId="162" xr:uid="{B0D5EB06-2F53-4B58-B8C5-BEA1858AE30D}"/>
    <cellStyle name="Accent3 2 3" xfId="163" xr:uid="{89471429-5919-4455-BE02-DB9A62E09787}"/>
    <cellStyle name="Accent3 3" xfId="164" xr:uid="{981AFEA9-6E0B-4607-9989-F8C94E4F2559}"/>
    <cellStyle name="Accent3 4" xfId="165" xr:uid="{8067BFD5-71CB-4D3A-8199-823685DAB5FE}"/>
    <cellStyle name="Accent3 5" xfId="166" xr:uid="{1E471166-E5A5-473F-AEED-CC1FA476F732}"/>
    <cellStyle name="Accent4 - 20%" xfId="167" xr:uid="{2F2C5787-CB71-4F95-B57B-F8CBBAEF2DC2}"/>
    <cellStyle name="Accent4 - 40%" xfId="168" xr:uid="{B4AA97E1-3014-455E-8424-37AE1FFF19FF}"/>
    <cellStyle name="Accent4 - 60%" xfId="169" xr:uid="{1D0A0FA9-2599-44CC-A482-E72B41F70BE7}"/>
    <cellStyle name="Accent4 2" xfId="170" xr:uid="{6260633C-09E4-42CC-AC82-286175475A5F}"/>
    <cellStyle name="Accent4 2 2" xfId="171" xr:uid="{0E7BCA5D-A58D-4940-A364-72943DBFB51D}"/>
    <cellStyle name="Accent4 2 3" xfId="172" xr:uid="{80D04CE1-2113-4FE5-9740-E42C211DDDA4}"/>
    <cellStyle name="Accent4 3" xfId="173" xr:uid="{A61E0742-4168-41F4-AF2A-564046E18D74}"/>
    <cellStyle name="Accent4 4" xfId="174" xr:uid="{774BC8D6-F509-45FA-9975-E1BE13258E78}"/>
    <cellStyle name="Accent4 5" xfId="175" xr:uid="{9F6F6DEE-F377-4DD3-BE43-2BAF2C6BA56F}"/>
    <cellStyle name="Accent5 - 20%" xfId="176" xr:uid="{FA49342F-7A43-475F-986E-FCF777CB3BE9}"/>
    <cellStyle name="Accent5 - 40%" xfId="177" xr:uid="{68B40100-27B2-42EF-89E5-EC3F520D65F5}"/>
    <cellStyle name="Accent5 - 60%" xfId="178" xr:uid="{510003D3-80E0-4FD1-AC8C-1353E09D7DA6}"/>
    <cellStyle name="Accent5 2" xfId="179" xr:uid="{7ECCD818-211E-43B4-843C-C0161A69ABB3}"/>
    <cellStyle name="Accent5 2 2" xfId="180" xr:uid="{098BB6AF-DF7C-403B-9100-40166DA63180}"/>
    <cellStyle name="Accent5 2 3" xfId="181" xr:uid="{220E39AF-67E0-4F87-97F3-FC0F58333C0C}"/>
    <cellStyle name="Accent5 3" xfId="182" xr:uid="{5CB5AE2A-56CB-4769-9812-99A46C4BCDD8}"/>
    <cellStyle name="Accent5 4" xfId="183" xr:uid="{0D67688B-6870-4308-B72E-70C6852E5688}"/>
    <cellStyle name="Accent5 5" xfId="184" xr:uid="{2EF81779-B653-4B45-B831-15803230FA33}"/>
    <cellStyle name="Accent6 - 20%" xfId="185" xr:uid="{64020D21-EE9E-48F9-92E2-41E9B9C364E8}"/>
    <cellStyle name="Accent6 - 40%" xfId="186" xr:uid="{A4A1F1F5-2FBF-4C2F-A4A2-18827A9607DA}"/>
    <cellStyle name="Accent6 - 60%" xfId="187" xr:uid="{B4B8922E-9DD0-47BD-8F36-346E477C1761}"/>
    <cellStyle name="Accent6 2" xfId="188" xr:uid="{FE00D9DD-4DB5-4268-B366-D9F881D46D66}"/>
    <cellStyle name="Accent6 2 2" xfId="189" xr:uid="{5C84E967-E71B-4566-8771-CC8893CAA918}"/>
    <cellStyle name="Accent6 2 3" xfId="190" xr:uid="{F6737355-A129-4A81-960C-16B99AA1B84F}"/>
    <cellStyle name="Accent6 3" xfId="191" xr:uid="{552482BC-4659-4ADA-A93E-3437B409DD74}"/>
    <cellStyle name="Accent6 4" xfId="192" xr:uid="{839DABE3-415D-41B9-9838-6E1B5F16515F}"/>
    <cellStyle name="Accent6 5" xfId="193" xr:uid="{C7F6200B-9AEE-41E0-B72D-FCE66DCE2728}"/>
    <cellStyle name="Adjustable" xfId="194" xr:uid="{1D221372-DC0A-40C9-9F93-12A19F5FC826}"/>
    <cellStyle name="Adjustable 2" xfId="195" xr:uid="{B97F7A07-8DB5-4847-87FE-580AFFD7AD4F}"/>
    <cellStyle name="ÅëÈ­ [0]_±âÅ¸" xfId="196" xr:uid="{31FDFF11-03F8-4D0C-84F7-A65D3F86E932}"/>
    <cellStyle name="ÅëÈ­_±âÅ¸" xfId="197" xr:uid="{C7E0E01B-D218-4D3B-8FDB-F21A856503A7}"/>
    <cellStyle name="ÄÞ¸¶ [0]_±âÅ¸" xfId="198" xr:uid="{850030D6-87B4-4C7F-93B6-C31A202AED30}"/>
    <cellStyle name="ÄÞ¸¶_±âÅ¸" xfId="199" xr:uid="{FBE7AD50-9EAF-408E-9B8A-C4AF17C85753}"/>
    <cellStyle name="Bad 2" xfId="200" xr:uid="{9F8EF2EC-D837-4DB4-819E-739F2B977660}"/>
    <cellStyle name="Bad 2 2" xfId="201" xr:uid="{B9B84DA2-9F8E-4DA7-AEC2-AA20E54ACFFB}"/>
    <cellStyle name="Bad 2 3" xfId="202" xr:uid="{132D29A5-F4F6-4DF9-B0D1-0DCEB9BE575A}"/>
    <cellStyle name="Bad 3" xfId="203" xr:uid="{49FB925F-3643-4ED0-A59D-C65AE6A54223}"/>
    <cellStyle name="Bad 4" xfId="204" xr:uid="{D7EDBF9F-9330-4DFF-B8CC-BD6E68415B35}"/>
    <cellStyle name="Bad 5" xfId="205" xr:uid="{E3C86527-6ECB-42CD-A855-4B6E074BD62D}"/>
    <cellStyle name="Best" xfId="206" xr:uid="{0CFEC6DE-EDC9-4DA2-8819-72DFC72DA319}"/>
    <cellStyle name="Best 2" xfId="207" xr:uid="{1335E7B7-FC8A-49A0-8A47-087E57D53837}"/>
    <cellStyle name="BORDERS" xfId="208" xr:uid="{DC412F95-D68A-432C-9F86-AC062B9EE8A2}"/>
    <cellStyle name="Ç¥ÁØ_¿ù°£¿ä¾àº¸°í" xfId="209" xr:uid="{A1C696D2-43FA-4773-BD14-B833646EEE94}"/>
    <cellStyle name="Calc Currency (0)" xfId="210" xr:uid="{7FFFFCD8-334A-4012-86D9-B0AF824C0383}"/>
    <cellStyle name="Calc Currency (0) 2" xfId="211" xr:uid="{907A810E-2EB9-4836-B735-C8A4C4387C59}"/>
    <cellStyle name="Calc Currency (0) 3" xfId="212" xr:uid="{B39600E0-3E21-4C34-8C00-3207245A14B2}"/>
    <cellStyle name="Calc Currency (0) 4" xfId="213" xr:uid="{1893A0F2-ADB4-4FDF-AFF2-A61CD187EA44}"/>
    <cellStyle name="Calculation 2" xfId="214" xr:uid="{3F855D29-0BA6-4C67-B955-31BE33D3B1D5}"/>
    <cellStyle name="Calculation 2 2" xfId="215" xr:uid="{D301BF68-6603-4C1C-9D61-10EFBA313592}"/>
    <cellStyle name="Calculation 2 3" xfId="216" xr:uid="{6731285F-9BFE-4503-8E9E-509250563410}"/>
    <cellStyle name="Calculation 3" xfId="217" xr:uid="{60283056-377E-45C3-912C-8563AD028DFF}"/>
    <cellStyle name="Calculation 4" xfId="218" xr:uid="{3A7E6985-E189-4650-9ED0-1A60FC2DCBDF}"/>
    <cellStyle name="Calculation 5" xfId="219" xr:uid="{47871552-4F13-45BE-BA32-66F9D251564B}"/>
    <cellStyle name="Check Cell 2" xfId="220" xr:uid="{AE20BB72-354E-4E2A-9503-4F1743242EBA}"/>
    <cellStyle name="Check Cell 2 2" xfId="221" xr:uid="{C27E8A27-909B-49C6-809A-E848E7E86898}"/>
    <cellStyle name="Check Cell 2 3" xfId="222" xr:uid="{F20A511F-1720-48B3-9799-A26CDD68F2F2}"/>
    <cellStyle name="Check Cell 3" xfId="223" xr:uid="{2171EC7E-4403-4D21-BF4D-226D4DE87BE7}"/>
    <cellStyle name="Check Cell 4" xfId="224" xr:uid="{18B390E1-7122-4EE4-B9DB-399A7308C0F5}"/>
    <cellStyle name="Check Cell 5" xfId="225" xr:uid="{EA90A08B-C0F0-49AC-9361-7AC63E34BEEB}"/>
    <cellStyle name="ÇÏÀÌÆÛ¸µÅ©" xfId="226" xr:uid="{223F28E3-8010-4588-8416-0853C64234F7}"/>
    <cellStyle name="Comma  - Style1" xfId="227" xr:uid="{E22C2E06-71B6-400E-A1BE-EDAFBA46F27A}"/>
    <cellStyle name="Comma  - Style2" xfId="228" xr:uid="{4051D85F-0C2B-41B9-9883-305AE3E070FD}"/>
    <cellStyle name="Comma  - Style3" xfId="229" xr:uid="{931C79B1-E2BC-4078-A643-50E769813960}"/>
    <cellStyle name="Comma  - Style4" xfId="230" xr:uid="{2FC1566A-392E-4E12-A8E0-1474084DA470}"/>
    <cellStyle name="Comma  - Style5" xfId="231" xr:uid="{B79FD1E5-E479-4BC3-B29F-2FAAB25B57C1}"/>
    <cellStyle name="Comma  - Style6" xfId="232" xr:uid="{7F1361BB-ABD9-4919-9AB6-D6CB11E694B5}"/>
    <cellStyle name="Comma  - Style7" xfId="233" xr:uid="{A27DF68E-E17E-4E78-B8D9-F61DA4873778}"/>
    <cellStyle name="Comma  - Style8" xfId="234" xr:uid="{09CA5652-FCD7-4589-B814-78B06E3EF807}"/>
    <cellStyle name="Comma 10" xfId="235" xr:uid="{3B76AFC9-0130-496F-B0B9-AEF7743ED86E}"/>
    <cellStyle name="Comma 10 10" xfId="236" xr:uid="{AB4A54AC-2A72-46C6-96C5-424C92125975}"/>
    <cellStyle name="Comma 10 2" xfId="237" xr:uid="{58813D01-5240-4A73-8163-D32AF83123C8}"/>
    <cellStyle name="Comma 10 2 2" xfId="238" xr:uid="{3BFE645D-5F0B-4A6B-8588-3495F4A2B7C5}"/>
    <cellStyle name="Comma 10 2 2 2" xfId="239" xr:uid="{00BA991C-4A1E-4A83-A880-4BBA9BA02097}"/>
    <cellStyle name="Comma 10 2 3" xfId="240" xr:uid="{6F1F6FB1-4983-4F51-8B85-7611C4BD1E4A}"/>
    <cellStyle name="Comma 10 3" xfId="241" xr:uid="{5037F0B9-7F3D-462D-A3D0-6159F3571CBD}"/>
    <cellStyle name="Comma 10_CRU PROC" xfId="242" xr:uid="{E41690A6-0AD7-4AE7-AE5A-674B4DDE8A68}"/>
    <cellStyle name="Comma 11" xfId="243" xr:uid="{76DC3CA1-9B5E-4A53-A04F-436BA093B246}"/>
    <cellStyle name="Comma 11 2" xfId="244" xr:uid="{C54D23E7-0925-4BC0-AE7E-9DF1E8D80505}"/>
    <cellStyle name="Comma 12" xfId="245" xr:uid="{9C6C271F-59D5-49FB-A441-ED720723D796}"/>
    <cellStyle name="Comma 12 2" xfId="246" xr:uid="{7A138E9B-B175-4E7E-A803-427D86B4FA6F}"/>
    <cellStyle name="Comma 12 2 2" xfId="247" xr:uid="{6939C62C-C89A-47AB-BA83-7494D35BD142}"/>
    <cellStyle name="Comma 12 2 3" xfId="248" xr:uid="{2B3B9FB7-95D0-4B72-80F5-D4318A45F08A}"/>
    <cellStyle name="Comma 12 3" xfId="249" xr:uid="{C0E11937-1F1F-45EE-BA7D-C8760F69B41D}"/>
    <cellStyle name="Comma 13" xfId="250" xr:uid="{C8E248C6-D8DB-4236-9B25-F0D1B02BE342}"/>
    <cellStyle name="Comma 14" xfId="251" xr:uid="{2E1227F4-DD0A-4E6B-BA88-6B51091A742D}"/>
    <cellStyle name="Comma 15" xfId="252" xr:uid="{F2EC46D3-3FDD-4DF8-8B6E-CF0DF2BD365C}"/>
    <cellStyle name="Comma 16" xfId="253" xr:uid="{6ECA6552-AF43-44EF-BEBA-1343FAB35C42}"/>
    <cellStyle name="Comma 17" xfId="254" xr:uid="{743E27D4-4FCA-4A81-8B5C-E9E14A296809}"/>
    <cellStyle name="Comma 18" xfId="255" xr:uid="{93BE51A6-6EC4-4EBB-95C5-77A6FE09AA63}"/>
    <cellStyle name="Comma 18 2" xfId="256" xr:uid="{0E1E7C0F-4642-4683-866C-4C809F329195}"/>
    <cellStyle name="Comma 19" xfId="257" xr:uid="{0A4E7852-194C-4BAC-A425-D3A3B0A2A965}"/>
    <cellStyle name="Comma 19 2" xfId="258" xr:uid="{C2DE425B-4DE9-4BB1-A731-D261E308AF22}"/>
    <cellStyle name="Comma 2" xfId="259" xr:uid="{41BAA52E-E27E-4752-BC73-4D258F067584}"/>
    <cellStyle name="Comma 2 2" xfId="260" xr:uid="{83FABD6C-6DB9-4977-8D2C-605EB3538DED}"/>
    <cellStyle name="Comma 2 3" xfId="261" xr:uid="{42338053-BCBF-4922-A249-73F08F74B7D8}"/>
    <cellStyle name="Comma 2 3 2" xfId="262" xr:uid="{FEC483C5-4DD8-4B39-9974-A8A362F805A6}"/>
    <cellStyle name="Comma 2 38" xfId="263" xr:uid="{A29325C2-CBF4-41A3-AC4D-FB0716CC3C0A}"/>
    <cellStyle name="Comma 2 4" xfId="264" xr:uid="{4A8280CE-91BB-4368-94D6-B495C440B26C}"/>
    <cellStyle name="Comma 2 4 2" xfId="265" xr:uid="{445D0451-A4CE-4B43-B0C1-C83F01C92F29}"/>
    <cellStyle name="Comma 2 4 2 2" xfId="266" xr:uid="{FA037B98-87D7-4334-BD62-A6A48D530349}"/>
    <cellStyle name="Comma 2 4 3" xfId="267" xr:uid="{18D42A45-3602-4C36-8B21-865868D39E96}"/>
    <cellStyle name="Comma 2 5" xfId="268" xr:uid="{A5337800-DB1F-49C1-9EDD-E98679E8B178}"/>
    <cellStyle name="Comma 2 6" xfId="269" xr:uid="{4655BA19-B9A0-41B5-8CA0-B83093D49AFD}"/>
    <cellStyle name="Comma 20" xfId="270" xr:uid="{21E07354-6D2C-40A9-A860-D2642D27747B}"/>
    <cellStyle name="Comma 20 2" xfId="271" xr:uid="{EABF9E19-D58B-4CD9-AD35-8F9396582C70}"/>
    <cellStyle name="Comma 21" xfId="272" xr:uid="{AA7FB064-E076-4BF9-B4D1-6FED9849B254}"/>
    <cellStyle name="Comma 21 2" xfId="273" xr:uid="{823B2880-8B11-4699-9994-48845F1F7C5B}"/>
    <cellStyle name="Comma 22" xfId="274" xr:uid="{4AF3E4CF-40F7-495B-A472-781460A1945E}"/>
    <cellStyle name="Comma 22 2" xfId="275" xr:uid="{774AF9E7-BFC4-4520-AFE1-780F8EA60BC7}"/>
    <cellStyle name="Comma 23" xfId="276" xr:uid="{5B2B6D70-CF83-4140-AA7E-04C9AB20A876}"/>
    <cellStyle name="Comma 24" xfId="277" xr:uid="{B6500640-A867-4F72-9E8B-C3C2AC5FC183}"/>
    <cellStyle name="Comma 25" xfId="278" xr:uid="{1739D76D-5888-470F-B7A9-5215B3362B2C}"/>
    <cellStyle name="Comma 26" xfId="279" xr:uid="{D72352F1-A24F-44C4-A7FC-462774890BC5}"/>
    <cellStyle name="Comma 27" xfId="280" xr:uid="{E918EBF1-F815-486D-AE75-FC2394432EFB}"/>
    <cellStyle name="Comma 28" xfId="281" xr:uid="{A02E8B93-E7DD-41B0-9CDD-EBC5F8D489FE}"/>
    <cellStyle name="Comma 29" xfId="282" xr:uid="{2B746A6B-C883-46C9-BF37-02462EF86003}"/>
    <cellStyle name="Comma 3" xfId="283" xr:uid="{0A8BA33B-5ED1-4AF4-A817-03F4630CD392}"/>
    <cellStyle name="Comma 3 2" xfId="284" xr:uid="{6B4AA04A-2DFE-428D-A80D-DB37BD5B54BD}"/>
    <cellStyle name="Comma 3 2 2" xfId="285" xr:uid="{57C7A28A-28D8-40CE-8E2E-52CFC1CBCA40}"/>
    <cellStyle name="Comma 3 3" xfId="286" xr:uid="{1A28B5BC-F81B-4018-B86E-0C31139912BE}"/>
    <cellStyle name="Comma 3 4" xfId="287" xr:uid="{AC3CEE90-50A0-4985-82B1-1283E028436B}"/>
    <cellStyle name="Comma 30" xfId="288" xr:uid="{2764368B-B3DA-4E20-A753-CD49DDA34E9D}"/>
    <cellStyle name="Comma 31" xfId="289" xr:uid="{E3FBB669-A657-4270-ACB2-B1ED77F014C4}"/>
    <cellStyle name="Comma 32" xfId="290" xr:uid="{55455AD2-1B2A-4D2C-A296-E0284A0CE4CB}"/>
    <cellStyle name="Comma 33" xfId="291" xr:uid="{62310BE1-0438-4B95-A5B1-01D426279863}"/>
    <cellStyle name="Comma 34" xfId="292" xr:uid="{A1E5069F-CA92-4BCF-BAFB-446891807004}"/>
    <cellStyle name="Comma 4" xfId="293" xr:uid="{FB8508AA-BE53-4B6A-A298-8A81A0B7C147}"/>
    <cellStyle name="Comma 4 2" xfId="294" xr:uid="{4D6A8006-F048-47C3-9CF6-8D2BF6985DD3}"/>
    <cellStyle name="Comma 4 3" xfId="295" xr:uid="{BB318494-5894-4286-AFB2-C7E7D46577F5}"/>
    <cellStyle name="Comma 5" xfId="296" xr:uid="{4345A6CC-3473-4D8B-BCEF-86DDFFA8CEC2}"/>
    <cellStyle name="Comma 5 2" xfId="297" xr:uid="{F7F5C504-C065-419C-86BC-F2847D53801B}"/>
    <cellStyle name="Comma 6" xfId="298" xr:uid="{EEC9A781-631E-437E-ABC8-54E3ECC18876}"/>
    <cellStyle name="Comma 6 2" xfId="299" xr:uid="{0DA2C3E1-2EE0-4861-8862-7171924B3EDB}"/>
    <cellStyle name="Comma 6 3" xfId="300" xr:uid="{BF875EAF-E7A9-46BC-B922-06EEE4DD2F55}"/>
    <cellStyle name="Comma 6_CRU PROC" xfId="301" xr:uid="{C79A91D5-2057-4989-BB8C-BBA66F44B3B1}"/>
    <cellStyle name="Comma 7" xfId="302" xr:uid="{07EB54FE-9175-4D67-811D-479FAF3AC6F7}"/>
    <cellStyle name="Comma 7 2" xfId="303" xr:uid="{3A8A39E2-A886-43EB-AC39-7BE415D95EFA}"/>
    <cellStyle name="Comma 7 3" xfId="304" xr:uid="{9089A640-CD8D-4F38-A39F-5815C5212FA2}"/>
    <cellStyle name="Comma 7_CRU PROC" xfId="305" xr:uid="{D9F0522C-F128-43D1-BE70-068156625F86}"/>
    <cellStyle name="Comma 8" xfId="306" xr:uid="{AD695DE6-071C-4422-AE85-071E056BC8DA}"/>
    <cellStyle name="Comma 8 2" xfId="307" xr:uid="{8057C4E6-EBD2-45CE-9C1C-FB692DB180B2}"/>
    <cellStyle name="Comma 8 3" xfId="308" xr:uid="{53F1AB90-253D-4523-8953-E9858DEA4C7F}"/>
    <cellStyle name="Comma 8_CRU PROC" xfId="309" xr:uid="{81E9308A-8DB9-47D6-94E1-89E316C0E738}"/>
    <cellStyle name="Comma 9" xfId="310" xr:uid="{DD8DEBC3-2DBE-42E3-A788-FA911EF5F2F1}"/>
    <cellStyle name="Comma 9 2" xfId="311" xr:uid="{07DC1EB8-5843-42B1-AF1A-B25902194DEF}"/>
    <cellStyle name="Comma 9 3" xfId="312" xr:uid="{E6325A7C-8F11-49FF-9BEC-B270E4C0BDDD}"/>
    <cellStyle name="Comma 9_CRU PROC" xfId="313" xr:uid="{B8E02AAB-9FC3-4D4C-A181-2CB7AC48D560}"/>
    <cellStyle name="Comma0" xfId="314" xr:uid="{74B2400C-09F3-40DE-BCBE-9ACF1128B56B}"/>
    <cellStyle name="Comma0 2" xfId="315" xr:uid="{4CFDEF2B-1478-4F44-96F6-372E7580D030}"/>
    <cellStyle name="Copied" xfId="316" xr:uid="{12DFC481-CD4C-4143-BAFF-EDD074B9CAA3}"/>
    <cellStyle name="Currency0" xfId="317" xr:uid="{981B7E16-5ED8-44B0-AF05-BD0569B98503}"/>
    <cellStyle name="Currency0 2" xfId="318" xr:uid="{DA51F805-0FB9-477F-87DD-CE26E614223E}"/>
    <cellStyle name="Date" xfId="319" xr:uid="{57C9A8E6-8043-4EC5-9C0A-1515507F9344}"/>
    <cellStyle name="Date 2" xfId="320" xr:uid="{271A7BF7-E3E2-44FF-9BA0-0797A0229E07}"/>
    <cellStyle name="Emphasis 1 2" xfId="321" xr:uid="{CA20B05F-2B59-4056-B811-8D9CDEB96E81}"/>
    <cellStyle name="Emphasis 2 2" xfId="322" xr:uid="{18945CFB-073A-49F9-9017-5766F070CB33}"/>
    <cellStyle name="Emphasis 3 2" xfId="323" xr:uid="{6C873481-ECF8-4EFF-8BA5-15CE0DE3D3DF}"/>
    <cellStyle name="Entered" xfId="324" xr:uid="{346EEC9C-17A9-46E5-9E25-00562C9DB128}"/>
    <cellStyle name="Explanatory Text 2" xfId="325" xr:uid="{015845FF-B016-4DF8-832C-F4B82437A020}"/>
    <cellStyle name="Explanatory Text 2 2" xfId="326" xr:uid="{EEF08E73-AF19-42A3-A9A7-78FEA4B645FD}"/>
    <cellStyle name="Explanatory Text 2 3" xfId="327" xr:uid="{FE35CB2F-4C64-4F85-9994-772414A39B52}"/>
    <cellStyle name="Explanatory Text 3" xfId="328" xr:uid="{2AE95A85-FE5D-40D6-9FD3-88ECC66600D0}"/>
    <cellStyle name="Explanatory Text 4" xfId="329" xr:uid="{5A10D96B-C3FC-453E-B90F-268B86C9C6E4}"/>
    <cellStyle name="Explanatory Text 5" xfId="330" xr:uid="{D09E6B9C-4FDA-43D9-AC57-286B5D064719}"/>
    <cellStyle name="FIGURES" xfId="331" xr:uid="{54E84782-6BE9-4510-9C68-000E042FA112}"/>
    <cellStyle name="Fixed" xfId="332" xr:uid="{F838759A-48EC-4FD7-9D69-5EEB21E3B29A}"/>
    <cellStyle name="Fixed 2" xfId="333" xr:uid="{61396CE6-C5C9-4485-9B05-5AE88A512E43}"/>
    <cellStyle name="Good 2" xfId="334" xr:uid="{338B45C6-BBF3-4933-912A-490C39C37208}"/>
    <cellStyle name="Good 2 2" xfId="335" xr:uid="{385CFC2A-3E14-4F1F-A870-9B5899FB0ED2}"/>
    <cellStyle name="Good 2 3" xfId="336" xr:uid="{B1C93247-68DA-4BBC-8ECE-8802474F0137}"/>
    <cellStyle name="Good 3" xfId="337" xr:uid="{B2C5B8F1-2F04-4ED4-9B83-99E1CEE19F9D}"/>
    <cellStyle name="Good 4" xfId="338" xr:uid="{336E8DFC-28C9-4874-877A-4FCB40AE66BA}"/>
    <cellStyle name="Good 5" xfId="339" xr:uid="{EA1AB363-4FCD-4DB0-91E8-3802A907BC81}"/>
    <cellStyle name="Grey" xfId="340" xr:uid="{69D91F14-EAE2-4026-AEAA-D38AAEE1C7D3}"/>
    <cellStyle name="Grey 2" xfId="341" xr:uid="{E216AFC3-17EB-4334-9BA7-6741D0ED8E2E}"/>
    <cellStyle name="Header1" xfId="342" xr:uid="{9757E71D-6FC2-428D-AECD-FCFD23FF6EAA}"/>
    <cellStyle name="Header2" xfId="343" xr:uid="{1AF526AA-2936-4074-A151-E79883474A7B}"/>
    <cellStyle name="Heading 1 2" xfId="344" xr:uid="{678C4CA2-2F19-478A-8B18-6C4D9FF8A74E}"/>
    <cellStyle name="Heading 1 2 2" xfId="345" xr:uid="{8F64412A-6D9F-41CD-85D1-9A1B0765DB78}"/>
    <cellStyle name="Heading 1 2 3" xfId="346" xr:uid="{1A856B8F-FC82-4C99-80FA-B40ADB096F74}"/>
    <cellStyle name="Heading 1 2 4" xfId="347" xr:uid="{47DF5AF8-EDA3-4C63-8372-4B3E0C949693}"/>
    <cellStyle name="Heading 1 3" xfId="348" xr:uid="{DA5E5299-BCC9-4C9A-8DA9-BBE0B58EB16B}"/>
    <cellStyle name="Heading 1 3 2" xfId="349" xr:uid="{A34A35BA-23FF-4545-949B-080F21C2FF58}"/>
    <cellStyle name="Heading 1 4" xfId="350" xr:uid="{1B563C66-31DB-47E4-9BC7-2385A6AA6216}"/>
    <cellStyle name="Heading 1 4 2" xfId="351" xr:uid="{2B969B24-EED9-473C-985E-4F5F98488E46}"/>
    <cellStyle name="Heading 1 5" xfId="352" xr:uid="{53C41101-1987-4B81-AFFC-9D2811BF18FC}"/>
    <cellStyle name="Heading 1 5 2" xfId="353" xr:uid="{73474E33-9152-4F48-A8E1-E012A96D3544}"/>
    <cellStyle name="Heading 2 2" xfId="354" xr:uid="{3DF96751-30B8-4FFB-A96A-93E3D0501CBD}"/>
    <cellStyle name="Heading 2 2 2" xfId="355" xr:uid="{68E5C3A4-5B64-4BE3-9E4E-6942A5928450}"/>
    <cellStyle name="Heading 2 2 3" xfId="356" xr:uid="{18068C84-AD28-4868-A8C0-08EC14A33D0B}"/>
    <cellStyle name="Heading 2 2 4" xfId="357" xr:uid="{BAC6F8E4-F66F-484D-83C2-E70A3F156ACA}"/>
    <cellStyle name="Heading 2 3" xfId="358" xr:uid="{BF5237E4-022E-446D-8E64-7922EBAFA40E}"/>
    <cellStyle name="Heading 2 3 2" xfId="359" xr:uid="{37614131-8CF6-48CB-B6FC-5DD1B091C6BA}"/>
    <cellStyle name="Heading 2 4" xfId="360" xr:uid="{B4476FE0-F8CC-4ED6-A1EF-64E74C214228}"/>
    <cellStyle name="Heading 2 4 2" xfId="361" xr:uid="{C5AC72DB-5BFD-4DF8-8293-5A60947601B3}"/>
    <cellStyle name="Heading 2 5" xfId="362" xr:uid="{327020FA-CC48-4FAF-A0EA-16700A276DDB}"/>
    <cellStyle name="Heading 2 5 2" xfId="363" xr:uid="{CC16443F-B6F3-4293-BE8F-A98264BDA378}"/>
    <cellStyle name="Heading 3 2" xfId="364" xr:uid="{CDB934DC-726B-41CC-A95A-F3E1F56A6AC5}"/>
    <cellStyle name="Heading 3 2 2" xfId="365" xr:uid="{415C4F0F-514A-4FA9-A96D-1606E06E2343}"/>
    <cellStyle name="Heading 3 2 3" xfId="366" xr:uid="{503476DD-8F5A-454B-B684-E5FB1196CED5}"/>
    <cellStyle name="Heading 3 3" xfId="367" xr:uid="{F0BDD6B7-0AF3-4D28-BD33-6A4F369B90AC}"/>
    <cellStyle name="Heading 3 4" xfId="368" xr:uid="{98210366-0DF6-4B5B-9692-D77EE212B274}"/>
    <cellStyle name="Heading 3 5" xfId="369" xr:uid="{A6387D1E-2142-45BA-BE23-F5FF4DA1B74B}"/>
    <cellStyle name="Heading 4 2" xfId="370" xr:uid="{A6E12BC3-8466-4C49-B19C-E86A00EE0D1B}"/>
    <cellStyle name="Heading 4 2 2" xfId="371" xr:uid="{6E3912DF-7347-4B76-A424-2567207D9096}"/>
    <cellStyle name="Heading 4 2 3" xfId="372" xr:uid="{5463D8DB-FA3C-42F5-998E-49A92CB32C42}"/>
    <cellStyle name="Heading 4 3" xfId="373" xr:uid="{E8F16E1D-5DBF-42C5-881C-32A965762B75}"/>
    <cellStyle name="Heading 4 4" xfId="374" xr:uid="{226A8DD7-563A-4966-8995-06089237B49C}"/>
    <cellStyle name="Heading 4 5" xfId="375" xr:uid="{7ED50D42-C0F6-4ACA-AF20-AB762726ECD1}"/>
    <cellStyle name="Hyperlink" xfId="748" builtinId="8"/>
    <cellStyle name="Hyperlink 2" xfId="376" xr:uid="{A4703EE3-F171-47FA-8F69-D004DBEF8040}"/>
    <cellStyle name="Hyperlink 3" xfId="377" xr:uid="{E6AA94AA-88CD-42B8-9479-C830C7A89855}"/>
    <cellStyle name="Hyperlink 4" xfId="378" xr:uid="{EAF668D9-8CFB-47E8-A7FC-A646DAB85CF3}"/>
    <cellStyle name="Input [yellow]" xfId="379" xr:uid="{F53FFEDD-6E4F-430E-8AA1-3D872F7C8F27}"/>
    <cellStyle name="Input [yellow] 2" xfId="380" xr:uid="{72BA8AF0-D4AB-48C5-A9F1-BBF2619A63CA}"/>
    <cellStyle name="Input 10" xfId="381" xr:uid="{95A7A3CA-1A06-4A1F-B97F-749C606E765F}"/>
    <cellStyle name="Input 11" xfId="382" xr:uid="{E599FD69-43B5-4687-8FAA-3F255AFF0C4E}"/>
    <cellStyle name="Input 12" xfId="383" xr:uid="{0A555D24-CE53-439D-925C-CA47E7DD7EE5}"/>
    <cellStyle name="Input 13" xfId="384" xr:uid="{A8936F9D-E345-4C9E-9C7C-A1D513F914A3}"/>
    <cellStyle name="Input 14" xfId="385" xr:uid="{6B576909-941C-4898-B951-65284767BD0B}"/>
    <cellStyle name="Input 15" xfId="386" xr:uid="{BF7DBD78-C08D-418D-B852-A3902A09D746}"/>
    <cellStyle name="Input 16" xfId="387" xr:uid="{340F1D22-6BE7-405B-835C-A46F125180D9}"/>
    <cellStyle name="Input 17" xfId="388" xr:uid="{15F52ACE-F1E1-4FD3-A796-E532A8F3A726}"/>
    <cellStyle name="Input 18" xfId="389" xr:uid="{0C3637E6-4DBA-422B-9DCE-5505FEDA1E7D}"/>
    <cellStyle name="Input 19" xfId="390" xr:uid="{BB8D1357-39FD-4E51-A77C-660A54F72DAA}"/>
    <cellStyle name="Input 2" xfId="391" xr:uid="{3E4C4B0D-6BBF-4418-A5DD-457971C3FCC3}"/>
    <cellStyle name="Input 2 2" xfId="392" xr:uid="{A4721817-9457-4CA5-AFC5-D1F16898F22F}"/>
    <cellStyle name="Input 2 3" xfId="393" xr:uid="{45DAFDDB-C839-4CA1-B878-599BD43F25B6}"/>
    <cellStyle name="Input 20" xfId="394" xr:uid="{3B827807-F79A-4385-9B2D-0FF3B8B8021A}"/>
    <cellStyle name="Input 21" xfId="395" xr:uid="{DA7A09A9-B5EA-42B9-A5FD-BEF341682892}"/>
    <cellStyle name="Input 3" xfId="396" xr:uid="{BE02FCE5-C5AF-420F-9632-E65B6730664D}"/>
    <cellStyle name="Input 3 2" xfId="397" xr:uid="{1DA178A6-A64B-4872-9D4A-38614F0D4BF7}"/>
    <cellStyle name="Input 4" xfId="398" xr:uid="{C776E528-39D5-425A-BDCA-C390DDE9BB11}"/>
    <cellStyle name="Input 4 2" xfId="399" xr:uid="{D91E4559-00B9-41A6-A1E5-9433BED687AE}"/>
    <cellStyle name="Input 5" xfId="400" xr:uid="{FC2B9A65-5410-4006-BB46-B06DEA72E8BF}"/>
    <cellStyle name="Input 6" xfId="401" xr:uid="{A0896944-034B-4898-B581-F7C84B65310F}"/>
    <cellStyle name="Input 7" xfId="402" xr:uid="{0CA3155C-6DAC-4CF3-8CA1-8DDB286BE514}"/>
    <cellStyle name="Input 8" xfId="403" xr:uid="{DEBE7FDD-0635-4A80-ADB3-1E987B902DF1}"/>
    <cellStyle name="Input 9" xfId="404" xr:uid="{F64A03B5-83E9-4CF8-AAE9-ADD3507D9112}"/>
    <cellStyle name="ITEMS" xfId="405" xr:uid="{85916779-3A78-4A89-8A5A-7C4698D30EEF}"/>
    <cellStyle name="Linked Cell 2" xfId="406" xr:uid="{E216E30A-4775-4244-A5E7-B16E01080703}"/>
    <cellStyle name="Linked Cell 2 2" xfId="407" xr:uid="{4D8CA14B-E374-4CF9-9552-380DF7244371}"/>
    <cellStyle name="Linked Cell 2 3" xfId="408" xr:uid="{6713AF90-BFB8-460E-90CF-1529DFF574D0}"/>
    <cellStyle name="Linked Cell 3" xfId="409" xr:uid="{4E160831-F3B6-4248-82F9-B126F7DC4F2D}"/>
    <cellStyle name="Linked Cell 4" xfId="410" xr:uid="{97724AD4-0F9E-4FC7-8558-4CEE02432357}"/>
    <cellStyle name="Linked Cell 5" xfId="411" xr:uid="{F01FA0B3-4158-427B-AF14-B6CACC74FD16}"/>
    <cellStyle name="m1 - Style1" xfId="412" xr:uid="{4AE22E6C-1D47-4965-B287-7F7B6472B19F}"/>
    <cellStyle name="MANKAD" xfId="413" xr:uid="{63CEB595-58BA-401D-938D-99397D997657}"/>
    <cellStyle name="METRO" xfId="414" xr:uid="{BC29657F-639D-4E9F-A765-CBD8E93657FC}"/>
    <cellStyle name="Neutral 2" xfId="415" xr:uid="{711D12FE-4F5F-4C80-823F-5DE51A19769B}"/>
    <cellStyle name="Neutral 2 2" xfId="416" xr:uid="{B8843A49-8863-41FA-8978-21B22D8E748A}"/>
    <cellStyle name="Neutral 2 3" xfId="417" xr:uid="{2339A5B7-6E58-438A-A13D-8CF502D67803}"/>
    <cellStyle name="Neutral 3" xfId="418" xr:uid="{C2D115D0-F09A-4422-AC99-F32B864AB990}"/>
    <cellStyle name="Neutral 4" xfId="419" xr:uid="{62825ACB-4F0C-49A2-ADB6-355D41B18B6A}"/>
    <cellStyle name="Neutral 5" xfId="420" xr:uid="{E2C5C294-9754-4979-831D-9A1F0FAEEC4C}"/>
    <cellStyle name="no dec" xfId="421" xr:uid="{71DF9D31-FCD8-4DC9-80F7-5B979D9722F1}"/>
    <cellStyle name="Normal" xfId="0" builtinId="0"/>
    <cellStyle name="Normal - Style1" xfId="422" xr:uid="{8247A48C-890D-4265-89E2-F1AD1EF93E0B}"/>
    <cellStyle name="Normal - Style1 2" xfId="423" xr:uid="{10D6B537-8D86-41E1-BC0D-DBD6D0A7298C}"/>
    <cellStyle name="Normal - Style1 2 2" xfId="424" xr:uid="{DBCEEEF8-5FD0-4DA6-99EF-0B4036DCC0ED}"/>
    <cellStyle name="Normal - Style1 3" xfId="425" xr:uid="{DE926E2E-F0E7-4D5C-BF9C-8AD6B59FF1E6}"/>
    <cellStyle name="Normal - Style1 4" xfId="426" xr:uid="{764FF2C9-3822-4E83-A3DE-170562FB0E56}"/>
    <cellStyle name="Normal - Style1_CRU PROC" xfId="427" xr:uid="{E6CCBCDD-E81E-43F3-AA50-F066D8C3673D}"/>
    <cellStyle name="Normal 10" xfId="428" xr:uid="{B9349FEC-B4CF-4180-853E-9378FF41C0B3}"/>
    <cellStyle name="Normal 10 2" xfId="429" xr:uid="{D70DC77A-C378-4B11-9B86-E3A5DCED935D}"/>
    <cellStyle name="Normal 10 2 2" xfId="430" xr:uid="{790709AC-5085-4BF1-8C6D-4382C2D69F98}"/>
    <cellStyle name="Normal 10 3" xfId="431" xr:uid="{191906A2-45C5-4A85-8473-8A90FAAE2B37}"/>
    <cellStyle name="Normal 10 3 2" xfId="432" xr:uid="{4F689B9C-071C-46A3-B4FC-CE5FE1C4DF59}"/>
    <cellStyle name="Normal 10 4" xfId="433" xr:uid="{E607FE79-961F-4BA6-B642-869CE79EA756}"/>
    <cellStyle name="Normal 10 4 2" xfId="434" xr:uid="{6B59E010-214B-4C53-8AEE-1F574DF2A949}"/>
    <cellStyle name="Normal 10 5" xfId="435" xr:uid="{8B6FF8D0-B96A-47E3-9496-3E7C6B587C0B}"/>
    <cellStyle name="Normal 10_CRU PROC" xfId="436" xr:uid="{E425887B-7634-4DD2-8407-86EF2FFB3965}"/>
    <cellStyle name="Normal 11" xfId="437" xr:uid="{FAD53BD8-22A3-41FD-B08A-0F0174B95F76}"/>
    <cellStyle name="Normal 11 2" xfId="438" xr:uid="{2E2C68D7-1CBE-4D64-81BB-08DFA6471906}"/>
    <cellStyle name="Normal 11 2 2" xfId="439" xr:uid="{4DD9BFC4-6368-4A68-B783-6EA4A483FD33}"/>
    <cellStyle name="Normal 11 2 2 2" xfId="440" xr:uid="{EFE56C59-6550-4367-8047-E03ED255BD4F}"/>
    <cellStyle name="Normal 11 2 3" xfId="441" xr:uid="{8329BE9F-E903-48F7-8546-EE86C949FDA8}"/>
    <cellStyle name="Normal 11 2 4" xfId="442" xr:uid="{9C960B88-DB7F-42C6-9F64-4F5387DD2433}"/>
    <cellStyle name="Normal 11 3" xfId="443" xr:uid="{53C87FB3-BC02-44B2-83BD-1072A0C5D901}"/>
    <cellStyle name="Normal 12" xfId="444" xr:uid="{19E1C180-78E0-495A-97A2-A253EDAD04D7}"/>
    <cellStyle name="Normal 12 2" xfId="445" xr:uid="{B125D6EC-BFC1-4E11-B43D-6DD30319AB36}"/>
    <cellStyle name="Normal 12 2 2" xfId="446" xr:uid="{595B0162-DA23-4770-930F-7918D687DF53}"/>
    <cellStyle name="Normal 12 3" xfId="447" xr:uid="{19B5502F-636E-431F-ABD3-10B9CEC718D2}"/>
    <cellStyle name="Normal 12 3 2" xfId="448" xr:uid="{A518083D-5AEC-4FB0-A086-3C13FC4BC273}"/>
    <cellStyle name="Normal 12 4" xfId="449" xr:uid="{459D2AE0-C6AC-4442-AD1C-9B6E446DC87E}"/>
    <cellStyle name="Normal 12 5" xfId="450" xr:uid="{DBBBD0D5-8C4A-4A04-B7C9-9D733F27DEE5}"/>
    <cellStyle name="Normal 12_CRU PROC" xfId="451" xr:uid="{A91A9DFF-60B6-4937-8BE4-5346BDD376ED}"/>
    <cellStyle name="Normal 13" xfId="452" xr:uid="{19AAC6F2-0687-4F29-A6F3-29CA0C06BF0F}"/>
    <cellStyle name="Normal 13 2" xfId="453" xr:uid="{41555A61-412B-49EB-A3A7-B6B6782D14B6}"/>
    <cellStyle name="Normal 14" xfId="454" xr:uid="{ECB7ADE4-D021-40F3-82D2-DAFFF454D008}"/>
    <cellStyle name="Normal 14 2" xfId="455" xr:uid="{B4A26CC4-FC45-49D4-BCE0-1F74BA4B738B}"/>
    <cellStyle name="Normal 15" xfId="456" xr:uid="{C5D3208F-1334-43D2-ACE6-9B62ECA1251C}"/>
    <cellStyle name="Normal 15 2" xfId="457" xr:uid="{D3E15E02-B54B-45CD-BBA3-3BED1A35E78F}"/>
    <cellStyle name="Normal 16" xfId="458" xr:uid="{7B551F3E-DD11-4AB0-AF38-5D2181834DB5}"/>
    <cellStyle name="Normal 16 2" xfId="459" xr:uid="{22808298-AA2B-4B21-9810-F294345C0349}"/>
    <cellStyle name="Normal 17" xfId="460" xr:uid="{CE22AB17-E214-4782-AF78-8D6E720C6610}"/>
    <cellStyle name="Normal 17 2" xfId="461" xr:uid="{4797A507-9315-42EE-80BB-23BE98E2EBBF}"/>
    <cellStyle name="Normal 17 2 2" xfId="462" xr:uid="{1621970A-9D77-47B3-846E-5EFA8B0CFB8D}"/>
    <cellStyle name="Normal 17 3" xfId="463" xr:uid="{A0B85FA7-98A7-4538-B5DA-CAD47ECC6AAB}"/>
    <cellStyle name="Normal 18" xfId="464" xr:uid="{AA97DA1C-7F4F-488E-9DA3-E3C04BC22EB6}"/>
    <cellStyle name="Normal 18 2" xfId="465" xr:uid="{18AC36DB-72E6-49D7-B5D0-24E3D375A076}"/>
    <cellStyle name="Normal 18 2 2" xfId="466" xr:uid="{A5EEEE57-F2D9-4088-95C0-E954B9BF2287}"/>
    <cellStyle name="Normal 18 3" xfId="467" xr:uid="{FF7E15D4-3861-419E-8E90-A3E083829019}"/>
    <cellStyle name="Normal 19" xfId="468" xr:uid="{F61A028E-CA5F-4618-81E7-99233A6C56AA}"/>
    <cellStyle name="Normal 19 2" xfId="469" xr:uid="{56CE0783-1610-40EA-BB98-213D2E4B20BA}"/>
    <cellStyle name="Normal 2" xfId="470" xr:uid="{414A93D5-B0FD-4028-B5EB-9F53B8440D89}"/>
    <cellStyle name="Normal 2 2" xfId="471" xr:uid="{CB90E3F6-8C89-4578-A9E0-C9459E7A2AE6}"/>
    <cellStyle name="Normal 2 2 2" xfId="472" xr:uid="{762584A8-D4A9-4EAE-BCE5-AA1601443250}"/>
    <cellStyle name="Normal 2 2 2 2" xfId="473" xr:uid="{2EE53AD1-4753-496B-8107-03B09FA5430F}"/>
    <cellStyle name="Normal 2 2 3" xfId="474" xr:uid="{5378438F-0EF0-478C-B9B4-7C445DCA1C9F}"/>
    <cellStyle name="Normal 2 2 3 5" xfId="4" xr:uid="{E9218972-F81F-4AD9-8B9A-81B89BB40EBC}"/>
    <cellStyle name="Normal 2 2 4" xfId="475" xr:uid="{265451DE-0919-4F98-8A23-E8E6FEE1638B}"/>
    <cellStyle name="Normal 2 2 5" xfId="476" xr:uid="{0CFC19F1-3E30-47B0-A854-B14F6AEF4181}"/>
    <cellStyle name="Normal 2 3" xfId="477" xr:uid="{58D3284D-53B2-479F-83EF-F0E5E459688B}"/>
    <cellStyle name="Normal 2 3 2" xfId="478" xr:uid="{362D6657-0E8C-4616-AD7A-9D9C2BB7A849}"/>
    <cellStyle name="Normal 2 3 2 2" xfId="479" xr:uid="{94CAA667-ACCD-4CDC-A620-5B012BD36FAF}"/>
    <cellStyle name="Normal 2 3 3" xfId="480" xr:uid="{10F0C6F4-35DF-4140-83C9-6C3CBA150853}"/>
    <cellStyle name="Normal 2 3 4" xfId="481" xr:uid="{C69C7EF5-8704-4D6B-B735-6B7D3F409383}"/>
    <cellStyle name="Normal 2 4" xfId="482" xr:uid="{12745BFB-E3F5-489F-B945-99B65E58D8B1}"/>
    <cellStyle name="Normal 2 4 2" xfId="483" xr:uid="{43AAE3FB-CBA1-458B-8A23-5671BA335614}"/>
    <cellStyle name="Normal 2 4 2 2" xfId="484" xr:uid="{7800CDEB-8F95-43A2-AB65-B7548857E775}"/>
    <cellStyle name="Normal 2 4 3" xfId="485" xr:uid="{3F1038AA-7614-4FE2-8138-B45EA1392A33}"/>
    <cellStyle name="Normal 2 5" xfId="486" xr:uid="{95EC9F5D-68E0-45BA-9AF3-49E69CBB0BCD}"/>
    <cellStyle name="Normal 2 5 2" xfId="487" xr:uid="{9308FEF9-31BF-47A6-8A16-BD227FC2B473}"/>
    <cellStyle name="Normal 2 5 2 2" xfId="488" xr:uid="{5E28D788-5B0F-45EF-BF2B-4213E549A6F8}"/>
    <cellStyle name="Normal 2 5 3" xfId="489" xr:uid="{E80E4B9D-71FA-4CE4-A0E3-1DD35BCA65BC}"/>
    <cellStyle name="Normal 2 5 3 2" xfId="490" xr:uid="{95A94520-AC2E-47F0-A740-3A387781A64C}"/>
    <cellStyle name="Normal 2 5 4" xfId="491" xr:uid="{F25422E1-B9F1-4963-BA3F-CEC2A91C7C80}"/>
    <cellStyle name="Normal 2 6" xfId="492" xr:uid="{A662EAFD-4AC0-45EE-A47E-5882B49901FC}"/>
    <cellStyle name="Normal 2 6 2" xfId="493" xr:uid="{9DB66889-E814-4FA3-ABCD-99B30FFEA5B4}"/>
    <cellStyle name="Normal 2 7" xfId="494" xr:uid="{B89EAE62-19C8-49CC-8E03-3150334A2945}"/>
    <cellStyle name="Normal 2 8" xfId="495" xr:uid="{561D454C-1954-4983-A8AF-8412B6504837}"/>
    <cellStyle name="Normal 2 8 2" xfId="496" xr:uid="{A7C128E5-9BB6-415F-A145-13DA07A21F11}"/>
    <cellStyle name="Normal 2 8 2 2" xfId="497" xr:uid="{EF9B6CBE-BC89-4CCC-8683-DE862E28E5CB}"/>
    <cellStyle name="Normal 2 8 3" xfId="498" xr:uid="{769E704F-4B8C-488E-B2CC-8B34B5935FE9}"/>
    <cellStyle name="Normal 2 9" xfId="499" xr:uid="{9F578055-72D2-4266-AD27-2B0470C1394B}"/>
    <cellStyle name="Normal 20" xfId="500" xr:uid="{5A544C52-BF50-466F-890B-EE9B54E16297}"/>
    <cellStyle name="Normal 21" xfId="501" xr:uid="{29B4F8AF-17CE-4FB7-BF6B-BF9E51D860B7}"/>
    <cellStyle name="Normal 22" xfId="502" xr:uid="{1D377F18-1755-4216-BB6F-5BD66F2717BB}"/>
    <cellStyle name="Normal 23" xfId="503" xr:uid="{88F8E2FF-5E71-4963-9079-DA218E5BA622}"/>
    <cellStyle name="Normal 24" xfId="504" xr:uid="{2E159225-6937-41C1-A14C-ADBEF9B11068}"/>
    <cellStyle name="Normal 24 2" xfId="505" xr:uid="{DF50F53F-60AA-44F0-9304-D9DB38A15203}"/>
    <cellStyle name="Normal 25" xfId="506" xr:uid="{D3251D43-9F54-4F9A-BFB9-45C98BBE370E}"/>
    <cellStyle name="Normal 25 2" xfId="507" xr:uid="{C8A3CA6C-D65A-4AB0-9742-352134C46B7E}"/>
    <cellStyle name="Normal 259" xfId="3" xr:uid="{D2A4AC77-E97E-4416-967C-930A886383C7}"/>
    <cellStyle name="Normal 259 4" xfId="508" xr:uid="{6D19FEF3-2726-4E97-AC8D-2B848B743275}"/>
    <cellStyle name="Normal 26" xfId="509" xr:uid="{DB54D31B-78FA-4B43-AAAF-D117153DECA4}"/>
    <cellStyle name="Normal 26 2" xfId="510" xr:uid="{0FD36D84-7678-4071-84FE-7055D8377637}"/>
    <cellStyle name="Normal 27" xfId="511" xr:uid="{1769DAA3-AB0F-4D42-A86A-CD35BE4C5AC9}"/>
    <cellStyle name="Normal 27 2" xfId="512" xr:uid="{5DACFBDC-7DBD-4113-855B-3D37171F1662}"/>
    <cellStyle name="Normal 28" xfId="513" xr:uid="{C6DA4332-07B6-4251-BE2A-5E4D80E1A01A}"/>
    <cellStyle name="Normal 28 2" xfId="514" xr:uid="{4B34F1FE-3FB3-433C-B002-E9D13D31A30C}"/>
    <cellStyle name="Normal 29" xfId="515" xr:uid="{7EF7408D-4309-453D-9E3E-5789FBEEBD2C}"/>
    <cellStyle name="Normal 29 2" xfId="516" xr:uid="{A19FCA39-7F26-428C-A19F-2FFB0428831E}"/>
    <cellStyle name="Normal 3" xfId="517" xr:uid="{4B104A22-3694-41BF-AD7C-35A694D727D2}"/>
    <cellStyle name="Normal 3 2" xfId="518" xr:uid="{20005EB2-FC2A-410B-80CA-6BE7501E96AC}"/>
    <cellStyle name="Normal 3 2 2" xfId="519" xr:uid="{8C01DC4C-B82E-4CCA-8DA9-4912BEB657F4}"/>
    <cellStyle name="Normal 3 2 2 2" xfId="520" xr:uid="{39303F21-FDAA-47FD-B4D5-9D6C3DA0F359}"/>
    <cellStyle name="Normal 3 2 3" xfId="521" xr:uid="{5259EA50-CADC-4DD1-86D4-2BB05C46A217}"/>
    <cellStyle name="Normal 3 2 3 2" xfId="522" xr:uid="{40C1B410-5D66-4B2F-8AC6-768C8C57A3D5}"/>
    <cellStyle name="Normal 3 2 3 2 2" xfId="523" xr:uid="{D091ABD0-EBCB-4DF6-B47A-7681B04F3CD0}"/>
    <cellStyle name="Normal 3 3" xfId="524" xr:uid="{CDFA773A-A22B-45B2-9454-18174A7B224B}"/>
    <cellStyle name="Normal 3 4" xfId="525" xr:uid="{AF12C57F-FC42-47AD-AD6B-39133454E96E}"/>
    <cellStyle name="Normal 3 5" xfId="526" xr:uid="{DCC3B580-E65B-41A8-901A-122C8BB617A5}"/>
    <cellStyle name="Normal 3 6" xfId="527" xr:uid="{5AF05987-927E-4F9C-8015-BF07D0A35BDF}"/>
    <cellStyle name="Normal 3 7" xfId="528" xr:uid="{CC9C00EE-388B-49BA-B207-782AA20AB198}"/>
    <cellStyle name="Normal 3 8" xfId="529" xr:uid="{07F345B1-7413-45FE-9931-7BAD3A6DD0B9}"/>
    <cellStyle name="Normal 30" xfId="530" xr:uid="{6B7BC393-7F9B-4366-8AE8-E352C2A345A1}"/>
    <cellStyle name="Normal 30 2" xfId="531" xr:uid="{A2FF6E7A-4DDF-49B3-A37A-C723B490D6E5}"/>
    <cellStyle name="Normal 31" xfId="532" xr:uid="{170B975B-88CB-4D7D-8FB1-9A7D20587BC7}"/>
    <cellStyle name="Normal 31 2" xfId="533" xr:uid="{699DBEC6-5800-4930-90B2-DDF0A2C45A41}"/>
    <cellStyle name="Normal 32" xfId="534" xr:uid="{3EBBF1DA-7A13-41C0-AECE-F38AA4C937C7}"/>
    <cellStyle name="Normal 32 2" xfId="535" xr:uid="{CC73ACFD-1D92-40FA-8A95-E8081D0C735B}"/>
    <cellStyle name="Normal 33" xfId="536" xr:uid="{C1DC4E98-9AA0-4081-9014-7DD190842731}"/>
    <cellStyle name="Normal 33 2" xfId="537" xr:uid="{3A709773-D2EA-41F6-95B5-693793DA4470}"/>
    <cellStyle name="Normal 34" xfId="538" xr:uid="{7E358985-B69C-440D-99AD-CEB76BC7CA52}"/>
    <cellStyle name="Normal 35" xfId="539" xr:uid="{8D117745-BEC9-4748-8662-480E8500CDE8}"/>
    <cellStyle name="Normal 36" xfId="540" xr:uid="{F32BB2E6-DD52-44D8-AC6B-48FB8A0916DF}"/>
    <cellStyle name="Normal 37" xfId="541" xr:uid="{30942E80-AB78-41BB-AE54-E04099E67766}"/>
    <cellStyle name="Normal 38" xfId="542" xr:uid="{335AB136-F735-452D-8539-BB63B041867A}"/>
    <cellStyle name="Normal 39" xfId="543" xr:uid="{9589EBFD-1D89-4983-B863-24458A30482B}"/>
    <cellStyle name="Normal 4" xfId="544" xr:uid="{097375A5-0364-4D47-B8DD-741FABFBC516}"/>
    <cellStyle name="Normal 4 2" xfId="2" xr:uid="{433375DD-40AB-411D-8396-D13E4A43B60A}"/>
    <cellStyle name="Normal 4 2 2" xfId="545" xr:uid="{ACD552E9-9057-4B5D-8350-4AA3024C2211}"/>
    <cellStyle name="Normal 4 3" xfId="546" xr:uid="{0978A7A2-519F-49D0-84CC-A3420239BCEA}"/>
    <cellStyle name="Normal 4 3 2" xfId="547" xr:uid="{37604D91-EA91-46E0-96DB-FEB3C8074328}"/>
    <cellStyle name="Normal 4 4" xfId="548" xr:uid="{D088A2F6-6ED8-4C1F-9A39-BB629E81D46F}"/>
    <cellStyle name="Normal 4 5" xfId="549" xr:uid="{F1EA0059-C186-4899-BB47-BAAB5986AF22}"/>
    <cellStyle name="Normal 40" xfId="550" xr:uid="{2A6D98DF-F55E-4768-B2FD-A3689663217C}"/>
    <cellStyle name="Normal 41" xfId="551" xr:uid="{2D1760EF-80DB-472C-933B-D2C901D77D85}"/>
    <cellStyle name="Normal 42" xfId="552" xr:uid="{57C12C1A-2E2C-4904-BBCD-BCE58E47DDA2}"/>
    <cellStyle name="Normal 43" xfId="553" xr:uid="{AB21A884-C891-4E53-9302-FAF0B269351C}"/>
    <cellStyle name="Normal 44" xfId="554" xr:uid="{8064D89D-DC7B-49EC-9F9F-F8121128EF46}"/>
    <cellStyle name="Normal 45" xfId="555" xr:uid="{1C8ACA0F-9D50-46E1-B118-DF3164077B31}"/>
    <cellStyle name="Normal 46" xfId="556" xr:uid="{57B5F2C6-7533-4ABE-BF07-B8285551753C}"/>
    <cellStyle name="Normal 47" xfId="557" xr:uid="{CFE0AA58-6B1E-4C34-9CF7-C463680535C0}"/>
    <cellStyle name="Normal 5" xfId="558" xr:uid="{233C1E58-4557-4CB4-B743-3E6D5807895C}"/>
    <cellStyle name="Normal 5 2" xfId="559" xr:uid="{394AB827-0E2C-407E-85DF-2C0D705DE88C}"/>
    <cellStyle name="Normal 5 2 2" xfId="560" xr:uid="{36FE444C-40BC-4BD2-A04F-F5D0C0752EDC}"/>
    <cellStyle name="Normal 5 2 2 2" xfId="561" xr:uid="{15799291-86BC-4B41-A23F-EB920545AC8E}"/>
    <cellStyle name="Normal 5 2 3" xfId="562" xr:uid="{64375E5D-F686-4267-89E0-89B99237897F}"/>
    <cellStyle name="Normal 5 3" xfId="563" xr:uid="{8C0A6F82-D92B-4DB0-A69C-C38ED0C961A4}"/>
    <cellStyle name="Normal 6" xfId="564" xr:uid="{850C5715-1E9F-47FF-8297-79245402AD44}"/>
    <cellStyle name="Normal 6 2" xfId="565" xr:uid="{C1A0699F-6CBB-4C81-94AD-ABF8BD4781FB}"/>
    <cellStyle name="Normal 6 2 2" xfId="566" xr:uid="{F17533DD-619C-461A-AA8A-C01B9F8E34A6}"/>
    <cellStyle name="Normal 6 2 2 2" xfId="567" xr:uid="{F05C679C-646B-4052-AB30-161565EA2875}"/>
    <cellStyle name="Normal 6 2 3" xfId="568" xr:uid="{034A6A85-9D59-4F23-AC0F-F3864BCB76C1}"/>
    <cellStyle name="Normal 6 3" xfId="569" xr:uid="{B050184E-0DD0-4A6A-80F2-61F100563A5E}"/>
    <cellStyle name="Normal 7" xfId="570" xr:uid="{3D372C97-B842-4CB8-A0FF-C20ECB316C67}"/>
    <cellStyle name="Normal 7 2" xfId="571" xr:uid="{E581F82F-D526-4FB4-9246-EE8293509152}"/>
    <cellStyle name="Normal 7 3" xfId="572" xr:uid="{B70CD012-D4DC-4417-9ED8-E7E4CF59D4F8}"/>
    <cellStyle name="Normal 7 4" xfId="573" xr:uid="{DB526AB0-637D-4607-A281-794477A6C5F1}"/>
    <cellStyle name="Normal 7 5" xfId="574" xr:uid="{0F28F888-D93D-43FE-B2F3-477E75948D52}"/>
    <cellStyle name="Normal 7_CRU PROC" xfId="575" xr:uid="{2377CA71-A94A-4A95-8BE0-991645CFF2FB}"/>
    <cellStyle name="Normal 8" xfId="576" xr:uid="{3304C2E7-26A8-479A-AA50-D603F6A1C0D0}"/>
    <cellStyle name="Normal 8 2" xfId="577" xr:uid="{476056B0-7F15-4517-A173-804F524758E1}"/>
    <cellStyle name="Normal 8 2 2" xfId="578" xr:uid="{60F2A16D-BFC1-47E7-A8CC-7F073C51E2A8}"/>
    <cellStyle name="Normal 8 3" xfId="579" xr:uid="{A67DED0F-FA73-420E-9AC4-746A4BA40810}"/>
    <cellStyle name="Normal 8 4" xfId="580" xr:uid="{353BAC78-798A-4528-ACB7-16202AD38D95}"/>
    <cellStyle name="Normal 8 5" xfId="581" xr:uid="{2DAD3854-3AD4-4595-92D7-389E0FBC2220}"/>
    <cellStyle name="Normal 8 6" xfId="582" xr:uid="{CD261E5E-4E88-4F06-A389-9191090CBA1D}"/>
    <cellStyle name="Normal 8_CRU PROC" xfId="583" xr:uid="{958D7366-8C1B-496E-AF85-05C55BF3D784}"/>
    <cellStyle name="Normal 9" xfId="584" xr:uid="{5253F411-2959-4F4E-8CE4-70CEE1CC7F4E}"/>
    <cellStyle name="Normal 9 2" xfId="585" xr:uid="{C070F91A-7954-4E7E-A190-7F93ABE00DF2}"/>
    <cellStyle name="Note 2" xfId="586" xr:uid="{BC0687DF-0F08-47E7-A003-37CBE42B2D9A}"/>
    <cellStyle name="Note 2 2" xfId="587" xr:uid="{85715F6B-5AA7-44BF-AD59-771AE94FEF44}"/>
    <cellStyle name="Note 2 3" xfId="588" xr:uid="{AAE89F0C-BC47-487C-A223-F7E57ED80995}"/>
    <cellStyle name="Note 2 4" xfId="589" xr:uid="{6B0D7C9F-F234-4AB4-9A11-E8C86AD14A28}"/>
    <cellStyle name="Note 3" xfId="590" xr:uid="{33AA8406-BCCB-4BDE-8C89-83169DEE1FB9}"/>
    <cellStyle name="Note 3 2" xfId="591" xr:uid="{7C340F1C-EF41-4322-8D8A-CFEE195B685D}"/>
    <cellStyle name="Note 3 3" xfId="592" xr:uid="{92638D88-D4C3-4C81-A933-B8349F53E5C7}"/>
    <cellStyle name="Note 4" xfId="593" xr:uid="{7AA695CE-43E9-4EEA-BAF1-642928B79013}"/>
    <cellStyle name="Note 4 2" xfId="594" xr:uid="{95B57B2B-2170-4A43-80FC-F43AFC9661AF}"/>
    <cellStyle name="Note 4 3" xfId="595" xr:uid="{893181C3-9E93-4232-8B97-D4FDFB94F459}"/>
    <cellStyle name="Note 5" xfId="596" xr:uid="{D566CADC-CBA7-4CD5-A29F-464BC568BF9A}"/>
    <cellStyle name="Output 2" xfId="597" xr:uid="{573C106F-880F-4FF5-B9C6-B41682CB4E38}"/>
    <cellStyle name="Output 2 2" xfId="598" xr:uid="{1A728FCA-DF1E-46D9-97A1-B852AAF974CF}"/>
    <cellStyle name="Output 2 3" xfId="599" xr:uid="{845F4474-E6B8-47DE-BD2B-2B5513C6FB66}"/>
    <cellStyle name="Output 3" xfId="600" xr:uid="{64F08E79-7F83-4864-ACCE-AE2EFDE28DA6}"/>
    <cellStyle name="Output 4" xfId="601" xr:uid="{2CD3AAC5-F671-47AE-93CA-62B930BC13AA}"/>
    <cellStyle name="Output 5" xfId="602" xr:uid="{37A99869-D279-4DC7-851D-13251EFE35C9}"/>
    <cellStyle name="P $,(0)" xfId="603" xr:uid="{74394D82-BB4E-4F8D-AC15-19EA75B74CAE}"/>
    <cellStyle name="Percent" xfId="1" builtinId="5"/>
    <cellStyle name="Percent [2]" xfId="604" xr:uid="{84679A62-58DE-4D2D-9911-F7A1B3078038}"/>
    <cellStyle name="Percent [2] 2" xfId="605" xr:uid="{A5D4C3BF-FBF5-4BAF-9767-68C94AB7D7F8}"/>
    <cellStyle name="Percent [2] 2 2" xfId="606" xr:uid="{60A1A5E2-019D-4EF9-92DC-BC6A870115B6}"/>
    <cellStyle name="Percent [2] 3" xfId="607" xr:uid="{27354A33-38B9-489F-9EBF-2F2F28077B6E}"/>
    <cellStyle name="Percent 10" xfId="608" xr:uid="{12C453BF-CD34-4578-8045-91AAF9EB181F}"/>
    <cellStyle name="Percent 10 2" xfId="609" xr:uid="{03CB12F1-7E75-4037-AE3C-76F77F4B47D1}"/>
    <cellStyle name="Percent 10 2 2" xfId="610" xr:uid="{BB8D62E8-8DB1-4DE0-80A5-852798FD72F0}"/>
    <cellStyle name="Percent 10 2 2 2" xfId="611" xr:uid="{9C5B5FB3-8648-4A33-832C-B0243A47614A}"/>
    <cellStyle name="Percent 11" xfId="612" xr:uid="{A3D240A5-69B0-4F55-AFE3-E1940D80FF34}"/>
    <cellStyle name="Percent 12" xfId="613" xr:uid="{77D451A0-F078-4EC5-8AA5-4313052C7303}"/>
    <cellStyle name="Percent 12 2" xfId="614" xr:uid="{0BAB61E2-B259-409C-8A4D-C10820539BEC}"/>
    <cellStyle name="Percent 12 3" xfId="615" xr:uid="{ACEAC64E-4919-41BA-A751-5C5BC3F14B42}"/>
    <cellStyle name="Percent 13" xfId="616" xr:uid="{4CE2B7CB-5AC3-4F8A-B9C1-A497A8E081A3}"/>
    <cellStyle name="Percent 14" xfId="617" xr:uid="{426F523B-226B-411B-9455-77EBB626649A}"/>
    <cellStyle name="Percent 15" xfId="618" xr:uid="{361BB2D6-C9DE-49D8-8F87-67973AA0818C}"/>
    <cellStyle name="Percent 16" xfId="619" xr:uid="{D6948312-38A0-4A63-BFE2-E746B84930BE}"/>
    <cellStyle name="Percent 17" xfId="620" xr:uid="{B713125C-E7B8-4F91-AC4E-D9A2B62E31B6}"/>
    <cellStyle name="Percent 18" xfId="621" xr:uid="{E70BBE32-F00D-4178-9AB2-C72802817C5B}"/>
    <cellStyle name="Percent 19" xfId="622" xr:uid="{9F045A11-BFFE-4EA5-89F2-655B2EC911D6}"/>
    <cellStyle name="Percent 2" xfId="623" xr:uid="{60CC33E1-2BBB-472C-8838-F54AF552D218}"/>
    <cellStyle name="Percent 2 2" xfId="624" xr:uid="{4FDDF3FD-9669-48AA-A084-A9A0C8D3AD6C}"/>
    <cellStyle name="Percent 2 2 2" xfId="625" xr:uid="{7AD3ACB8-9F37-48E8-ABF6-CDD5423E5026}"/>
    <cellStyle name="Percent 20" xfId="626" xr:uid="{3700D54A-3A16-461E-8249-583C19291D77}"/>
    <cellStyle name="Percent 21" xfId="627" xr:uid="{1E7B446C-D076-4EED-A8C8-B074AE0F9AC3}"/>
    <cellStyle name="Percent 22" xfId="628" xr:uid="{9AC9D429-1994-4F76-B7FC-413EA9C15903}"/>
    <cellStyle name="Percent 23" xfId="629" xr:uid="{49C0B49D-8FA4-42DD-BC8B-6F83D25CB204}"/>
    <cellStyle name="Percent 24" xfId="630" xr:uid="{A2A6D74E-5F31-4567-A4CB-E8A9ED6323B9}"/>
    <cellStyle name="Percent 25" xfId="631" xr:uid="{D2DA9C68-5544-4A93-80CB-AC2DD9F74F84}"/>
    <cellStyle name="Percent 26" xfId="632" xr:uid="{3679C15B-06EB-4E38-9DB0-3570CE67E725}"/>
    <cellStyle name="Percent 27" xfId="633" xr:uid="{A73F5D75-2D3C-43EC-8502-8488AA31BB83}"/>
    <cellStyle name="Percent 28" xfId="634" xr:uid="{55DB7ECB-1397-4B74-B292-63F1D9528D1F}"/>
    <cellStyle name="Percent 3" xfId="635" xr:uid="{E24F4CD2-8236-4530-B914-1EB49372DF9D}"/>
    <cellStyle name="Percent 3 2" xfId="636" xr:uid="{0088083D-0C2C-4199-83AC-3D8D05DF2494}"/>
    <cellStyle name="Percent 3 2 2" xfId="637" xr:uid="{EE6D863E-5765-45B7-B59A-C82DA20C9FA1}"/>
    <cellStyle name="Percent 3 2 2 2" xfId="638" xr:uid="{F1A55660-C201-434E-B241-6A303B492D47}"/>
    <cellStyle name="Percent 3 2 2 2 2" xfId="639" xr:uid="{3499562A-F10F-4F5E-B6C1-2D76526CCF0C}"/>
    <cellStyle name="Percent 3 2 3" xfId="640" xr:uid="{86CC0E8E-BC7D-409B-BEE8-0C62EE9D8CBA}"/>
    <cellStyle name="Percent 3 3" xfId="641" xr:uid="{FD136CCF-0285-4E6B-B98B-BE31F7AF2984}"/>
    <cellStyle name="Percent 3 4" xfId="642" xr:uid="{3130FDF9-CDC6-4514-B644-43331A2BD6CE}"/>
    <cellStyle name="Percent 4" xfId="643" xr:uid="{18CF6F1D-38EE-4122-98CA-C82D20D21989}"/>
    <cellStyle name="Percent 4 2" xfId="644" xr:uid="{7357AD5F-31BB-4D1B-93FF-A21CFA9534B5}"/>
    <cellStyle name="Percent 4 3" xfId="645" xr:uid="{F4E6473F-7F41-4B80-B87E-5AD0FEF01A64}"/>
    <cellStyle name="Percent 4 4" xfId="646" xr:uid="{1B5D3C86-284C-47EA-B41D-EAA6EC1532BD}"/>
    <cellStyle name="Percent 5" xfId="647" xr:uid="{93137CE1-8DED-4A54-8DB6-83E8841CC098}"/>
    <cellStyle name="Percent 5 2" xfId="648" xr:uid="{B542502B-F012-40A6-BD3C-0358281FFFEB}"/>
    <cellStyle name="Percent 5 3" xfId="649" xr:uid="{7357BE0F-FD15-4551-A26D-20141B0A47D7}"/>
    <cellStyle name="Percent 5 4" xfId="650" xr:uid="{CFF614CB-4015-4F71-BEC7-BBBB49415B27}"/>
    <cellStyle name="Percent 6" xfId="651" xr:uid="{6E98E8E1-3050-444F-955A-EFB7106127A1}"/>
    <cellStyle name="Percent 6 2" xfId="652" xr:uid="{816B1A18-1F07-4196-9349-5459E2D4B328}"/>
    <cellStyle name="Percent 6 3" xfId="653" xr:uid="{CAAAF828-C0DC-44DE-9404-850550642DA6}"/>
    <cellStyle name="Percent 7" xfId="654" xr:uid="{F2FB8823-89F1-40C2-ADF7-0B893CF018D7}"/>
    <cellStyle name="Percent 7 2" xfId="655" xr:uid="{FFC892F5-F573-4166-866A-4E00910F9E1B}"/>
    <cellStyle name="Percent 7 3" xfId="656" xr:uid="{97E8F647-5B5F-494D-BCB0-0F2A3C6974AE}"/>
    <cellStyle name="Percent 8" xfId="657" xr:uid="{C58FDBAB-A840-4952-9B82-6F1E14E2A216}"/>
    <cellStyle name="Percent 8 2" xfId="658" xr:uid="{97A04B88-E803-486C-A7DE-8DB757BF5D5E}"/>
    <cellStyle name="Percent 8 3" xfId="659" xr:uid="{7F67E147-8EB0-46BB-B716-963129C793DF}"/>
    <cellStyle name="Percent 9" xfId="660" xr:uid="{BE087923-4705-4A4F-9C28-AF30E5E51E46}"/>
    <cellStyle name="Percent 9 2" xfId="661" xr:uid="{7C3A26AF-18AF-4111-81CF-810DD446423B}"/>
    <cellStyle name="Percent 9 3" xfId="662" xr:uid="{88931AA9-4CF1-4E85-B9C4-85C81D4821D2}"/>
    <cellStyle name="Prot $,(0)" xfId="663" xr:uid="{6CE86D65-B64F-43B3-8589-7F25E2DC32AE}"/>
    <cellStyle name="Prot Fixed (1)" xfId="664" xr:uid="{DF834414-105C-47BA-AEB9-05133849A378}"/>
    <cellStyle name="Prot, (0)" xfId="665" xr:uid="{E4B8FE14-F372-4D56-B28C-D95ADDBE5710}"/>
    <cellStyle name="Prot, Fixed (2)" xfId="666" xr:uid="{5DD1B0FA-0A00-40E3-A9E3-D3F64B5B8A51}"/>
    <cellStyle name="RevList" xfId="667" xr:uid="{5ED8EF99-E6EA-4AD4-AE89-4A19B92E630C}"/>
    <cellStyle name="RevList 2" xfId="668" xr:uid="{8E2A26B7-DAED-444D-867A-631670F03ACE}"/>
    <cellStyle name="SAPBEXaggData" xfId="669" xr:uid="{26A5C9FC-B7E7-4EBA-A778-CCBDEBB8BFF7}"/>
    <cellStyle name="SAPBEXaggDataEmph" xfId="670" xr:uid="{C06B0132-FD4C-47BF-9981-6AD7801B3072}"/>
    <cellStyle name="SAPBEXaggItem" xfId="671" xr:uid="{A916348E-9CA8-4EE6-95A0-89B3AA173678}"/>
    <cellStyle name="SAPBEXaggItemX" xfId="672" xr:uid="{76062CE5-08D8-4CE3-87C3-2F272BA6D5EE}"/>
    <cellStyle name="SAPBEXchaText" xfId="673" xr:uid="{0E5322B8-8798-4B64-A682-9ECDC22266B0}"/>
    <cellStyle name="SAPBEXexcBad7" xfId="674" xr:uid="{582F2CCA-0242-4EFB-9435-0DD4606B5294}"/>
    <cellStyle name="SAPBEXexcBad8" xfId="675" xr:uid="{194B6574-7B0D-4BF8-9635-8873AA9E8D00}"/>
    <cellStyle name="SAPBEXexcBad9" xfId="676" xr:uid="{6DA1D603-7EC6-4CA0-8E55-D89E352BBB86}"/>
    <cellStyle name="SAPBEXexcCritical4" xfId="677" xr:uid="{14021BE6-6105-4AF7-8BF8-427381EF73A2}"/>
    <cellStyle name="SAPBEXexcCritical5" xfId="678" xr:uid="{46F8EC62-CCC8-4151-8A93-D971380C3264}"/>
    <cellStyle name="SAPBEXexcCritical6" xfId="679" xr:uid="{8123A495-C2FB-47F4-AA09-76ED1A729EBE}"/>
    <cellStyle name="SAPBEXexcGood1" xfId="680" xr:uid="{27A011D5-637A-4798-934A-A3AB278D2A7D}"/>
    <cellStyle name="SAPBEXexcGood2" xfId="681" xr:uid="{443A151D-30C3-45C0-93AB-45D1798EBF57}"/>
    <cellStyle name="SAPBEXexcGood3" xfId="682" xr:uid="{06792B9D-577D-4D89-A596-E5231E7B7CB9}"/>
    <cellStyle name="SAPBEXfilterDrill" xfId="683" xr:uid="{10637BA9-0FAF-4C0E-9D00-F0DF101951DF}"/>
    <cellStyle name="SAPBEXfilterItem" xfId="684" xr:uid="{EE6A0626-2286-4CB2-8BAD-21825D7257BB}"/>
    <cellStyle name="SAPBEXfilterText" xfId="685" xr:uid="{75DE2438-BE9D-4A91-9858-8A346BFDDB86}"/>
    <cellStyle name="SAPBEXformats" xfId="686" xr:uid="{F591719E-DAEB-4CCE-8710-A2EE91F654D0}"/>
    <cellStyle name="SAPBEXheaderItem" xfId="687" xr:uid="{75BBDCCA-6370-4FC5-AE8C-3F4BC4CAE081}"/>
    <cellStyle name="SAPBEXheaderText" xfId="688" xr:uid="{BAA442B2-07FA-49DB-9865-68BAD2A088EF}"/>
    <cellStyle name="SAPBEXHLevel0" xfId="689" xr:uid="{3A464135-DEBE-4FE9-AF69-643E07A544DE}"/>
    <cellStyle name="SAPBEXHLevel0X" xfId="690" xr:uid="{D4F7ABF6-EB3E-4E2E-8D17-0655255B3A42}"/>
    <cellStyle name="SAPBEXHLevel1" xfId="691" xr:uid="{02F2C33C-C3FB-42F5-8FC5-2145CD466AD1}"/>
    <cellStyle name="SAPBEXHLevel1X" xfId="692" xr:uid="{B7F9FC20-1459-491E-A9F3-4008508C6B7F}"/>
    <cellStyle name="SAPBEXHLevel2" xfId="693" xr:uid="{CCD1C879-2279-44B5-B2B9-068538974E8D}"/>
    <cellStyle name="SAPBEXHLevel2X" xfId="694" xr:uid="{67B52408-ADE4-4D26-87C3-B594374614FA}"/>
    <cellStyle name="SAPBEXHLevel3" xfId="695" xr:uid="{471A9525-67F2-4544-AA8F-A822EE8E43E0}"/>
    <cellStyle name="SAPBEXHLevel3X" xfId="696" xr:uid="{F51EE085-4E69-468C-B1F5-EEAA911F1B03}"/>
    <cellStyle name="SAPBEXinputData" xfId="697" xr:uid="{9ACBFFAA-71F5-4624-9924-4884CA4B6C73}"/>
    <cellStyle name="SAPBEXItemHeader" xfId="698" xr:uid="{C9A75824-0B88-4F36-997A-ECC539A3AD9A}"/>
    <cellStyle name="SAPBEXresData" xfId="699" xr:uid="{CB7EC76A-59A5-47DF-AEE9-091C0B2A9440}"/>
    <cellStyle name="SAPBEXresDataEmph" xfId="700" xr:uid="{BD3A9906-AAE2-4CE3-833A-64BF58F43E11}"/>
    <cellStyle name="SAPBEXresItem" xfId="701" xr:uid="{A29CA28B-5571-4102-9133-E4BCCE999F43}"/>
    <cellStyle name="SAPBEXresItemX" xfId="702" xr:uid="{756E3681-76D4-43E7-9E96-FE592AF0B028}"/>
    <cellStyle name="SAPBEXstdData" xfId="703" xr:uid="{7E5CBD61-220A-4251-ACC1-8480A92CA766}"/>
    <cellStyle name="SAPBEXstdDataEmph" xfId="704" xr:uid="{6CEF23F6-5B17-4713-8EB2-36F0D568CE23}"/>
    <cellStyle name="SAPBEXstdItem" xfId="705" xr:uid="{1D30FFEB-8D38-4B58-BC89-D16B4B7750A9}"/>
    <cellStyle name="SAPBEXstdItemX" xfId="706" xr:uid="{AC49E169-58DC-42AF-90A8-ED6161CBCA00}"/>
    <cellStyle name="SAPBEXtitle" xfId="707" xr:uid="{4A0F379D-03BE-4A72-9913-EDFF8BD8DC7C}"/>
    <cellStyle name="SAPBEXunassignedItem" xfId="708" xr:uid="{9B16B5EE-DE75-4529-848D-5D2ED14B4075}"/>
    <cellStyle name="SAPBEXundefined" xfId="709" xr:uid="{77E047D0-F2D5-4DBC-B38D-877D38D327A6}"/>
    <cellStyle name="Sheet Title" xfId="710" xr:uid="{286ED2BD-9C2D-47D1-B70F-F2B4AEAA0FD7}"/>
    <cellStyle name="style" xfId="711" xr:uid="{732AB342-BEAE-4F55-98D1-5C59B4526468}"/>
    <cellStyle name="Style 1" xfId="712" xr:uid="{BD3021C1-4FE1-4396-82ED-C5DB571269C2}"/>
    <cellStyle name="style1" xfId="713" xr:uid="{CAFD0B4A-6F1F-446C-A0DB-B246F306052A}"/>
    <cellStyle name="style2" xfId="714" xr:uid="{46BE338E-3DE8-4916-B3C6-CE57618C793B}"/>
    <cellStyle name="Subtotal" xfId="715" xr:uid="{83EF117E-C3DC-4912-BA87-9382A621A18F}"/>
    <cellStyle name="þ_x001d_ð &amp;ý&amp;†ýG_x0008_ X_x000a__x0007__x0001__x0001_" xfId="716" xr:uid="{6CA6C5FC-ED8D-4B29-B4CE-3B9A08428890}"/>
    <cellStyle name="þ_x001d_ð &amp;ý&amp;†ýG_x0008_ X_x000a__x0007__x0001__x0001_ 2" xfId="717" xr:uid="{75A19884-BA01-4A0C-8371-81A48FC661BE}"/>
    <cellStyle name="þ_x001d_ð &amp;ý&amp;†ýG_x0008_ X_x000a__x0007__x0001__x0001_ 2 2" xfId="718" xr:uid="{B533BD45-EFFA-4B61-A991-60E12F853562}"/>
    <cellStyle name="þ_x001d_ð &amp;ý&amp;†ýG_x0008_ X_x000a__x0007__x0001__x0001_ 3" xfId="719" xr:uid="{B46D4703-7D65-417D-8F6C-CDE15B3398E7}"/>
    <cellStyle name="þ_x001d_ð &amp;ý&amp;†ýG_x0008__x0009_X_x000a__x0007__x0001__x0001_" xfId="720" xr:uid="{EE51B7AF-D863-4DB2-AE78-00F28E83E024}"/>
    <cellStyle name="þ_x001d_ð &amp;ý&amp;†ýG_x0008__x0009_X_x000a__x0007__x0001__x0001_ 2" xfId="721" xr:uid="{33C322D9-359D-4BD0-9F64-AFDCEAC1FFE2}"/>
    <cellStyle name="þ_x001d_ð&quot;_x000c_Býò_x000c_5ýU_x0001_e_x0005_¹,_x0007__x0001__x0001_" xfId="722" xr:uid="{6BC0489C-6D46-4ED6-82EC-733625639437}"/>
    <cellStyle name="þ_x001d_ð&quot;_x000c_Býò_x000c_5ýU_x0001_e_x0005_¹,_x0007__x0001__x0001_ 2" xfId="723" xr:uid="{72A005A0-AE1E-44FB-B6B3-3C696D87931F}"/>
    <cellStyle name="þ_x001d_ð&quot;_x000c_Býò_x000c_5ýU_x0001_e_x0005_¹,_x0007__x0001__x0001_ 2 2" xfId="724" xr:uid="{B9F94AC6-A708-4A37-9C43-0B193ECD6FAF}"/>
    <cellStyle name="þ_x001d_ð&quot;_x000c_Býò_x000c_5ýU_x0001_e_x0005_¹,_x0007__x0001__x0001_ 3" xfId="725" xr:uid="{DF939172-A009-45BF-A865-5FCBEA27ACD3}"/>
    <cellStyle name="Title 2" xfId="726" xr:uid="{F874A3D7-8B16-41B9-9F50-01DAEBC1F926}"/>
    <cellStyle name="Title 2 2" xfId="727" xr:uid="{48E95695-65B8-4A3B-A84E-568B2A59CE7E}"/>
    <cellStyle name="Title 3" xfId="728" xr:uid="{AE0310AD-4915-44AF-8FEE-7D33462E0068}"/>
    <cellStyle name="Title 4" xfId="729" xr:uid="{C9C6BF7B-9500-4E4A-966A-4245D4396067}"/>
    <cellStyle name="Title 5" xfId="730" xr:uid="{9939E11C-DFD3-48B2-AAFB-2E344441D1AC}"/>
    <cellStyle name="Total 2" xfId="731" xr:uid="{3BB65896-767F-4996-B2B1-660BAC292D3C}"/>
    <cellStyle name="Total 2 2" xfId="732" xr:uid="{FBABBA11-2097-4CDC-81DD-D1C2D8E0F306}"/>
    <cellStyle name="Total 2 3" xfId="733" xr:uid="{1E2A0BDC-E61F-467F-BF92-6386AD6C02E3}"/>
    <cellStyle name="Total 3" xfId="734" xr:uid="{CF437AFA-C1DB-4FB9-AD75-793D7F8D5DCD}"/>
    <cellStyle name="Total 4" xfId="735" xr:uid="{DF33CC70-D7FC-422B-849F-B884554F6AB4}"/>
    <cellStyle name="Unp $,(2)" xfId="736" xr:uid="{420E0269-1722-47E2-B35E-22625ECDC4DD}"/>
    <cellStyle name="Unp Comma [0]" xfId="737" xr:uid="{9EB6ECDF-F955-4B3F-ADA2-2519F60A9EBE}"/>
    <cellStyle name="Unp comment" xfId="738" xr:uid="{45DDB858-7F98-49D4-AF7E-60644E9CBCD3}"/>
    <cellStyle name="Unp Fixed (1)" xfId="739" xr:uid="{3249B3F9-97C1-4E75-BC89-C3EBB7A1BA0A}"/>
    <cellStyle name="Unp Fixed (2)" xfId="740" xr:uid="{D182FB71-526C-4894-B619-3391FDF8AC01}"/>
    <cellStyle name="Unprotected" xfId="741" xr:uid="{FD5E7535-E4C9-4E06-B8F3-174A7CF46442}"/>
    <cellStyle name="Warning Text 2" xfId="742" xr:uid="{9AF1C3FC-63A8-4A53-8E9E-504A8CC7ABE5}"/>
    <cellStyle name="Warning Text 2 2" xfId="743" xr:uid="{305062F9-D593-40C5-B9D2-AC483BDE338E}"/>
    <cellStyle name="Warning Text 2 3" xfId="744" xr:uid="{AF04E6EB-5924-4CF6-8B93-D9DCD41FE9D0}"/>
    <cellStyle name="Warning Text 3" xfId="745" xr:uid="{B77590DE-51A9-40D7-AF65-0DDFD0F3C5D7}"/>
    <cellStyle name="Warning Text 4" xfId="746" xr:uid="{EE1B58D4-F831-4B99-A229-5A8AB5E53FE3}"/>
    <cellStyle name="Warning Text 5" xfId="747" xr:uid="{88C6664B-F246-49F9-9E28-049B75462E29}"/>
  </cellStyles>
  <dxfs count="129">
    <dxf>
      <numFmt numFmtId="2" formatCode="0.0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top style="thin">
          <color theme="4" tint="0.39997558519241921"/>
        </top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%"/>
      <alignment horizontal="general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mruColors>
      <color rgb="FFFFFFFF"/>
      <color rgb="FFFED2D2"/>
      <color rgb="FFFFB6A7"/>
      <color rgb="FFFD73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pivotCacheDefinition" Target="pivotCache/pivotCacheDefinition6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[CPI India (Final).xlsx]Que 1!PivotTable68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 baseline="0"/>
              <a:t>Category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/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lang="en-US" sz="2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tx>
            <c:rich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lang="en-US" sz="2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fld id="{9857F811-0C2E-42EE-8DFB-6B04BFBD9AE1}" type="CATEGORYNAME">
                  <a:rPr lang="en-US" sz="2000" baseline="0">
                    <a:solidFill>
                      <a:schemeClr val="tx1"/>
                    </a:solidFill>
                  </a:rPr>
                  <a:pPr>
                    <a:defRPr sz="2000"/>
                  </a:pPr>
                  <a:t>[CATEGORY NAME]</a:t>
                </a:fld>
                <a:r>
                  <a:rPr lang="en-US" sz="2000" baseline="0">
                    <a:solidFill>
                      <a:schemeClr val="tx1"/>
                    </a:solidFill>
                  </a:rPr>
                  <a:t>
</a:t>
                </a:r>
                <a:fld id="{6F2C6D0B-EF80-49DC-881B-1B6E8C1F7C78}" type="PERCENTAGE">
                  <a:rPr lang="en-US" sz="2000" baseline="0">
                    <a:solidFill>
                      <a:schemeClr val="tx1"/>
                    </a:solidFill>
                  </a:rPr>
                  <a:pPr>
                    <a:defRPr sz="2000"/>
                  </a:pPr>
                  <a:t>[PERCENTAGE]</a:t>
                </a:fld>
                <a:endParaRPr lang="en-US" sz="2000" baseline="0">
                  <a:solidFill>
                    <a:schemeClr val="tx1"/>
                  </a:solidFill>
                </a:endParaRPr>
              </a:p>
            </c:rich>
          </c:tx>
          <c:spPr>
            <a:solidFill>
              <a:sysClr val="window" lastClr="FFFFFF"/>
            </a:solidFill>
            <a:ln>
              <a:solidFill>
                <a:sysClr val="windowText" lastClr="000000"/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lang="en-US" sz="2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dlblFieldTable/>
              <c15:showDataLabelsRange val="0"/>
            </c:ext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3.3092382140145662E-2"/>
              <c:y val="-2.3521368462104543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/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lang="en-US" sz="2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26642195550888209"/>
          <c:y val="0.18685913441396479"/>
          <c:w val="0.44241970262968461"/>
          <c:h val="0.70709717251925819"/>
        </c:manualLayout>
      </c:layout>
      <c:pieChart>
        <c:varyColors val="1"/>
        <c:ser>
          <c:idx val="0"/>
          <c:order val="0"/>
          <c:tx>
            <c:strRef>
              <c:f>'Que 1'!$I$3</c:f>
              <c:strCache>
                <c:ptCount val="1"/>
                <c:pt idx="0">
                  <c:v>Total Sum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A09-4E49-B16E-52183B56777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A09-4E49-B16E-52183B56777A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A09-4E49-B16E-52183B56777A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A09-4E49-B16E-52183B56777A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A09-4E49-B16E-52183B56777A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DA09-4E49-B16E-52183B56777A}"/>
              </c:ext>
            </c:extLst>
          </c:dPt>
          <c:dLbls>
            <c:dLbl>
              <c:idx val="1"/>
              <c:tx>
                <c:rich>
                  <a:bodyPr/>
                  <a:lstStyle/>
                  <a:p>
                    <a:fld id="{9857F811-0C2E-42EE-8DFB-6B04BFBD9AE1}" type="CATEGORYNAME">
                      <a:rPr lang="en-US" sz="2000" baseline="0">
                        <a:solidFill>
                          <a:schemeClr val="tx1"/>
                        </a:solidFill>
                      </a:rPr>
                      <a:pPr/>
                      <a:t>[CATEGORY NAME]</a:t>
                    </a:fld>
                    <a:r>
                      <a:rPr lang="en-US" sz="2000" baseline="0">
                        <a:solidFill>
                          <a:schemeClr val="tx1"/>
                        </a:solidFill>
                      </a:rPr>
                      <a:t>
</a:t>
                    </a:r>
                    <a:fld id="{6F2C6D0B-EF80-49DC-881B-1B6E8C1F7C78}" type="PERCENTAGE">
                      <a:rPr lang="en-US" sz="2000" baseline="0">
                        <a:solidFill>
                          <a:schemeClr val="tx1"/>
                        </a:solidFill>
                      </a:rPr>
                      <a:pPr/>
                      <a:t>[PERCENTAGE]</a:t>
                    </a:fld>
                    <a:endParaRPr lang="en-US" sz="2000" baseline="0">
                      <a:solidFill>
                        <a:schemeClr val="tx1"/>
                      </a:solidFill>
                    </a:endParaRPr>
                  </a:p>
                </c:rich>
              </c:tx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DA09-4E49-B16E-52183B56777A}"/>
                </c:ext>
              </c:extLst>
            </c:dLbl>
            <c:dLbl>
              <c:idx val="2"/>
              <c:layout>
                <c:manualLayout>
                  <c:x val="-3.3092382140145662E-2"/>
                  <c:y val="-2.352136846210454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A09-4E49-B16E-52183B56777A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/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lang="en-US" sz="2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'Que 1'!$H$4:$H$10</c:f>
              <c:strCache>
                <c:ptCount val="6"/>
                <c:pt idx="0">
                  <c:v>clothing</c:v>
                </c:pt>
                <c:pt idx="1">
                  <c:v>essential services</c:v>
                </c:pt>
                <c:pt idx="2">
                  <c:v>food</c:v>
                </c:pt>
                <c:pt idx="3">
                  <c:v>health care</c:v>
                </c:pt>
                <c:pt idx="4">
                  <c:v>luxury</c:v>
                </c:pt>
                <c:pt idx="5">
                  <c:v>misc</c:v>
                </c:pt>
              </c:strCache>
            </c:strRef>
          </c:cat>
          <c:val>
            <c:numRef>
              <c:f>'Que 1'!$I$4:$I$10</c:f>
              <c:numCache>
                <c:formatCode>General</c:formatCode>
                <c:ptCount val="6"/>
                <c:pt idx="0">
                  <c:v>1647.6000000000001</c:v>
                </c:pt>
                <c:pt idx="1">
                  <c:v>2618.3999999999996</c:v>
                </c:pt>
                <c:pt idx="2">
                  <c:v>6364.9000000000005</c:v>
                </c:pt>
                <c:pt idx="3">
                  <c:v>1105.9000000000001</c:v>
                </c:pt>
                <c:pt idx="4">
                  <c:v>1632.9</c:v>
                </c:pt>
                <c:pt idx="5">
                  <c:v>1059.0999999999999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A09-4E49-B16E-52183B56777A}"/>
            </c:ext>
          </c:extLst>
        </c:ser>
        <c:ser>
          <c:idx val="1"/>
          <c:order val="1"/>
          <c:tx>
            <c:strRef>
              <c:f>'Que 1'!$J$3</c:f>
              <c:strCache>
                <c:ptCount val="1"/>
                <c:pt idx="0">
                  <c:v>Total Contribution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DA09-4E49-B16E-52183B56777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DA09-4E49-B16E-52183B56777A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DA09-4E49-B16E-52183B56777A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DA09-4E49-B16E-52183B56777A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6-DA09-4E49-B16E-52183B56777A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8-DA09-4E49-B16E-52183B56777A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'Que 1'!$H$4:$H$10</c:f>
              <c:strCache>
                <c:ptCount val="6"/>
                <c:pt idx="0">
                  <c:v>clothing</c:v>
                </c:pt>
                <c:pt idx="1">
                  <c:v>essential services</c:v>
                </c:pt>
                <c:pt idx="2">
                  <c:v>food</c:v>
                </c:pt>
                <c:pt idx="3">
                  <c:v>health care</c:v>
                </c:pt>
                <c:pt idx="4">
                  <c:v>luxury</c:v>
                </c:pt>
                <c:pt idx="5">
                  <c:v>misc</c:v>
                </c:pt>
              </c:strCache>
            </c:strRef>
          </c:cat>
          <c:val>
            <c:numRef>
              <c:f>'Que 1'!$J$4:$J$10</c:f>
              <c:numCache>
                <c:formatCode>0.00%</c:formatCode>
                <c:ptCount val="6"/>
                <c:pt idx="0">
                  <c:v>0.11418829008649369</c:v>
                </c:pt>
                <c:pt idx="1">
                  <c:v>0.18147039254823683</c:v>
                </c:pt>
                <c:pt idx="2">
                  <c:v>0.44112469505433577</c:v>
                </c:pt>
                <c:pt idx="3">
                  <c:v>7.6645320470170766E-2</c:v>
                </c:pt>
                <c:pt idx="4">
                  <c:v>0.11316949434464404</c:v>
                </c:pt>
                <c:pt idx="5">
                  <c:v>7.3401807496118868E-2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A09-4E49-B16E-52183B5677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 algn="ctr" rtl="0"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[CPI India (Final).xlsx]Que 2!PivotTable56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/>
                </a:solidFill>
              </a:rPr>
              <a:t>Y-on-Y</a:t>
            </a:r>
            <a:r>
              <a:rPr lang="en-US" sz="1800" b="1" baseline="0">
                <a:solidFill>
                  <a:schemeClr val="tx1"/>
                </a:solidFill>
              </a:rPr>
              <a:t> Inflation Change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'Que 2'!$O$3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'Que 2'!$N$4:$N$11</c:f>
              <c:strCache>
                <c:ptCount val="7"/>
                <c:pt idx="0">
                  <c:v>2017</c:v>
                </c:pt>
                <c:pt idx="1">
                  <c:v>2017-2018</c:v>
                </c:pt>
                <c:pt idx="2">
                  <c:v>2018-2019</c:v>
                </c:pt>
                <c:pt idx="3">
                  <c:v>2019-2020</c:v>
                </c:pt>
                <c:pt idx="4">
                  <c:v>2020-2021</c:v>
                </c:pt>
                <c:pt idx="5">
                  <c:v>2021-2022</c:v>
                </c:pt>
                <c:pt idx="6">
                  <c:v>2022-2023</c:v>
                </c:pt>
              </c:strCache>
            </c:strRef>
          </c:cat>
          <c:val>
            <c:numRef>
              <c:f>'Que 2'!$O$4:$O$11</c:f>
              <c:numCache>
                <c:formatCode>0.0%</c:formatCode>
                <c:ptCount val="7"/>
                <c:pt idx="0">
                  <c:v>0</c:v>
                </c:pt>
                <c:pt idx="1">
                  <c:v>3.3385157833365556E-2</c:v>
                </c:pt>
                <c:pt idx="2">
                  <c:v>-4.9997985035530323E-2</c:v>
                </c:pt>
                <c:pt idx="3">
                  <c:v>0.1630680184575066</c:v>
                </c:pt>
                <c:pt idx="4">
                  <c:v>6.3507051385962313E-2</c:v>
                </c:pt>
                <c:pt idx="5">
                  <c:v>6.3885364152863139E-2</c:v>
                </c:pt>
                <c:pt idx="6">
                  <c:v>-0.57034740765016778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AD-4F25-A9ED-A5341802BD9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324981519"/>
        <c:axId val="1324973839"/>
      </c:lineChart>
      <c:catAx>
        <c:axId val="13249815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chemeClr val="tx1"/>
                    </a:solidFill>
                  </a:rPr>
                  <a:t>Year</a:t>
                </a:r>
              </a:p>
            </c:rich>
          </c:tx>
          <c:layout>
            <c:manualLayout>
              <c:xMode val="edge"/>
              <c:yMode val="edge"/>
              <c:x val="0.50212146762481202"/>
              <c:y val="0.886233884324359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973839"/>
        <c:crosses val="autoZero"/>
        <c:auto val="1"/>
        <c:lblAlgn val="ctr"/>
        <c:lblOffset val="100"/>
        <c:noMultiLvlLbl val="0"/>
      </c:catAx>
      <c:valAx>
        <c:axId val="132497383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chemeClr val="tx1"/>
                    </a:solidFill>
                  </a:rPr>
                  <a:t>Inflation Change</a:t>
                </a:r>
              </a:p>
            </c:rich>
          </c:tx>
          <c:layout>
            <c:manualLayout>
              <c:xMode val="edge"/>
              <c:yMode val="edge"/>
              <c:x val="1.4354469400722172E-2"/>
              <c:y val="0.31545543673638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981519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[CPI India (Final).xlsx]Que 3!PivotTable61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</a:rPr>
              <a:t>M-on-M</a:t>
            </a:r>
            <a:r>
              <a:rPr lang="en-US" sz="1600" b="1" baseline="0">
                <a:solidFill>
                  <a:schemeClr val="tx1"/>
                </a:solidFill>
              </a:rPr>
              <a:t> Inflation Change for food category (Jun'22 - May'23</a:t>
            </a:r>
            <a:endParaRPr lang="en-US" sz="16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'Que 3'!$W$42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'Que 3'!$V$43:$V$55</c:f>
              <c:strCache>
                <c:ptCount val="12"/>
                <c:pt idx="0">
                  <c:v>Jun'22</c:v>
                </c:pt>
                <c:pt idx="1">
                  <c:v>Jun'22-July'22</c:v>
                </c:pt>
                <c:pt idx="2">
                  <c:v>July'22-Aug'22</c:v>
                </c:pt>
                <c:pt idx="3">
                  <c:v>Aug'22-Sept'22</c:v>
                </c:pt>
                <c:pt idx="4">
                  <c:v>Sept'22-Oct'22</c:v>
                </c:pt>
                <c:pt idx="5">
                  <c:v>Oct'22-Nov'22</c:v>
                </c:pt>
                <c:pt idx="6">
                  <c:v>Nov'22-Dec'22</c:v>
                </c:pt>
                <c:pt idx="7">
                  <c:v>Dec'22-Jan'23</c:v>
                </c:pt>
                <c:pt idx="8">
                  <c:v>Jan'23-Feb'23</c:v>
                </c:pt>
                <c:pt idx="9">
                  <c:v>Feb'23-Mar'23</c:v>
                </c:pt>
                <c:pt idx="10">
                  <c:v>Mar'23-Apr'23</c:v>
                </c:pt>
                <c:pt idx="11">
                  <c:v>Apr'23-May'23</c:v>
                </c:pt>
              </c:strCache>
            </c:strRef>
          </c:cat>
          <c:val>
            <c:numRef>
              <c:f>'Que 3'!$W$43:$W$55</c:f>
              <c:numCache>
                <c:formatCode>0.00%</c:formatCode>
                <c:ptCount val="12"/>
                <c:pt idx="0">
                  <c:v>0</c:v>
                </c:pt>
                <c:pt idx="1">
                  <c:v>1.7756075907224215E-3</c:v>
                </c:pt>
                <c:pt idx="2">
                  <c:v>1.0927057929244204E-3</c:v>
                </c:pt>
                <c:pt idx="3">
                  <c:v>5.4495054495055061E-3</c:v>
                </c:pt>
                <c:pt idx="4">
                  <c:v>7.441220610305067E-3</c:v>
                </c:pt>
                <c:pt idx="5">
                  <c:v>-1.0641627543036278E-3</c:v>
                </c:pt>
                <c:pt idx="6">
                  <c:v>-6.9811053154104647E-3</c:v>
                </c:pt>
                <c:pt idx="7">
                  <c:v>4.4555309769223174E-3</c:v>
                </c:pt>
                <c:pt idx="8">
                  <c:v>-6.4580306953832918E-3</c:v>
                </c:pt>
                <c:pt idx="9">
                  <c:v>6.3155235569258423E-5</c:v>
                </c:pt>
                <c:pt idx="10">
                  <c:v>4.9175949347201337E-3</c:v>
                </c:pt>
                <c:pt idx="11">
                  <c:v>7.7634183983659984E-3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58-4373-AF07-8A5D9A1BB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1466048"/>
        <c:axId val="571464128"/>
      </c:lineChart>
      <c:catAx>
        <c:axId val="571466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464128"/>
        <c:crosses val="autoZero"/>
        <c:auto val="1"/>
        <c:lblAlgn val="ctr"/>
        <c:lblOffset val="100"/>
        <c:noMultiLvlLbl val="0"/>
      </c:catAx>
      <c:valAx>
        <c:axId val="5714641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Inflation Change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46604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[CPI India (Final).xlsx]Que 4!PivotTable66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</a:rPr>
              <a:t>Pre Covid Total v/s Post Covid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064512994866535E-2"/>
              <c:y val="3.828999986879214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3.8258175361484979E-2"/>
              <c:y val="5.184944571771215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5.3156806274933799E-2"/>
              <c:y val="-5.175795483116224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2.5692540413914736E-2"/>
              <c:y val="-5.175795483116207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5.3156806274933799E-2"/>
              <c:y val="-5.175795483116224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2.5692540413914736E-2"/>
              <c:y val="-5.175795483116207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3.8258175361484979E-2"/>
              <c:y val="5.184944571771215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064512994866535E-2"/>
              <c:y val="3.828999986879214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5.3156806274933799E-2"/>
              <c:y val="-5.175795483116224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2.5692540413914736E-2"/>
              <c:y val="-5.175795483116207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3.8258175361484979E-2"/>
              <c:y val="5.184944571771215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064512994866535E-2"/>
              <c:y val="3.828999986879214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378479997274539"/>
          <c:y val="0.16253567431823898"/>
          <c:w val="0.5844165820726599"/>
          <c:h val="0.63298501783540362"/>
        </c:manualLayout>
      </c:layout>
      <c:lineChart>
        <c:grouping val="standard"/>
        <c:varyColors val="0"/>
        <c:ser>
          <c:idx val="0"/>
          <c:order val="0"/>
          <c:tx>
            <c:strRef>
              <c:f>'Que 4'!$AL$24</c:f>
              <c:strCache>
                <c:ptCount val="1"/>
                <c:pt idx="0">
                  <c:v>Sum of pre covid 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99DC-47D7-BBDD-C8D48CD0A12D}"/>
              </c:ext>
            </c:extLst>
          </c:dPt>
          <c:dPt>
            <c:idx val="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99DC-47D7-BBDD-C8D48CD0A12D}"/>
              </c:ext>
            </c:extLst>
          </c:dPt>
          <c:dLbls>
            <c:dLbl>
              <c:idx val="0"/>
              <c:layout>
                <c:manualLayout>
                  <c:x val="-5.3156806274933799E-2"/>
                  <c:y val="-5.17579548311622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9DC-47D7-BBDD-C8D48CD0A12D}"/>
                </c:ext>
              </c:extLst>
            </c:dLbl>
            <c:dLbl>
              <c:idx val="2"/>
              <c:layout>
                <c:manualLayout>
                  <c:x val="-2.5692540413914736E-2"/>
                  <c:y val="-5.17579548311620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9DC-47D7-BBDD-C8D48CD0A12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 4'!$AK$25:$AK$28</c:f>
              <c:strCache>
                <c:ptCount val="3"/>
                <c:pt idx="0">
                  <c:v>essential services</c:v>
                </c:pt>
                <c:pt idx="1">
                  <c:v>food</c:v>
                </c:pt>
                <c:pt idx="2">
                  <c:v>health care</c:v>
                </c:pt>
              </c:strCache>
            </c:strRef>
          </c:cat>
          <c:val>
            <c:numRef>
              <c:f>'Que 4'!$AL$25:$AL$28</c:f>
              <c:numCache>
                <c:formatCode>General</c:formatCode>
                <c:ptCount val="3"/>
                <c:pt idx="0">
                  <c:v>10489</c:v>
                </c:pt>
                <c:pt idx="1">
                  <c:v>202184.10000000003</c:v>
                </c:pt>
                <c:pt idx="2">
                  <c:v>4387.1000000000004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9DC-47D7-BBDD-C8D48CD0A12D}"/>
            </c:ext>
          </c:extLst>
        </c:ser>
        <c:ser>
          <c:idx val="1"/>
          <c:order val="1"/>
          <c:tx>
            <c:strRef>
              <c:f>'Que 4'!$AM$24</c:f>
              <c:strCache>
                <c:ptCount val="1"/>
                <c:pt idx="0">
                  <c:v>Sum of post covid 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3-99DC-47D7-BBDD-C8D48CD0A12D}"/>
              </c:ext>
            </c:extLst>
          </c:dPt>
          <c:dPt>
            <c:idx val="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4-99DC-47D7-BBDD-C8D48CD0A12D}"/>
              </c:ext>
            </c:extLst>
          </c:dPt>
          <c:dLbls>
            <c:dLbl>
              <c:idx val="0"/>
              <c:layout>
                <c:manualLayout>
                  <c:x val="-3.8258175361484979E-2"/>
                  <c:y val="5.18494457177121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9DC-47D7-BBDD-C8D48CD0A12D}"/>
                </c:ext>
              </c:extLst>
            </c:dLbl>
            <c:dLbl>
              <c:idx val="2"/>
              <c:layout>
                <c:manualLayout>
                  <c:x val="-4.064512994866535E-2"/>
                  <c:y val="3.828999986879214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9DC-47D7-BBDD-C8D48CD0A12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 4'!$AK$25:$AK$28</c:f>
              <c:strCache>
                <c:ptCount val="3"/>
                <c:pt idx="0">
                  <c:v>essential services</c:v>
                </c:pt>
                <c:pt idx="1">
                  <c:v>food</c:v>
                </c:pt>
                <c:pt idx="2">
                  <c:v>health care</c:v>
                </c:pt>
              </c:strCache>
            </c:strRef>
          </c:cat>
          <c:val>
            <c:numRef>
              <c:f>'Que 4'!$AM$25:$AM$28</c:f>
              <c:numCache>
                <c:formatCode>General</c:formatCode>
                <c:ptCount val="3"/>
                <c:pt idx="0">
                  <c:v>15426</c:v>
                </c:pt>
                <c:pt idx="1">
                  <c:v>38822.350000000006</c:v>
                </c:pt>
                <c:pt idx="2">
                  <c:v>6444.5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9DC-47D7-BBDD-C8D48CD0A12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324976719"/>
        <c:axId val="1324971919"/>
      </c:lineChart>
      <c:catAx>
        <c:axId val="13249767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chemeClr val="tx1"/>
                    </a:solidFill>
                  </a:rPr>
                  <a:t>Category</a:t>
                </a:r>
              </a:p>
            </c:rich>
          </c:tx>
          <c:layout>
            <c:manualLayout>
              <c:xMode val="edge"/>
              <c:yMode val="edge"/>
              <c:x val="0.38235947953305122"/>
              <c:y val="0.904389078973436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971919"/>
        <c:crosses val="autoZero"/>
        <c:auto val="1"/>
        <c:lblAlgn val="ctr"/>
        <c:lblOffset val="100"/>
        <c:noMultiLvlLbl val="0"/>
      </c:catAx>
      <c:valAx>
        <c:axId val="13249719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chemeClr val="tx1"/>
                    </a:solidFill>
                  </a:rPr>
                  <a:t>Total</a:t>
                </a:r>
              </a:p>
            </c:rich>
          </c:tx>
          <c:layout>
            <c:manualLayout>
              <c:xMode val="edge"/>
              <c:yMode val="edge"/>
              <c:x val="2.983469313944009E-2"/>
              <c:y val="0.339850466822660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976719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8092255523104659"/>
          <c:y val="0.42016502551416524"/>
          <c:w val="0.20596631920463301"/>
          <c:h val="0.22100782291616469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alpha val="99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[CPI India (Final).xlsx]Que 4!PivotTable65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chemeClr val="tx1"/>
                </a:solidFill>
              </a:rPr>
              <a:t>Pre-covid to Post-covid M-on-M Inflation Change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'Que 4'!$BG$18</c:f>
              <c:strCache>
                <c:ptCount val="1"/>
                <c:pt idx="0">
                  <c:v>M-on-M food% change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'Que 4'!$BF$19:$BF$30</c:f>
              <c:strCache>
                <c:ptCount val="11"/>
                <c:pt idx="0">
                  <c:v>dec'19-jan'20</c:v>
                </c:pt>
                <c:pt idx="1">
                  <c:v>jan'20-feb'20</c:v>
                </c:pt>
                <c:pt idx="2">
                  <c:v>feb'20-mar'20</c:v>
                </c:pt>
                <c:pt idx="3">
                  <c:v>mar'20-apr'20</c:v>
                </c:pt>
                <c:pt idx="4">
                  <c:v>apr'20-may'20</c:v>
                </c:pt>
                <c:pt idx="5">
                  <c:v>may'20-jun'20</c:v>
                </c:pt>
                <c:pt idx="6">
                  <c:v>jun'20-jul'20</c:v>
                </c:pt>
                <c:pt idx="7">
                  <c:v>jul'20-aug'20</c:v>
                </c:pt>
                <c:pt idx="8">
                  <c:v>aug'20-sept'20</c:v>
                </c:pt>
                <c:pt idx="9">
                  <c:v>sept'20-oct'20</c:v>
                </c:pt>
                <c:pt idx="10">
                  <c:v>oct'20-nov'20</c:v>
                </c:pt>
              </c:strCache>
            </c:strRef>
          </c:cat>
          <c:val>
            <c:numRef>
              <c:f>'Que 4'!$BG$19:$BG$30</c:f>
              <c:numCache>
                <c:formatCode>0.00%</c:formatCode>
                <c:ptCount val="11"/>
                <c:pt idx="0">
                  <c:v>1.9287722586691761E-2</c:v>
                </c:pt>
                <c:pt idx="1">
                  <c:v>-3.7514481693303394E-3</c:v>
                </c:pt>
                <c:pt idx="2">
                  <c:v>-1.6169820027687781E-2</c:v>
                </c:pt>
                <c:pt idx="3">
                  <c:v>-9.3998011219725078E-3</c:v>
                </c:pt>
                <c:pt idx="4">
                  <c:v>3.6024091821660054E-2</c:v>
                </c:pt>
                <c:pt idx="5">
                  <c:v>-4.926873857403989E-3</c:v>
                </c:pt>
                <c:pt idx="6">
                  <c:v>9.67288560641562E-3</c:v>
                </c:pt>
                <c:pt idx="7">
                  <c:v>0</c:v>
                </c:pt>
                <c:pt idx="8">
                  <c:v>1.4993540404316033E-2</c:v>
                </c:pt>
                <c:pt idx="9">
                  <c:v>5.8442838959499727E-3</c:v>
                </c:pt>
                <c:pt idx="10">
                  <c:v>2.1102536225426519E-2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4D-4099-8588-85DA7172E2EA}"/>
            </c:ext>
          </c:extLst>
        </c:ser>
        <c:ser>
          <c:idx val="1"/>
          <c:order val="1"/>
          <c:tx>
            <c:strRef>
              <c:f>'Que 4'!$BH$18</c:f>
              <c:strCache>
                <c:ptCount val="1"/>
                <c:pt idx="0">
                  <c:v>M-on-M health care% change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'Que 4'!$BF$19:$BF$30</c:f>
              <c:strCache>
                <c:ptCount val="11"/>
                <c:pt idx="0">
                  <c:v>dec'19-jan'20</c:v>
                </c:pt>
                <c:pt idx="1">
                  <c:v>jan'20-feb'20</c:v>
                </c:pt>
                <c:pt idx="2">
                  <c:v>feb'20-mar'20</c:v>
                </c:pt>
                <c:pt idx="3">
                  <c:v>mar'20-apr'20</c:v>
                </c:pt>
                <c:pt idx="4">
                  <c:v>apr'20-may'20</c:v>
                </c:pt>
                <c:pt idx="5">
                  <c:v>may'20-jun'20</c:v>
                </c:pt>
                <c:pt idx="6">
                  <c:v>jun'20-jul'20</c:v>
                </c:pt>
                <c:pt idx="7">
                  <c:v>jul'20-aug'20</c:v>
                </c:pt>
                <c:pt idx="8">
                  <c:v>aug'20-sept'20</c:v>
                </c:pt>
                <c:pt idx="9">
                  <c:v>sept'20-oct'20</c:v>
                </c:pt>
                <c:pt idx="10">
                  <c:v>oct'20-nov'20</c:v>
                </c:pt>
              </c:strCache>
            </c:strRef>
          </c:cat>
          <c:val>
            <c:numRef>
              <c:f>'Que 4'!$BH$19:$BH$30</c:f>
              <c:numCache>
                <c:formatCode>0.00%</c:formatCode>
                <c:ptCount val="11"/>
                <c:pt idx="0">
                  <c:v>2.1896968998500214E-3</c:v>
                </c:pt>
                <c:pt idx="1">
                  <c:v>9.1996320147194124E-3</c:v>
                </c:pt>
                <c:pt idx="2">
                  <c:v>5.6973564266181789E-3</c:v>
                </c:pt>
                <c:pt idx="3">
                  <c:v>7.931112621799229E-3</c:v>
                </c:pt>
                <c:pt idx="4">
                  <c:v>2.0233812949639776E-3</c:v>
                </c:pt>
                <c:pt idx="5">
                  <c:v>2.950415077406322E-2</c:v>
                </c:pt>
                <c:pt idx="6">
                  <c:v>-2.1793614470960012E-3</c:v>
                </c:pt>
                <c:pt idx="7">
                  <c:v>0</c:v>
                </c:pt>
                <c:pt idx="8">
                  <c:v>1.0811401113901909E-2</c:v>
                </c:pt>
                <c:pt idx="9">
                  <c:v>1.5881590319792742E-2</c:v>
                </c:pt>
                <c:pt idx="10">
                  <c:v>-2.3396788259067948E-3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4D-4099-8588-85DA7172E2EA}"/>
            </c:ext>
          </c:extLst>
        </c:ser>
        <c:ser>
          <c:idx val="2"/>
          <c:order val="2"/>
          <c:tx>
            <c:strRef>
              <c:f>'Que 4'!$BI$18</c:f>
              <c:strCache>
                <c:ptCount val="1"/>
                <c:pt idx="0">
                  <c:v>M-on-M essential services% change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'Que 4'!$BF$19:$BF$30</c:f>
              <c:strCache>
                <c:ptCount val="11"/>
                <c:pt idx="0">
                  <c:v>dec'19-jan'20</c:v>
                </c:pt>
                <c:pt idx="1">
                  <c:v>jan'20-feb'20</c:v>
                </c:pt>
                <c:pt idx="2">
                  <c:v>feb'20-mar'20</c:v>
                </c:pt>
                <c:pt idx="3">
                  <c:v>mar'20-apr'20</c:v>
                </c:pt>
                <c:pt idx="4">
                  <c:v>apr'20-may'20</c:v>
                </c:pt>
                <c:pt idx="5">
                  <c:v>may'20-jun'20</c:v>
                </c:pt>
                <c:pt idx="6">
                  <c:v>jun'20-jul'20</c:v>
                </c:pt>
                <c:pt idx="7">
                  <c:v>jul'20-aug'20</c:v>
                </c:pt>
                <c:pt idx="8">
                  <c:v>aug'20-sept'20</c:v>
                </c:pt>
                <c:pt idx="9">
                  <c:v>sept'20-oct'20</c:v>
                </c:pt>
                <c:pt idx="10">
                  <c:v>oct'20-nov'20</c:v>
                </c:pt>
              </c:strCache>
            </c:strRef>
          </c:cat>
          <c:val>
            <c:numRef>
              <c:f>'Que 4'!$BI$19:$BI$30</c:f>
              <c:numCache>
                <c:formatCode>0.00%</c:formatCode>
                <c:ptCount val="11"/>
                <c:pt idx="0">
                  <c:v>8.3403684759398022E-2</c:v>
                </c:pt>
                <c:pt idx="1">
                  <c:v>-6.5340453326610565E-2</c:v>
                </c:pt>
                <c:pt idx="2">
                  <c:v>8.0403119023098449E-2</c:v>
                </c:pt>
                <c:pt idx="3">
                  <c:v>-6.8790994303352254E-2</c:v>
                </c:pt>
                <c:pt idx="4">
                  <c:v>7.9941506214964667E-2</c:v>
                </c:pt>
                <c:pt idx="5">
                  <c:v>1.6632814263145976E-2</c:v>
                </c:pt>
                <c:pt idx="6">
                  <c:v>-2.1821652940262434E-2</c:v>
                </c:pt>
                <c:pt idx="7">
                  <c:v>0</c:v>
                </c:pt>
                <c:pt idx="8">
                  <c:v>1.2844952795933272E-2</c:v>
                </c:pt>
                <c:pt idx="9">
                  <c:v>8.9625812233923372E-4</c:v>
                </c:pt>
                <c:pt idx="10">
                  <c:v>3.8728453100515293E-3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4D-4099-8588-85DA7172E2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6733007"/>
        <c:axId val="1316733967"/>
      </c:lineChart>
      <c:catAx>
        <c:axId val="13167330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>
                    <a:solidFill>
                      <a:schemeClr val="tx1"/>
                    </a:solidFill>
                  </a:rPr>
                  <a:t>Month</a:t>
                </a:r>
              </a:p>
            </c:rich>
          </c:tx>
          <c:layout>
            <c:manualLayout>
              <c:xMode val="edge"/>
              <c:yMode val="edge"/>
              <c:x val="0.42397250599254238"/>
              <c:y val="0.917932906693279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733967"/>
        <c:crosses val="autoZero"/>
        <c:auto val="1"/>
        <c:lblAlgn val="ctr"/>
        <c:lblOffset val="100"/>
        <c:noMultiLvlLbl val="0"/>
      </c:catAx>
      <c:valAx>
        <c:axId val="1316733967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bg2">
                  <a:lumMod val="7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>
                    <a:solidFill>
                      <a:schemeClr val="tx1"/>
                    </a:solidFill>
                  </a:rPr>
                  <a:t>Inflation Change</a:t>
                </a:r>
              </a:p>
            </c:rich>
          </c:tx>
          <c:layout>
            <c:manualLayout>
              <c:xMode val="edge"/>
              <c:yMode val="edge"/>
              <c:x val="7.8679222773183292E-3"/>
              <c:y val="0.372124986889320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733007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overlay val="0"/>
      <c:spPr>
        <a:noFill/>
        <a:ln w="6350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</a:rPr>
              <a:t>2021 correlation: Crude oil v/s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539370302558194"/>
          <c:y val="0.15176258780061413"/>
          <c:w val="0.87331430110357167"/>
          <c:h val="0.57842701119931939"/>
        </c:manualLayout>
      </c:layout>
      <c:lineChart>
        <c:grouping val="standard"/>
        <c:varyColors val="0"/>
        <c:ser>
          <c:idx val="0"/>
          <c:order val="0"/>
          <c:tx>
            <c:strRef>
              <c:f>'Que 5'!$AE$4</c:f>
              <c:strCache>
                <c:ptCount val="1"/>
                <c:pt idx="0">
                  <c:v>Trend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'Que 5'!$AD$5:$AD$10</c:f>
              <c:strCache>
                <c:ptCount val="6"/>
                <c:pt idx="0">
                  <c:v>Food category </c:v>
                </c:pt>
                <c:pt idx="1">
                  <c:v>Luxury category </c:v>
                </c:pt>
                <c:pt idx="2">
                  <c:v>Clothing &amp; Footwear category </c:v>
                </c:pt>
                <c:pt idx="3">
                  <c:v>Essential Services category </c:v>
                </c:pt>
                <c:pt idx="4">
                  <c:v>Health Care category </c:v>
                </c:pt>
                <c:pt idx="5">
                  <c:v>Misc category </c:v>
                </c:pt>
              </c:strCache>
            </c:strRef>
          </c:cat>
          <c:val>
            <c:numRef>
              <c:f>'Que 5'!$AE$5:$AE$10</c:f>
              <c:numCache>
                <c:formatCode>0.00</c:formatCode>
                <c:ptCount val="6"/>
                <c:pt idx="0">
                  <c:v>0.79981778286043637</c:v>
                </c:pt>
                <c:pt idx="1">
                  <c:v>0.83332337245700427</c:v>
                </c:pt>
                <c:pt idx="2">
                  <c:v>0.87891865111562262</c:v>
                </c:pt>
                <c:pt idx="3">
                  <c:v>0.83431234176862867</c:v>
                </c:pt>
                <c:pt idx="4">
                  <c:v>0.81406057572357171</c:v>
                </c:pt>
                <c:pt idx="5">
                  <c:v>0.85147707447687393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6C-488E-84EA-B18FF97A8C1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10558271"/>
        <c:axId val="410560671"/>
      </c:lineChart>
      <c:catAx>
        <c:axId val="4105582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>
                    <a:solidFill>
                      <a:schemeClr val="tx1"/>
                    </a:solidFill>
                  </a:rPr>
                  <a:t>Category</a:t>
                </a:r>
              </a:p>
            </c:rich>
          </c:tx>
          <c:layout>
            <c:manualLayout>
              <c:xMode val="edge"/>
              <c:yMode val="edge"/>
              <c:x val="0.49874009639940381"/>
              <c:y val="0.90057967868479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560671"/>
        <c:crosses val="autoZero"/>
        <c:auto val="1"/>
        <c:lblAlgn val="ctr"/>
        <c:lblOffset val="100"/>
        <c:noMultiLvlLbl val="0"/>
      </c:catAx>
      <c:valAx>
        <c:axId val="4105606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chemeClr val="tx1"/>
                    </a:solidFill>
                  </a:rPr>
                  <a:t>Correlation</a:t>
                </a:r>
              </a:p>
            </c:rich>
          </c:tx>
          <c:layout>
            <c:manualLayout>
              <c:xMode val="edge"/>
              <c:yMode val="edge"/>
              <c:x val="1.4759161284511888E-2"/>
              <c:y val="0.335647691806750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558271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0" baseline="0">
                <a:solidFill>
                  <a:schemeClr val="tx1"/>
                </a:solidFill>
              </a:rPr>
              <a:t>2022 correlation: Crude oil v/s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67077769556649"/>
          <c:y val="0.15005893303064699"/>
          <c:w val="0.87070037670110412"/>
          <c:h val="0.72905879682179331"/>
        </c:manualLayout>
      </c:layout>
      <c:lineChart>
        <c:grouping val="standard"/>
        <c:varyColors val="0"/>
        <c:ser>
          <c:idx val="0"/>
          <c:order val="0"/>
          <c:tx>
            <c:strRef>
              <c:f>'Que 5'!$AK$4</c:f>
              <c:strCache>
                <c:ptCount val="1"/>
                <c:pt idx="0">
                  <c:v>Trend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'Que 5'!$AJ$5:$AJ$10</c:f>
              <c:strCache>
                <c:ptCount val="6"/>
                <c:pt idx="0">
                  <c:v>Food category </c:v>
                </c:pt>
                <c:pt idx="1">
                  <c:v>Luxury category </c:v>
                </c:pt>
                <c:pt idx="2">
                  <c:v>Clothing &amp; Footwear category </c:v>
                </c:pt>
                <c:pt idx="3">
                  <c:v>Essential Services category </c:v>
                </c:pt>
                <c:pt idx="4">
                  <c:v>Health Care category </c:v>
                </c:pt>
                <c:pt idx="5">
                  <c:v>Misc category </c:v>
                </c:pt>
              </c:strCache>
            </c:strRef>
          </c:cat>
          <c:val>
            <c:numRef>
              <c:f>'Que 5'!$AK$5:$AK$10</c:f>
              <c:numCache>
                <c:formatCode>0.00</c:formatCode>
                <c:ptCount val="6"/>
                <c:pt idx="0">
                  <c:v>0.14089691160602166</c:v>
                </c:pt>
                <c:pt idx="1">
                  <c:v>-2.3940857541530681E-2</c:v>
                </c:pt>
                <c:pt idx="2">
                  <c:v>-2.5691719534218047E-2</c:v>
                </c:pt>
                <c:pt idx="3">
                  <c:v>5.4971461470532439E-2</c:v>
                </c:pt>
                <c:pt idx="4">
                  <c:v>-1.2240036259486584E-2</c:v>
                </c:pt>
                <c:pt idx="5">
                  <c:v>6.8776143553416658E-2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71-4EAB-89B0-3CBEDE99DB1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30309583"/>
        <c:axId val="1218010336"/>
      </c:lineChart>
      <c:catAx>
        <c:axId val="8303095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>
                    <a:solidFill>
                      <a:schemeClr val="tx1"/>
                    </a:solidFill>
                  </a:rPr>
                  <a:t>Category</a:t>
                </a:r>
              </a:p>
            </c:rich>
          </c:tx>
          <c:layout>
            <c:manualLayout>
              <c:xMode val="edge"/>
              <c:yMode val="edge"/>
              <c:x val="0.50136541249109035"/>
              <c:y val="0.901869516453100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010336"/>
        <c:crosses val="autoZero"/>
        <c:auto val="1"/>
        <c:lblAlgn val="ctr"/>
        <c:lblOffset val="100"/>
        <c:noMultiLvlLbl val="0"/>
      </c:catAx>
      <c:valAx>
        <c:axId val="12180103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chemeClr val="tx1"/>
                    </a:solidFill>
                  </a:rPr>
                  <a:t>Correlation</a:t>
                </a:r>
              </a:p>
            </c:rich>
          </c:tx>
          <c:layout>
            <c:manualLayout>
              <c:xMode val="edge"/>
              <c:yMode val="edge"/>
              <c:x val="1.1792907441700817E-2"/>
              <c:y val="0.3471200908059024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309583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0" baseline="0">
                <a:solidFill>
                  <a:schemeClr val="tx1"/>
                </a:solidFill>
              </a:rPr>
              <a:t>2023 correlation: Crude oil v/s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'Que 5'!$AO$4</c:f>
              <c:strCache>
                <c:ptCount val="1"/>
                <c:pt idx="0">
                  <c:v>Trend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'Que 5'!$AN$5:$AN$10</c:f>
              <c:strCache>
                <c:ptCount val="6"/>
                <c:pt idx="0">
                  <c:v>Food category </c:v>
                </c:pt>
                <c:pt idx="1">
                  <c:v>Luxury category </c:v>
                </c:pt>
                <c:pt idx="2">
                  <c:v>Clothing &amp; Footwear category </c:v>
                </c:pt>
                <c:pt idx="3">
                  <c:v>Essential Services category </c:v>
                </c:pt>
                <c:pt idx="4">
                  <c:v>Health Care category </c:v>
                </c:pt>
                <c:pt idx="5">
                  <c:v>Misc category </c:v>
                </c:pt>
              </c:strCache>
            </c:strRef>
          </c:cat>
          <c:val>
            <c:numRef>
              <c:f>'Que 5'!$AO$5:$AO$10</c:f>
              <c:numCache>
                <c:formatCode>0.00</c:formatCode>
                <c:ptCount val="6"/>
                <c:pt idx="0">
                  <c:v>0.18885517070736255</c:v>
                </c:pt>
                <c:pt idx="1">
                  <c:v>-0.57986999684398921</c:v>
                </c:pt>
                <c:pt idx="2">
                  <c:v>-0.63716474088838859</c:v>
                </c:pt>
                <c:pt idx="3">
                  <c:v>-0.55254944971552067</c:v>
                </c:pt>
                <c:pt idx="4">
                  <c:v>-0.56040607466502357</c:v>
                </c:pt>
                <c:pt idx="5">
                  <c:v>-0.51526134813531577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40-43F0-8063-D85E6AAFE4B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218004096"/>
        <c:axId val="1218014656"/>
      </c:lineChart>
      <c:catAx>
        <c:axId val="12180040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>
                    <a:solidFill>
                      <a:schemeClr val="tx1"/>
                    </a:solidFill>
                  </a:rPr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014656"/>
        <c:crosses val="autoZero"/>
        <c:auto val="1"/>
        <c:lblAlgn val="ctr"/>
        <c:lblOffset val="100"/>
        <c:noMultiLvlLbl val="0"/>
      </c:catAx>
      <c:valAx>
        <c:axId val="12180146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>
                    <a:solidFill>
                      <a:schemeClr val="tx1"/>
                    </a:solidFill>
                  </a:rPr>
                  <a:t>Correlation</a:t>
                </a:r>
              </a:p>
            </c:rich>
          </c:tx>
          <c:layout>
            <c:manualLayout>
              <c:xMode val="edge"/>
              <c:yMode val="edge"/>
              <c:x val="2.04440413587786E-2"/>
              <c:y val="0.384550099548422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004096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[CPI India (Final).xlsx]Que 5!PivotTable70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/>
                </a:solidFill>
              </a:rPr>
              <a:t>3 years M-on-M Inflation Change</a:t>
            </a:r>
          </a:p>
        </c:rich>
      </c:tx>
      <c:layout>
        <c:manualLayout>
          <c:xMode val="edge"/>
          <c:yMode val="edge"/>
          <c:x val="0.30229198963728271"/>
          <c:y val="1.64150164225561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'Que 5'!$U$18</c:f>
              <c:strCache>
                <c:ptCount val="1"/>
                <c:pt idx="0">
                  <c:v>2021 M-o-M% Change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'Que 5'!$T$19:$T$30</c:f>
              <c:strCache>
                <c:ptCount val="11"/>
                <c:pt idx="0">
                  <c:v>jan-feb</c:v>
                </c:pt>
                <c:pt idx="1">
                  <c:v>feb-mar</c:v>
                </c:pt>
                <c:pt idx="2">
                  <c:v>mar-apr</c:v>
                </c:pt>
                <c:pt idx="3">
                  <c:v>apr-may</c:v>
                </c:pt>
                <c:pt idx="4">
                  <c:v>may-jun</c:v>
                </c:pt>
                <c:pt idx="5">
                  <c:v>jun-jul</c:v>
                </c:pt>
                <c:pt idx="6">
                  <c:v>jul-aug</c:v>
                </c:pt>
                <c:pt idx="7">
                  <c:v>aug-sept</c:v>
                </c:pt>
                <c:pt idx="8">
                  <c:v>sept-oct</c:v>
                </c:pt>
                <c:pt idx="9">
                  <c:v>oct-nov</c:v>
                </c:pt>
                <c:pt idx="10">
                  <c:v>nov-dec</c:v>
                </c:pt>
              </c:strCache>
            </c:strRef>
          </c:cat>
          <c:val>
            <c:numRef>
              <c:f>'Que 5'!$U$19:$U$30</c:f>
              <c:numCache>
                <c:formatCode>0.00%</c:formatCode>
                <c:ptCount val="11"/>
                <c:pt idx="0">
                  <c:v>-0.14211884813164954</c:v>
                </c:pt>
                <c:pt idx="1">
                  <c:v>0.28074399863351351</c:v>
                </c:pt>
                <c:pt idx="2">
                  <c:v>2.9109954587010409E-2</c:v>
                </c:pt>
                <c:pt idx="3">
                  <c:v>-3.9632522697960866E-2</c:v>
                </c:pt>
                <c:pt idx="4">
                  <c:v>4.4887137539968789E-3</c:v>
                </c:pt>
                <c:pt idx="5">
                  <c:v>-2.6400220514262215E-2</c:v>
                </c:pt>
                <c:pt idx="6">
                  <c:v>0.13201452944740866</c:v>
                </c:pt>
                <c:pt idx="7">
                  <c:v>2.6730036049766089E-2</c:v>
                </c:pt>
                <c:pt idx="8">
                  <c:v>4.260347288331847E-2</c:v>
                </c:pt>
                <c:pt idx="9">
                  <c:v>9.6527226180629297E-2</c:v>
                </c:pt>
                <c:pt idx="10">
                  <c:v>3.495474562367111E-2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B3-432D-B4F1-1F9D8B6A4F7B}"/>
            </c:ext>
          </c:extLst>
        </c:ser>
        <c:ser>
          <c:idx val="1"/>
          <c:order val="1"/>
          <c:tx>
            <c:strRef>
              <c:f>'Que 5'!$V$18</c:f>
              <c:strCache>
                <c:ptCount val="1"/>
                <c:pt idx="0">
                  <c:v>2022 M-o-M% Change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'Que 5'!$T$19:$T$30</c:f>
              <c:strCache>
                <c:ptCount val="11"/>
                <c:pt idx="0">
                  <c:v>jan-feb</c:v>
                </c:pt>
                <c:pt idx="1">
                  <c:v>feb-mar</c:v>
                </c:pt>
                <c:pt idx="2">
                  <c:v>mar-apr</c:v>
                </c:pt>
                <c:pt idx="3">
                  <c:v>apr-may</c:v>
                </c:pt>
                <c:pt idx="4">
                  <c:v>may-jun</c:v>
                </c:pt>
                <c:pt idx="5">
                  <c:v>jun-jul</c:v>
                </c:pt>
                <c:pt idx="6">
                  <c:v>jul-aug</c:v>
                </c:pt>
                <c:pt idx="7">
                  <c:v>aug-sept</c:v>
                </c:pt>
                <c:pt idx="8">
                  <c:v>sept-oct</c:v>
                </c:pt>
                <c:pt idx="9">
                  <c:v>oct-nov</c:v>
                </c:pt>
                <c:pt idx="10">
                  <c:v>nov-dec</c:v>
                </c:pt>
              </c:strCache>
            </c:strRef>
          </c:cat>
          <c:val>
            <c:numRef>
              <c:f>'Que 5'!$V$19:$V$30</c:f>
              <c:numCache>
                <c:formatCode>0.00%</c:formatCode>
                <c:ptCount val="11"/>
                <c:pt idx="0">
                  <c:v>8.6385887276800456E-3</c:v>
                </c:pt>
                <c:pt idx="1">
                  <c:v>0.29491115251428374</c:v>
                </c:pt>
                <c:pt idx="2">
                  <c:v>0.13751970895123189</c:v>
                </c:pt>
                <c:pt idx="3">
                  <c:v>-7.1168007338488062E-2</c:v>
                </c:pt>
                <c:pt idx="4">
                  <c:v>1.892459540019022E-2</c:v>
                </c:pt>
                <c:pt idx="5">
                  <c:v>5.6258884257037539E-2</c:v>
                </c:pt>
                <c:pt idx="6">
                  <c:v>-0.18786114266372986</c:v>
                </c:pt>
                <c:pt idx="7">
                  <c:v>-8.9985809751189472E-2</c:v>
                </c:pt>
                <c:pt idx="8">
                  <c:v>4.2420552665956485E-2</c:v>
                </c:pt>
                <c:pt idx="9">
                  <c:v>1.0730180621608104E-2</c:v>
                </c:pt>
                <c:pt idx="10">
                  <c:v>-5.9900220516039417E-2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B3-432D-B4F1-1F9D8B6A4F7B}"/>
            </c:ext>
          </c:extLst>
        </c:ser>
        <c:ser>
          <c:idx val="2"/>
          <c:order val="2"/>
          <c:tx>
            <c:strRef>
              <c:f>'Que 5'!$W$18</c:f>
              <c:strCache>
                <c:ptCount val="1"/>
                <c:pt idx="0">
                  <c:v>2023 M-o-M% Change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'Que 5'!$T$19:$T$30</c:f>
              <c:strCache>
                <c:ptCount val="11"/>
                <c:pt idx="0">
                  <c:v>jan-feb</c:v>
                </c:pt>
                <c:pt idx="1">
                  <c:v>feb-mar</c:v>
                </c:pt>
                <c:pt idx="2">
                  <c:v>mar-apr</c:v>
                </c:pt>
                <c:pt idx="3">
                  <c:v>apr-may</c:v>
                </c:pt>
                <c:pt idx="4">
                  <c:v>may-jun</c:v>
                </c:pt>
                <c:pt idx="5">
                  <c:v>jun-jul</c:v>
                </c:pt>
                <c:pt idx="6">
                  <c:v>jul-aug</c:v>
                </c:pt>
                <c:pt idx="7">
                  <c:v>aug-sept</c:v>
                </c:pt>
                <c:pt idx="8">
                  <c:v>sept-oct</c:v>
                </c:pt>
                <c:pt idx="9">
                  <c:v>oct-nov</c:v>
                </c:pt>
                <c:pt idx="10">
                  <c:v>nov-dec</c:v>
                </c:pt>
              </c:strCache>
            </c:strRef>
          </c:cat>
          <c:val>
            <c:numRef>
              <c:f>'Que 5'!$W$19:$W$30</c:f>
              <c:numCache>
                <c:formatCode>0.00%</c:formatCode>
                <c:ptCount val="11"/>
                <c:pt idx="0">
                  <c:v>-7.1867834338514847E-2</c:v>
                </c:pt>
                <c:pt idx="1">
                  <c:v>4.446733190770507E-2</c:v>
                </c:pt>
                <c:pt idx="2">
                  <c:v>-6.444343449897541E-3</c:v>
                </c:pt>
                <c:pt idx="3">
                  <c:v>-1.2137428730706251E-2</c:v>
                </c:pt>
                <c:pt idx="4">
                  <c:v>-4.6317381601619328E-2</c:v>
                </c:pt>
                <c:pt idx="5">
                  <c:v>1.7266265356865793E-2</c:v>
                </c:pt>
                <c:pt idx="6">
                  <c:v>7.6573114395339092E-2</c:v>
                </c:pt>
                <c:pt idx="7">
                  <c:v>-1.616031683052498E-2</c:v>
                </c:pt>
                <c:pt idx="8">
                  <c:v>9.2233492975870746E-2</c:v>
                </c:pt>
                <c:pt idx="9">
                  <c:v>-3.3765013753261484E-2</c:v>
                </c:pt>
                <c:pt idx="10">
                  <c:v>-6.6427579904623875E-3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B3-432D-B4F1-1F9D8B6A4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5046704"/>
        <c:axId val="565052944"/>
      </c:lineChart>
      <c:catAx>
        <c:axId val="5650467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chemeClr val="tx1"/>
                    </a:solidFill>
                  </a:rPr>
                  <a:t>Month</a:t>
                </a:r>
              </a:p>
            </c:rich>
          </c:tx>
          <c:layout>
            <c:manualLayout>
              <c:xMode val="edge"/>
              <c:yMode val="edge"/>
              <c:x val="0.38993687541667144"/>
              <c:y val="0.9251348153235255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052944"/>
        <c:crosses val="autoZero"/>
        <c:auto val="1"/>
        <c:lblAlgn val="ctr"/>
        <c:lblOffset val="100"/>
        <c:noMultiLvlLbl val="0"/>
      </c:catAx>
      <c:valAx>
        <c:axId val="56505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chemeClr val="tx1"/>
                    </a:solidFill>
                  </a:rPr>
                  <a:t>Inflation Change</a:t>
                </a:r>
              </a:p>
            </c:rich>
          </c:tx>
          <c:layout>
            <c:manualLayout>
              <c:xMode val="edge"/>
              <c:yMode val="edge"/>
              <c:x val="1.257687346458463E-2"/>
              <c:y val="0.354512653888086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04670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[CPI India (Final).xlsx]Que 1!PivotTable68</c:name>
    <c:fmtId val="2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800" b="1" baseline="0"/>
              <a:t>Category total</a:t>
            </a:r>
          </a:p>
        </c:rich>
      </c:tx>
      <c:layout>
        <c:manualLayout>
          <c:xMode val="edge"/>
          <c:yMode val="edge"/>
          <c:x val="0.38696415973290299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/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lang="en-US" sz="2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tx>
            <c:rich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lang="en-US" sz="2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fld id="{9857F811-0C2E-42EE-8DFB-6B04BFBD9AE1}" type="CATEGORYNAME">
                  <a:rPr lang="en-US" sz="2000" baseline="0">
                    <a:solidFill>
                      <a:schemeClr val="tx1"/>
                    </a:solidFill>
                  </a:rPr>
                  <a:pPr>
                    <a:defRPr lang="en-US" sz="2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t>[CATEGORY NAME]</a:t>
                </a:fld>
                <a:r>
                  <a:rPr lang="en-US" sz="2000" baseline="0">
                    <a:solidFill>
                      <a:schemeClr val="tx1"/>
                    </a:solidFill>
                  </a:rPr>
                  <a:t>
</a:t>
                </a:r>
                <a:fld id="{6F2C6D0B-EF80-49DC-881B-1B6E8C1F7C78}" type="PERCENTAGE">
                  <a:rPr lang="en-US" sz="2000" baseline="0">
                    <a:solidFill>
                      <a:schemeClr val="tx1"/>
                    </a:solidFill>
                  </a:rPr>
                  <a:pPr>
                    <a:defRPr lang="en-US" sz="2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US" sz="2000" baseline="0">
                  <a:solidFill>
                    <a:schemeClr val="tx1"/>
                  </a:solidFill>
                </a:endParaRPr>
              </a:p>
            </c:rich>
          </c:tx>
          <c:spPr>
            <a:solidFill>
              <a:sysClr val="window" lastClr="FFFFFF"/>
            </a:solidFill>
            <a:ln>
              <a:solidFill>
                <a:sysClr val="windowText" lastClr="000000"/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lang="en-US" sz="2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dlblFieldTable/>
              <c15:showDataLabelsRange val="0"/>
            </c:ext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3.3092382140145662E-2"/>
              <c:y val="-2.3521368462104543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/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lang="en-US" sz="2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tx>
            <c:rich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lang="en-US" sz="2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fld id="{BB8CAD80-7DC7-40D9-A058-07BB339AFB7E}" type="CATEGORYNAME">
                  <a:rPr lang="en-US"/>
                  <a:pPr>
                    <a:defRPr lang="en-US" sz="2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t>[CATEGORY NAME]</a:t>
                </a:fld>
                <a:r>
                  <a:rPr lang="en-US" baseline="0"/>
                  <a:t>
</a:t>
                </a:r>
                <a:fld id="{D4F649BB-82B8-42FE-99D8-16419260AF24}" type="PERCENTAGE">
                  <a:rPr lang="en-IN" baseline="0"/>
                  <a:pPr>
                    <a:defRPr lang="en-US" sz="2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US" baseline="0"/>
              </a:p>
            </c:rich>
          </c:tx>
          <c:spPr>
            <a:solidFill>
              <a:sysClr val="window" lastClr="FFFFFF"/>
            </a:solidFill>
            <a:ln>
              <a:solidFill>
                <a:sysClr val="windowText" lastClr="000000"/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lang="en-US" sz="2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dlblFieldTable/>
              <c15:showDataLabelsRange val="0"/>
            </c:ext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/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lang="en-US" sz="2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tx>
            <c:rich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lang="en-US" sz="2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fld id="{9857F811-0C2E-42EE-8DFB-6B04BFBD9AE1}" type="CATEGORYNAME">
                  <a:rPr lang="en-US" sz="2000" baseline="0">
                    <a:solidFill>
                      <a:schemeClr val="tx1"/>
                    </a:solidFill>
                  </a:rPr>
                  <a:pPr>
                    <a:defRPr lang="en-US" sz="2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t>[CATEGORY NAME]</a:t>
                </a:fld>
                <a:r>
                  <a:rPr lang="en-US" sz="2000" baseline="0">
                    <a:solidFill>
                      <a:schemeClr val="tx1"/>
                    </a:solidFill>
                  </a:rPr>
                  <a:t>
</a:t>
                </a:r>
                <a:fld id="{6F2C6D0B-EF80-49DC-881B-1B6E8C1F7C78}" type="PERCENTAGE">
                  <a:rPr lang="en-US" sz="2000" baseline="0">
                    <a:solidFill>
                      <a:schemeClr val="tx1"/>
                    </a:solidFill>
                  </a:rPr>
                  <a:pPr>
                    <a:defRPr lang="en-US" sz="2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US" sz="2000" baseline="0">
                  <a:solidFill>
                    <a:schemeClr val="tx1"/>
                  </a:solidFill>
                </a:endParaRPr>
              </a:p>
            </c:rich>
          </c:tx>
          <c:spPr>
            <a:solidFill>
              <a:sysClr val="window" lastClr="FFFFFF"/>
            </a:solidFill>
            <a:ln>
              <a:solidFill>
                <a:sysClr val="windowText" lastClr="000000"/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lang="en-US" sz="2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dlblFieldTable/>
              <c15:showDataLabelsRange val="0"/>
            </c:ext>
          </c:extLst>
        </c:dLbl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3.3092382140145662E-2"/>
              <c:y val="-2.3521368462104543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/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lang="en-US" sz="2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/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lang="en-US" sz="2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tx>
            <c:rich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lang="en-US" sz="2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fld id="{9857F811-0C2E-42EE-8DFB-6B04BFBD9AE1}" type="CATEGORYNAME">
                  <a:rPr lang="en-US" sz="2000" baseline="0">
                    <a:solidFill>
                      <a:schemeClr val="tx1"/>
                    </a:solidFill>
                  </a:rPr>
                  <a:pPr>
                    <a:defRPr lang="en-US" sz="2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t>[CATEGORY NAME]</a:t>
                </a:fld>
                <a:r>
                  <a:rPr lang="en-US" sz="2000" baseline="0">
                    <a:solidFill>
                      <a:schemeClr val="tx1"/>
                    </a:solidFill>
                  </a:rPr>
                  <a:t>
</a:t>
                </a:r>
                <a:fld id="{6F2C6D0B-EF80-49DC-881B-1B6E8C1F7C78}" type="PERCENTAGE">
                  <a:rPr lang="en-US" sz="2000" baseline="0">
                    <a:solidFill>
                      <a:schemeClr val="tx1"/>
                    </a:solidFill>
                  </a:rPr>
                  <a:pPr>
                    <a:defRPr lang="en-US" sz="2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US" sz="2000" baseline="0">
                  <a:solidFill>
                    <a:schemeClr val="tx1"/>
                  </a:solidFill>
                </a:endParaRPr>
              </a:p>
            </c:rich>
          </c:tx>
          <c:spPr>
            <a:solidFill>
              <a:sysClr val="window" lastClr="FFFFFF"/>
            </a:solidFill>
            <a:ln>
              <a:solidFill>
                <a:sysClr val="windowText" lastClr="000000"/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lang="en-US" sz="2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dlblFieldTable/>
              <c15:showDataLabelsRange val="0"/>
            </c:ext>
          </c:extLst>
        </c:dLbl>
      </c:pivotFmt>
      <c:pivotFmt>
        <c:idx val="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3.3092382140145662E-2"/>
              <c:y val="-2.3521368462104543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/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lang="en-US" sz="2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/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lang="en-US" sz="2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tx>
            <c:rich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lang="en-US" sz="2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fld id="{9857F811-0C2E-42EE-8DFB-6B04BFBD9AE1}" type="CATEGORYNAME">
                  <a:rPr lang="en-US" sz="2000" baseline="0">
                    <a:solidFill>
                      <a:schemeClr val="tx1"/>
                    </a:solidFill>
                  </a:rPr>
                  <a:pPr>
                    <a:defRPr lang="en-US" sz="2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t>[CATEGORY NAME]</a:t>
                </a:fld>
                <a:r>
                  <a:rPr lang="en-US" sz="2000" baseline="0">
                    <a:solidFill>
                      <a:schemeClr val="tx1"/>
                    </a:solidFill>
                  </a:rPr>
                  <a:t>
</a:t>
                </a:r>
                <a:fld id="{6F2C6D0B-EF80-49DC-881B-1B6E8C1F7C78}" type="PERCENTAGE">
                  <a:rPr lang="en-US" sz="2000" baseline="0">
                    <a:solidFill>
                      <a:schemeClr val="tx1"/>
                    </a:solidFill>
                  </a:rPr>
                  <a:pPr>
                    <a:defRPr lang="en-US" sz="2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US" sz="2000" baseline="0">
                  <a:solidFill>
                    <a:schemeClr val="tx1"/>
                  </a:solidFill>
                </a:endParaRPr>
              </a:p>
            </c:rich>
          </c:tx>
          <c:spPr>
            <a:solidFill>
              <a:sysClr val="window" lastClr="FFFFFF"/>
            </a:solidFill>
            <a:ln>
              <a:solidFill>
                <a:sysClr val="windowText" lastClr="000000"/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lang="en-US" sz="2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dlblFieldTable/>
              <c15:showDataLabelsRange val="0"/>
            </c:ext>
          </c:extLst>
        </c:dLbl>
      </c:pivotFmt>
      <c:pivotFmt>
        <c:idx val="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3.3092382140145662E-2"/>
              <c:y val="-2.3521368462104543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/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lang="en-US" sz="2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/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lang="en-US" sz="2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tx>
            <c:rich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lang="en-US" sz="2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fld id="{9857F811-0C2E-42EE-8DFB-6B04BFBD9AE1}" type="CATEGORYNAME">
                  <a:rPr lang="en-US" sz="2000" baseline="0">
                    <a:solidFill>
                      <a:schemeClr val="tx1"/>
                    </a:solidFill>
                  </a:rPr>
                  <a:pPr>
                    <a:defRPr lang="en-US" sz="2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t>[CATEGORY NAME]</a:t>
                </a:fld>
                <a:r>
                  <a:rPr lang="en-US" sz="2000" baseline="0">
                    <a:solidFill>
                      <a:schemeClr val="tx1"/>
                    </a:solidFill>
                  </a:rPr>
                  <a:t>
</a:t>
                </a:r>
                <a:fld id="{6F2C6D0B-EF80-49DC-881B-1B6E8C1F7C78}" type="PERCENTAGE">
                  <a:rPr lang="en-US" sz="2000" baseline="0">
                    <a:solidFill>
                      <a:schemeClr val="tx1"/>
                    </a:solidFill>
                  </a:rPr>
                  <a:pPr>
                    <a:defRPr lang="en-US" sz="2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US" sz="2000" baseline="0">
                  <a:solidFill>
                    <a:schemeClr val="tx1"/>
                  </a:solidFill>
                </a:endParaRPr>
              </a:p>
            </c:rich>
          </c:tx>
          <c:spPr>
            <a:solidFill>
              <a:sysClr val="window" lastClr="FFFFFF"/>
            </a:solidFill>
            <a:ln>
              <a:solidFill>
                <a:sysClr val="windowText" lastClr="000000"/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lang="en-US" sz="2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dlblFieldTable/>
              <c15:showDataLabelsRange val="0"/>
            </c:ext>
          </c:extLst>
        </c:dLbl>
      </c:pivotFmt>
      <c:pivotFmt>
        <c:idx val="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3.3092382140145662E-2"/>
              <c:y val="-2.3521368462104543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/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lang="en-US" sz="2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/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lang="en-US" sz="2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tx>
            <c:rich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lang="en-US" sz="2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fld id="{9857F811-0C2E-42EE-8DFB-6B04BFBD9AE1}" type="CATEGORYNAME">
                  <a:rPr lang="en-US" sz="2000" baseline="0">
                    <a:solidFill>
                      <a:schemeClr val="tx1"/>
                    </a:solidFill>
                  </a:rPr>
                  <a:pPr>
                    <a:defRPr sz="2000"/>
                  </a:pPr>
                  <a:t>[CATEGORY NAME]</a:t>
                </a:fld>
                <a:r>
                  <a:rPr lang="en-US" sz="2000" baseline="0">
                    <a:solidFill>
                      <a:schemeClr val="tx1"/>
                    </a:solidFill>
                  </a:rPr>
                  <a:t>
</a:t>
                </a:r>
                <a:fld id="{6F2C6D0B-EF80-49DC-881B-1B6E8C1F7C78}" type="PERCENTAGE">
                  <a:rPr lang="en-US" sz="2000" baseline="0">
                    <a:solidFill>
                      <a:schemeClr val="tx1"/>
                    </a:solidFill>
                  </a:rPr>
                  <a:pPr>
                    <a:defRPr sz="2000"/>
                  </a:pPr>
                  <a:t>[PERCENTAGE]</a:t>
                </a:fld>
                <a:endParaRPr lang="en-US" sz="2000" baseline="0">
                  <a:solidFill>
                    <a:schemeClr val="tx1"/>
                  </a:solidFill>
                </a:endParaRPr>
              </a:p>
            </c:rich>
          </c:tx>
          <c:spPr>
            <a:solidFill>
              <a:sysClr val="window" lastClr="FFFFFF"/>
            </a:solidFill>
            <a:ln>
              <a:solidFill>
                <a:sysClr val="windowText" lastClr="000000"/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lang="en-US" sz="2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dlblFieldTable/>
              <c15:showDataLabelsRange val="0"/>
            </c:ext>
          </c:extLst>
        </c:dLbl>
      </c:pivotFmt>
      <c:pivotFmt>
        <c:idx val="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3.3092382140145662E-2"/>
              <c:y val="-2.3521368462104543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/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lang="en-US" sz="2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26642195550888209"/>
          <c:y val="0.18685913441396479"/>
          <c:w val="0.44241970262968461"/>
          <c:h val="0.70709717251925819"/>
        </c:manualLayout>
      </c:layout>
      <c:pieChart>
        <c:varyColors val="1"/>
        <c:ser>
          <c:idx val="0"/>
          <c:order val="0"/>
          <c:tx>
            <c:strRef>
              <c:f>'Que 1'!$I$3</c:f>
              <c:strCache>
                <c:ptCount val="1"/>
                <c:pt idx="0">
                  <c:v>Total Sum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58E-49AC-A174-8E1EF205B76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58E-49AC-A174-8E1EF205B76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58E-49AC-A174-8E1EF205B76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58E-49AC-A174-8E1EF205B768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58E-49AC-A174-8E1EF205B768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B58E-49AC-A174-8E1EF205B768}"/>
              </c:ext>
            </c:extLst>
          </c:dPt>
          <c:dLbls>
            <c:dLbl>
              <c:idx val="1"/>
              <c:tx>
                <c:rich>
                  <a:bodyPr/>
                  <a:lstStyle/>
                  <a:p>
                    <a:fld id="{9857F811-0C2E-42EE-8DFB-6B04BFBD9AE1}" type="CATEGORYNAME">
                      <a:rPr lang="en-US" sz="2000" baseline="0">
                        <a:solidFill>
                          <a:schemeClr val="tx1"/>
                        </a:solidFill>
                      </a:rPr>
                      <a:pPr/>
                      <a:t>[CATEGORY NAME]</a:t>
                    </a:fld>
                    <a:r>
                      <a:rPr lang="en-US" sz="2000" baseline="0">
                        <a:solidFill>
                          <a:schemeClr val="tx1"/>
                        </a:solidFill>
                      </a:rPr>
                      <a:t>
</a:t>
                    </a:r>
                    <a:fld id="{6F2C6D0B-EF80-49DC-881B-1B6E8C1F7C78}" type="PERCENTAGE">
                      <a:rPr lang="en-US" sz="2000" baseline="0">
                        <a:solidFill>
                          <a:schemeClr val="tx1"/>
                        </a:solidFill>
                      </a:rPr>
                      <a:pPr/>
                      <a:t>[PERCENTAGE]</a:t>
                    </a:fld>
                    <a:endParaRPr lang="en-US" sz="2000" baseline="0">
                      <a:solidFill>
                        <a:schemeClr val="tx1"/>
                      </a:solidFill>
                    </a:endParaRPr>
                  </a:p>
                </c:rich>
              </c:tx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B58E-49AC-A174-8E1EF205B768}"/>
                </c:ext>
              </c:extLst>
            </c:dLbl>
            <c:dLbl>
              <c:idx val="2"/>
              <c:layout>
                <c:manualLayout>
                  <c:x val="-3.3092382140145662E-2"/>
                  <c:y val="-2.352136846210454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58E-49AC-A174-8E1EF205B768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/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lang="en-US" sz="2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'Que 1'!$H$4:$H$10</c:f>
              <c:strCache>
                <c:ptCount val="6"/>
                <c:pt idx="0">
                  <c:v>clothing</c:v>
                </c:pt>
                <c:pt idx="1">
                  <c:v>essential services</c:v>
                </c:pt>
                <c:pt idx="2">
                  <c:v>food</c:v>
                </c:pt>
                <c:pt idx="3">
                  <c:v>health care</c:v>
                </c:pt>
                <c:pt idx="4">
                  <c:v>luxury</c:v>
                </c:pt>
                <c:pt idx="5">
                  <c:v>misc</c:v>
                </c:pt>
              </c:strCache>
            </c:strRef>
          </c:cat>
          <c:val>
            <c:numRef>
              <c:f>'Que 1'!$I$4:$I$10</c:f>
              <c:numCache>
                <c:formatCode>General</c:formatCode>
                <c:ptCount val="6"/>
                <c:pt idx="0">
                  <c:v>1647.6000000000001</c:v>
                </c:pt>
                <c:pt idx="1">
                  <c:v>2618.3999999999996</c:v>
                </c:pt>
                <c:pt idx="2">
                  <c:v>6364.9000000000005</c:v>
                </c:pt>
                <c:pt idx="3">
                  <c:v>1105.9000000000001</c:v>
                </c:pt>
                <c:pt idx="4">
                  <c:v>1632.9</c:v>
                </c:pt>
                <c:pt idx="5">
                  <c:v>1059.0999999999999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58E-49AC-A174-8E1EF205B768}"/>
            </c:ext>
          </c:extLst>
        </c:ser>
        <c:ser>
          <c:idx val="1"/>
          <c:order val="1"/>
          <c:tx>
            <c:strRef>
              <c:f>'Que 1'!$J$3</c:f>
              <c:strCache>
                <c:ptCount val="1"/>
                <c:pt idx="0">
                  <c:v>Total Contribution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B58E-49AC-A174-8E1EF205B76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B58E-49AC-A174-8E1EF205B76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B58E-49AC-A174-8E1EF205B76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B58E-49AC-A174-8E1EF205B768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6-B58E-49AC-A174-8E1EF205B768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8-B58E-49AC-A174-8E1EF205B768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'Que 1'!$H$4:$H$10</c:f>
              <c:strCache>
                <c:ptCount val="6"/>
                <c:pt idx="0">
                  <c:v>clothing</c:v>
                </c:pt>
                <c:pt idx="1">
                  <c:v>essential services</c:v>
                </c:pt>
                <c:pt idx="2">
                  <c:v>food</c:v>
                </c:pt>
                <c:pt idx="3">
                  <c:v>health care</c:v>
                </c:pt>
                <c:pt idx="4">
                  <c:v>luxury</c:v>
                </c:pt>
                <c:pt idx="5">
                  <c:v>misc</c:v>
                </c:pt>
              </c:strCache>
            </c:strRef>
          </c:cat>
          <c:val>
            <c:numRef>
              <c:f>'Que 1'!$J$4:$J$10</c:f>
              <c:numCache>
                <c:formatCode>0.00%</c:formatCode>
                <c:ptCount val="6"/>
                <c:pt idx="0">
                  <c:v>0.11418829008649369</c:v>
                </c:pt>
                <c:pt idx="1">
                  <c:v>0.18147039254823683</c:v>
                </c:pt>
                <c:pt idx="2">
                  <c:v>0.44112469505433577</c:v>
                </c:pt>
                <c:pt idx="3">
                  <c:v>7.6645320470170766E-2</c:v>
                </c:pt>
                <c:pt idx="4">
                  <c:v>0.11316949434464404</c:v>
                </c:pt>
                <c:pt idx="5">
                  <c:v>7.3401807496118868E-2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B58E-49AC-A174-8E1EF205B7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gradFill flip="none" rotWithShape="1">
      <a:gsLst>
        <a:gs pos="0">
          <a:schemeClr val="accent2">
            <a:lumMod val="5000"/>
            <a:lumOff val="95000"/>
          </a:schemeClr>
        </a:gs>
        <a:gs pos="74000">
          <a:schemeClr val="accent2">
            <a:lumMod val="45000"/>
            <a:lumOff val="55000"/>
          </a:schemeClr>
        </a:gs>
        <a:gs pos="83000">
          <a:schemeClr val="accent2">
            <a:lumMod val="45000"/>
            <a:lumOff val="55000"/>
          </a:schemeClr>
        </a:gs>
        <a:gs pos="100000">
          <a:schemeClr val="accent2">
            <a:lumMod val="30000"/>
            <a:lumOff val="70000"/>
          </a:schemeClr>
        </a:gs>
      </a:gsLst>
      <a:path path="shape">
        <a:fillToRect l="50000" t="50000" r="50000" b="50000"/>
      </a:path>
      <a:tileRect/>
    </a:gradFill>
    <a:ln w="12700" cap="flat" cmpd="sng" algn="ctr">
      <a:solidFill>
        <a:schemeClr val="tx1"/>
      </a:solidFill>
      <a:round/>
    </a:ln>
    <a:effectLst/>
    <a:scene3d>
      <a:camera prst="orthographicFront"/>
      <a:lightRig rig="threePt" dir="t"/>
    </a:scene3d>
    <a:sp3d>
      <a:bevelT w="0"/>
    </a:sp3d>
  </c:spPr>
  <c:txPr>
    <a:bodyPr/>
    <a:lstStyle/>
    <a:p>
      <a:pPr algn="ctr" rtl="0"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[CPI India (Final).xlsx]Que 2!PivotTable56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/>
                </a:solidFill>
              </a:rPr>
              <a:t>Y-on-Y</a:t>
            </a:r>
            <a:r>
              <a:rPr lang="en-US" sz="1800" b="1" baseline="0">
                <a:solidFill>
                  <a:schemeClr val="tx1"/>
                </a:solidFill>
              </a:rPr>
              <a:t> Inflation Change</a:t>
            </a:r>
          </a:p>
        </c:rich>
      </c:tx>
      <c:layout>
        <c:manualLayout>
          <c:xMode val="edge"/>
          <c:yMode val="edge"/>
          <c:x val="0.3578749487215308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34762825597472"/>
          <c:y val="0.12048911998098555"/>
          <c:w val="0.87929834408305962"/>
          <c:h val="0.80136323373204066"/>
        </c:manualLayout>
      </c:layout>
      <c:lineChart>
        <c:grouping val="standard"/>
        <c:varyColors val="0"/>
        <c:ser>
          <c:idx val="0"/>
          <c:order val="0"/>
          <c:tx>
            <c:strRef>
              <c:f>'Que 2'!$O$3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'Que 2'!$N$4:$N$11</c:f>
              <c:strCache>
                <c:ptCount val="7"/>
                <c:pt idx="0">
                  <c:v>2017</c:v>
                </c:pt>
                <c:pt idx="1">
                  <c:v>2017-2018</c:v>
                </c:pt>
                <c:pt idx="2">
                  <c:v>2018-2019</c:v>
                </c:pt>
                <c:pt idx="3">
                  <c:v>2019-2020</c:v>
                </c:pt>
                <c:pt idx="4">
                  <c:v>2020-2021</c:v>
                </c:pt>
                <c:pt idx="5">
                  <c:v>2021-2022</c:v>
                </c:pt>
                <c:pt idx="6">
                  <c:v>2022-2023</c:v>
                </c:pt>
              </c:strCache>
            </c:strRef>
          </c:cat>
          <c:val>
            <c:numRef>
              <c:f>'Que 2'!$O$4:$O$11</c:f>
              <c:numCache>
                <c:formatCode>0.0%</c:formatCode>
                <c:ptCount val="7"/>
                <c:pt idx="0">
                  <c:v>0</c:v>
                </c:pt>
                <c:pt idx="1">
                  <c:v>3.3385157833365556E-2</c:v>
                </c:pt>
                <c:pt idx="2">
                  <c:v>-4.9997985035530323E-2</c:v>
                </c:pt>
                <c:pt idx="3">
                  <c:v>0.1630680184575066</c:v>
                </c:pt>
                <c:pt idx="4">
                  <c:v>6.3507051385962313E-2</c:v>
                </c:pt>
                <c:pt idx="5">
                  <c:v>6.3885364152863139E-2</c:v>
                </c:pt>
                <c:pt idx="6">
                  <c:v>-0.57034740765016778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53-4A64-9252-4C5F8AA04CA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324981519"/>
        <c:axId val="1324973839"/>
      </c:lineChart>
      <c:catAx>
        <c:axId val="13249815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chemeClr val="tx1"/>
                    </a:solidFill>
                  </a:rPr>
                  <a:t>Year</a:t>
                </a:r>
              </a:p>
            </c:rich>
          </c:tx>
          <c:layout>
            <c:manualLayout>
              <c:xMode val="edge"/>
              <c:yMode val="edge"/>
              <c:x val="0.5005555398687247"/>
              <c:y val="0.921242837417807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973839"/>
        <c:crosses val="autoZero"/>
        <c:auto val="1"/>
        <c:lblAlgn val="ctr"/>
        <c:lblOffset val="100"/>
        <c:noMultiLvlLbl val="0"/>
      </c:catAx>
      <c:valAx>
        <c:axId val="132497383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chemeClr val="tx1"/>
                    </a:solidFill>
                  </a:rPr>
                  <a:t>Inflation Change</a:t>
                </a:r>
              </a:p>
            </c:rich>
          </c:tx>
          <c:layout>
            <c:manualLayout>
              <c:xMode val="edge"/>
              <c:yMode val="edge"/>
              <c:x val="1.4354469400722172E-2"/>
              <c:y val="0.31545543673638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981519"/>
        <c:crosses val="autoZero"/>
        <c:crossBetween val="between"/>
      </c:valAx>
      <c:spPr>
        <a:gradFill flip="none" rotWithShape="1">
          <a:gsLst>
            <a:gs pos="0">
              <a:schemeClr val="accent2">
                <a:lumMod val="5000"/>
                <a:lumOff val="95000"/>
              </a:schemeClr>
            </a:gs>
            <a:gs pos="74000">
              <a:schemeClr val="accent2">
                <a:lumMod val="45000"/>
                <a:lumOff val="55000"/>
              </a:schemeClr>
            </a:gs>
            <a:gs pos="83000">
              <a:schemeClr val="accent2">
                <a:lumMod val="45000"/>
                <a:lumOff val="55000"/>
              </a:schemeClr>
            </a:gs>
            <a:gs pos="100000">
              <a:schemeClr val="accent2">
                <a:lumMod val="30000"/>
                <a:lumOff val="70000"/>
              </a:schemeClr>
            </a:gs>
          </a:gsLst>
          <a:lin ang="2700000" scaled="1"/>
          <a:tileRect/>
        </a:gradFill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2">
            <a:lumMod val="5000"/>
            <a:lumOff val="95000"/>
          </a:schemeClr>
        </a:gs>
        <a:gs pos="74000">
          <a:schemeClr val="accent2">
            <a:lumMod val="45000"/>
            <a:lumOff val="55000"/>
          </a:schemeClr>
        </a:gs>
        <a:gs pos="83000">
          <a:schemeClr val="accent2">
            <a:lumMod val="45000"/>
            <a:lumOff val="55000"/>
          </a:schemeClr>
        </a:gs>
        <a:gs pos="100000">
          <a:schemeClr val="accent2">
            <a:lumMod val="30000"/>
            <a:lumOff val="70000"/>
          </a:schemeClr>
        </a:gs>
      </a:gsLst>
      <a:lin ang="2700000" scaled="1"/>
      <a:tileRect/>
    </a:gra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[CPI India (Final).xlsx]Que 3!PivotTable61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</a:rPr>
              <a:t>M-on-M</a:t>
            </a:r>
            <a:r>
              <a:rPr lang="en-US" sz="1600" b="1" baseline="0">
                <a:solidFill>
                  <a:schemeClr val="tx1"/>
                </a:solidFill>
              </a:rPr>
              <a:t> Inflation Change for food category (Jun'22 - May'23</a:t>
            </a:r>
            <a:endParaRPr lang="en-US" sz="16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'Que 3'!$W$42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'Que 3'!$V$43:$V$55</c:f>
              <c:strCache>
                <c:ptCount val="12"/>
                <c:pt idx="0">
                  <c:v>Jun'22</c:v>
                </c:pt>
                <c:pt idx="1">
                  <c:v>Jun'22-July'22</c:v>
                </c:pt>
                <c:pt idx="2">
                  <c:v>July'22-Aug'22</c:v>
                </c:pt>
                <c:pt idx="3">
                  <c:v>Aug'22-Sept'22</c:v>
                </c:pt>
                <c:pt idx="4">
                  <c:v>Sept'22-Oct'22</c:v>
                </c:pt>
                <c:pt idx="5">
                  <c:v>Oct'22-Nov'22</c:v>
                </c:pt>
                <c:pt idx="6">
                  <c:v>Nov'22-Dec'22</c:v>
                </c:pt>
                <c:pt idx="7">
                  <c:v>Dec'22-Jan'23</c:v>
                </c:pt>
                <c:pt idx="8">
                  <c:v>Jan'23-Feb'23</c:v>
                </c:pt>
                <c:pt idx="9">
                  <c:v>Feb'23-Mar'23</c:v>
                </c:pt>
                <c:pt idx="10">
                  <c:v>Mar'23-Apr'23</c:v>
                </c:pt>
                <c:pt idx="11">
                  <c:v>Apr'23-May'23</c:v>
                </c:pt>
              </c:strCache>
            </c:strRef>
          </c:cat>
          <c:val>
            <c:numRef>
              <c:f>'Que 3'!$W$43:$W$55</c:f>
              <c:numCache>
                <c:formatCode>0.00%</c:formatCode>
                <c:ptCount val="12"/>
                <c:pt idx="0">
                  <c:v>0</c:v>
                </c:pt>
                <c:pt idx="1">
                  <c:v>1.7756075907224215E-3</c:v>
                </c:pt>
                <c:pt idx="2">
                  <c:v>1.0927057929244204E-3</c:v>
                </c:pt>
                <c:pt idx="3">
                  <c:v>5.4495054495055061E-3</c:v>
                </c:pt>
                <c:pt idx="4">
                  <c:v>7.441220610305067E-3</c:v>
                </c:pt>
                <c:pt idx="5">
                  <c:v>-1.0641627543036278E-3</c:v>
                </c:pt>
                <c:pt idx="6">
                  <c:v>-6.9811053154104647E-3</c:v>
                </c:pt>
                <c:pt idx="7">
                  <c:v>4.4555309769223174E-3</c:v>
                </c:pt>
                <c:pt idx="8">
                  <c:v>-6.4580306953832918E-3</c:v>
                </c:pt>
                <c:pt idx="9">
                  <c:v>6.3155235569258423E-5</c:v>
                </c:pt>
                <c:pt idx="10">
                  <c:v>4.9175949347201337E-3</c:v>
                </c:pt>
                <c:pt idx="11">
                  <c:v>7.7634183983659984E-3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5D-4D0E-9AF3-93BD38DBD7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1466048"/>
        <c:axId val="571464128"/>
      </c:lineChart>
      <c:catAx>
        <c:axId val="571466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464128"/>
        <c:crosses val="autoZero"/>
        <c:auto val="1"/>
        <c:lblAlgn val="ctr"/>
        <c:lblOffset val="100"/>
        <c:noMultiLvlLbl val="0"/>
      </c:catAx>
      <c:valAx>
        <c:axId val="5714641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Inflation Change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46604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2">
            <a:lumMod val="5000"/>
            <a:lumOff val="95000"/>
          </a:schemeClr>
        </a:gs>
        <a:gs pos="74000">
          <a:schemeClr val="accent2">
            <a:lumMod val="45000"/>
            <a:lumOff val="55000"/>
          </a:schemeClr>
        </a:gs>
        <a:gs pos="83000">
          <a:schemeClr val="accent2">
            <a:lumMod val="45000"/>
            <a:lumOff val="55000"/>
          </a:schemeClr>
        </a:gs>
        <a:gs pos="100000">
          <a:schemeClr val="accent2">
            <a:lumMod val="30000"/>
            <a:lumOff val="70000"/>
          </a:schemeClr>
        </a:gs>
      </a:gsLst>
      <a:lin ang="5400000" scaled="1"/>
    </a:gra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[CPI India (Final).xlsx]Que 4!PivotTable65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chemeClr val="tx1"/>
                </a:solidFill>
              </a:rPr>
              <a:t>Pre-covid to Post-covid M-on-M Inflation Change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029598856303692"/>
          <c:y val="0.10285942381902521"/>
          <c:w val="0.84091252553381668"/>
          <c:h val="0.67719080319086677"/>
        </c:manualLayout>
      </c:layout>
      <c:lineChart>
        <c:grouping val="standard"/>
        <c:varyColors val="0"/>
        <c:ser>
          <c:idx val="0"/>
          <c:order val="0"/>
          <c:tx>
            <c:strRef>
              <c:f>'Que 4'!$BG$18</c:f>
              <c:strCache>
                <c:ptCount val="1"/>
                <c:pt idx="0">
                  <c:v>M-on-M food% change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'Que 4'!$BF$19:$BF$30</c:f>
              <c:strCache>
                <c:ptCount val="11"/>
                <c:pt idx="0">
                  <c:v>dec'19-jan'20</c:v>
                </c:pt>
                <c:pt idx="1">
                  <c:v>jan'20-feb'20</c:v>
                </c:pt>
                <c:pt idx="2">
                  <c:v>feb'20-mar'20</c:v>
                </c:pt>
                <c:pt idx="3">
                  <c:v>mar'20-apr'20</c:v>
                </c:pt>
                <c:pt idx="4">
                  <c:v>apr'20-may'20</c:v>
                </c:pt>
                <c:pt idx="5">
                  <c:v>may'20-jun'20</c:v>
                </c:pt>
                <c:pt idx="6">
                  <c:v>jun'20-jul'20</c:v>
                </c:pt>
                <c:pt idx="7">
                  <c:v>jul'20-aug'20</c:v>
                </c:pt>
                <c:pt idx="8">
                  <c:v>aug'20-sept'20</c:v>
                </c:pt>
                <c:pt idx="9">
                  <c:v>sept'20-oct'20</c:v>
                </c:pt>
                <c:pt idx="10">
                  <c:v>oct'20-nov'20</c:v>
                </c:pt>
              </c:strCache>
            </c:strRef>
          </c:cat>
          <c:val>
            <c:numRef>
              <c:f>'Que 4'!$BG$19:$BG$30</c:f>
              <c:numCache>
                <c:formatCode>0.00%</c:formatCode>
                <c:ptCount val="11"/>
                <c:pt idx="0">
                  <c:v>1.9287722586691761E-2</c:v>
                </c:pt>
                <c:pt idx="1">
                  <c:v>-3.7514481693303394E-3</c:v>
                </c:pt>
                <c:pt idx="2">
                  <c:v>-1.6169820027687781E-2</c:v>
                </c:pt>
                <c:pt idx="3">
                  <c:v>-9.3998011219725078E-3</c:v>
                </c:pt>
                <c:pt idx="4">
                  <c:v>3.6024091821660054E-2</c:v>
                </c:pt>
                <c:pt idx="5">
                  <c:v>-4.926873857403989E-3</c:v>
                </c:pt>
                <c:pt idx="6">
                  <c:v>9.67288560641562E-3</c:v>
                </c:pt>
                <c:pt idx="7">
                  <c:v>0</c:v>
                </c:pt>
                <c:pt idx="8">
                  <c:v>1.4993540404316033E-2</c:v>
                </c:pt>
                <c:pt idx="9">
                  <c:v>5.8442838959499727E-3</c:v>
                </c:pt>
                <c:pt idx="10">
                  <c:v>2.1102536225426519E-2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DF-469A-90BB-644CEF50452D}"/>
            </c:ext>
          </c:extLst>
        </c:ser>
        <c:ser>
          <c:idx val="1"/>
          <c:order val="1"/>
          <c:tx>
            <c:strRef>
              <c:f>'Que 4'!$BH$18</c:f>
              <c:strCache>
                <c:ptCount val="1"/>
                <c:pt idx="0">
                  <c:v>M-on-M health care% change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'Que 4'!$BF$19:$BF$30</c:f>
              <c:strCache>
                <c:ptCount val="11"/>
                <c:pt idx="0">
                  <c:v>dec'19-jan'20</c:v>
                </c:pt>
                <c:pt idx="1">
                  <c:v>jan'20-feb'20</c:v>
                </c:pt>
                <c:pt idx="2">
                  <c:v>feb'20-mar'20</c:v>
                </c:pt>
                <c:pt idx="3">
                  <c:v>mar'20-apr'20</c:v>
                </c:pt>
                <c:pt idx="4">
                  <c:v>apr'20-may'20</c:v>
                </c:pt>
                <c:pt idx="5">
                  <c:v>may'20-jun'20</c:v>
                </c:pt>
                <c:pt idx="6">
                  <c:v>jun'20-jul'20</c:v>
                </c:pt>
                <c:pt idx="7">
                  <c:v>jul'20-aug'20</c:v>
                </c:pt>
                <c:pt idx="8">
                  <c:v>aug'20-sept'20</c:v>
                </c:pt>
                <c:pt idx="9">
                  <c:v>sept'20-oct'20</c:v>
                </c:pt>
                <c:pt idx="10">
                  <c:v>oct'20-nov'20</c:v>
                </c:pt>
              </c:strCache>
            </c:strRef>
          </c:cat>
          <c:val>
            <c:numRef>
              <c:f>'Que 4'!$BH$19:$BH$30</c:f>
              <c:numCache>
                <c:formatCode>0.00%</c:formatCode>
                <c:ptCount val="11"/>
                <c:pt idx="0">
                  <c:v>2.1896968998500214E-3</c:v>
                </c:pt>
                <c:pt idx="1">
                  <c:v>9.1996320147194124E-3</c:v>
                </c:pt>
                <c:pt idx="2">
                  <c:v>5.6973564266181789E-3</c:v>
                </c:pt>
                <c:pt idx="3">
                  <c:v>7.931112621799229E-3</c:v>
                </c:pt>
                <c:pt idx="4">
                  <c:v>2.0233812949639776E-3</c:v>
                </c:pt>
                <c:pt idx="5">
                  <c:v>2.950415077406322E-2</c:v>
                </c:pt>
                <c:pt idx="6">
                  <c:v>-2.1793614470960012E-3</c:v>
                </c:pt>
                <c:pt idx="7">
                  <c:v>0</c:v>
                </c:pt>
                <c:pt idx="8">
                  <c:v>1.0811401113901909E-2</c:v>
                </c:pt>
                <c:pt idx="9">
                  <c:v>1.5881590319792742E-2</c:v>
                </c:pt>
                <c:pt idx="10">
                  <c:v>-2.3396788259067948E-3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DF-469A-90BB-644CEF50452D}"/>
            </c:ext>
          </c:extLst>
        </c:ser>
        <c:ser>
          <c:idx val="2"/>
          <c:order val="2"/>
          <c:tx>
            <c:strRef>
              <c:f>'Que 4'!$BI$18</c:f>
              <c:strCache>
                <c:ptCount val="1"/>
                <c:pt idx="0">
                  <c:v>M-on-M essential services% change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'Que 4'!$BF$19:$BF$30</c:f>
              <c:strCache>
                <c:ptCount val="11"/>
                <c:pt idx="0">
                  <c:v>dec'19-jan'20</c:v>
                </c:pt>
                <c:pt idx="1">
                  <c:v>jan'20-feb'20</c:v>
                </c:pt>
                <c:pt idx="2">
                  <c:v>feb'20-mar'20</c:v>
                </c:pt>
                <c:pt idx="3">
                  <c:v>mar'20-apr'20</c:v>
                </c:pt>
                <c:pt idx="4">
                  <c:v>apr'20-may'20</c:v>
                </c:pt>
                <c:pt idx="5">
                  <c:v>may'20-jun'20</c:v>
                </c:pt>
                <c:pt idx="6">
                  <c:v>jun'20-jul'20</c:v>
                </c:pt>
                <c:pt idx="7">
                  <c:v>jul'20-aug'20</c:v>
                </c:pt>
                <c:pt idx="8">
                  <c:v>aug'20-sept'20</c:v>
                </c:pt>
                <c:pt idx="9">
                  <c:v>sept'20-oct'20</c:v>
                </c:pt>
                <c:pt idx="10">
                  <c:v>oct'20-nov'20</c:v>
                </c:pt>
              </c:strCache>
            </c:strRef>
          </c:cat>
          <c:val>
            <c:numRef>
              <c:f>'Que 4'!$BI$19:$BI$30</c:f>
              <c:numCache>
                <c:formatCode>0.00%</c:formatCode>
                <c:ptCount val="11"/>
                <c:pt idx="0">
                  <c:v>8.3403684759398022E-2</c:v>
                </c:pt>
                <c:pt idx="1">
                  <c:v>-6.5340453326610565E-2</c:v>
                </c:pt>
                <c:pt idx="2">
                  <c:v>8.0403119023098449E-2</c:v>
                </c:pt>
                <c:pt idx="3">
                  <c:v>-6.8790994303352254E-2</c:v>
                </c:pt>
                <c:pt idx="4">
                  <c:v>7.9941506214964667E-2</c:v>
                </c:pt>
                <c:pt idx="5">
                  <c:v>1.6632814263145976E-2</c:v>
                </c:pt>
                <c:pt idx="6">
                  <c:v>-2.1821652940262434E-2</c:v>
                </c:pt>
                <c:pt idx="7">
                  <c:v>0</c:v>
                </c:pt>
                <c:pt idx="8">
                  <c:v>1.2844952795933272E-2</c:v>
                </c:pt>
                <c:pt idx="9">
                  <c:v>8.9625812233923372E-4</c:v>
                </c:pt>
                <c:pt idx="10">
                  <c:v>3.8728453100515293E-3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DF-469A-90BB-644CEF5045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6733007"/>
        <c:axId val="1316733967"/>
      </c:lineChart>
      <c:catAx>
        <c:axId val="13167330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>
                    <a:solidFill>
                      <a:schemeClr val="tx1"/>
                    </a:solidFill>
                  </a:rPr>
                  <a:t>Month</a:t>
                </a:r>
              </a:p>
            </c:rich>
          </c:tx>
          <c:layout>
            <c:manualLayout>
              <c:xMode val="edge"/>
              <c:yMode val="edge"/>
              <c:x val="0.42231933811817279"/>
              <c:y val="0.797507687044735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733967"/>
        <c:crosses val="autoZero"/>
        <c:auto val="1"/>
        <c:lblAlgn val="ctr"/>
        <c:lblOffset val="100"/>
        <c:noMultiLvlLbl val="0"/>
      </c:catAx>
      <c:valAx>
        <c:axId val="1316733967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bg2">
                  <a:lumMod val="7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>
                    <a:solidFill>
                      <a:schemeClr val="tx1"/>
                    </a:solidFill>
                  </a:rPr>
                  <a:t>Inflation Change</a:t>
                </a:r>
              </a:p>
            </c:rich>
          </c:tx>
          <c:layout>
            <c:manualLayout>
              <c:xMode val="edge"/>
              <c:yMode val="edge"/>
              <c:x val="7.8679222773183292E-3"/>
              <c:y val="0.372124986889320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733007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59032040919634943"/>
          <c:y val="0.80647493506919465"/>
          <c:w val="0.38322983806640143"/>
          <c:h val="0.16369335057113388"/>
        </c:manualLayout>
      </c:layout>
      <c:overlay val="0"/>
      <c:spPr>
        <a:noFill/>
        <a:ln w="6350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2">
            <a:lumMod val="5000"/>
            <a:lumOff val="95000"/>
          </a:schemeClr>
        </a:gs>
        <a:gs pos="74000">
          <a:schemeClr val="accent2">
            <a:lumMod val="45000"/>
            <a:lumOff val="55000"/>
          </a:schemeClr>
        </a:gs>
        <a:gs pos="83000">
          <a:schemeClr val="accent2">
            <a:lumMod val="45000"/>
            <a:lumOff val="55000"/>
          </a:schemeClr>
        </a:gs>
        <a:gs pos="100000">
          <a:schemeClr val="accent2">
            <a:lumMod val="30000"/>
            <a:lumOff val="70000"/>
          </a:schemeClr>
        </a:gs>
      </a:gsLst>
      <a:lin ang="2700000" scaled="1"/>
    </a:gra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[CPI India (Final).xlsx]Que 5!PivotTable70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/>
                </a:solidFill>
              </a:rPr>
              <a:t>3 years M-on-M Inflation Change</a:t>
            </a:r>
          </a:p>
        </c:rich>
      </c:tx>
      <c:layout>
        <c:manualLayout>
          <c:xMode val="edge"/>
          <c:yMode val="edge"/>
          <c:x val="0.30229198963728271"/>
          <c:y val="1.64150164225561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316906224381768"/>
          <c:y val="0.10827098058331303"/>
          <c:w val="0.85996064325609023"/>
          <c:h val="0.70835851815744588"/>
        </c:manualLayout>
      </c:layout>
      <c:lineChart>
        <c:grouping val="standard"/>
        <c:varyColors val="0"/>
        <c:ser>
          <c:idx val="0"/>
          <c:order val="0"/>
          <c:tx>
            <c:strRef>
              <c:f>'Que 5'!$U$18</c:f>
              <c:strCache>
                <c:ptCount val="1"/>
                <c:pt idx="0">
                  <c:v>2021 M-o-M% Change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'Que 5'!$T$19:$T$30</c:f>
              <c:strCache>
                <c:ptCount val="11"/>
                <c:pt idx="0">
                  <c:v>jan-feb</c:v>
                </c:pt>
                <c:pt idx="1">
                  <c:v>feb-mar</c:v>
                </c:pt>
                <c:pt idx="2">
                  <c:v>mar-apr</c:v>
                </c:pt>
                <c:pt idx="3">
                  <c:v>apr-may</c:v>
                </c:pt>
                <c:pt idx="4">
                  <c:v>may-jun</c:v>
                </c:pt>
                <c:pt idx="5">
                  <c:v>jun-jul</c:v>
                </c:pt>
                <c:pt idx="6">
                  <c:v>jul-aug</c:v>
                </c:pt>
                <c:pt idx="7">
                  <c:v>aug-sept</c:v>
                </c:pt>
                <c:pt idx="8">
                  <c:v>sept-oct</c:v>
                </c:pt>
                <c:pt idx="9">
                  <c:v>oct-nov</c:v>
                </c:pt>
                <c:pt idx="10">
                  <c:v>nov-dec</c:v>
                </c:pt>
              </c:strCache>
            </c:strRef>
          </c:cat>
          <c:val>
            <c:numRef>
              <c:f>'Que 5'!$U$19:$U$30</c:f>
              <c:numCache>
                <c:formatCode>0.00%</c:formatCode>
                <c:ptCount val="11"/>
                <c:pt idx="0">
                  <c:v>-0.14211884813164954</c:v>
                </c:pt>
                <c:pt idx="1">
                  <c:v>0.28074399863351351</c:v>
                </c:pt>
                <c:pt idx="2">
                  <c:v>2.9109954587010409E-2</c:v>
                </c:pt>
                <c:pt idx="3">
                  <c:v>-3.9632522697960866E-2</c:v>
                </c:pt>
                <c:pt idx="4">
                  <c:v>4.4887137539968789E-3</c:v>
                </c:pt>
                <c:pt idx="5">
                  <c:v>-2.6400220514262215E-2</c:v>
                </c:pt>
                <c:pt idx="6">
                  <c:v>0.13201452944740866</c:v>
                </c:pt>
                <c:pt idx="7">
                  <c:v>2.6730036049766089E-2</c:v>
                </c:pt>
                <c:pt idx="8">
                  <c:v>4.260347288331847E-2</c:v>
                </c:pt>
                <c:pt idx="9">
                  <c:v>9.6527226180629297E-2</c:v>
                </c:pt>
                <c:pt idx="10">
                  <c:v>3.495474562367111E-2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3F-48F8-A887-54A5988F6DE2}"/>
            </c:ext>
          </c:extLst>
        </c:ser>
        <c:ser>
          <c:idx val="1"/>
          <c:order val="1"/>
          <c:tx>
            <c:strRef>
              <c:f>'Que 5'!$V$18</c:f>
              <c:strCache>
                <c:ptCount val="1"/>
                <c:pt idx="0">
                  <c:v>2022 M-o-M% Change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'Que 5'!$T$19:$T$30</c:f>
              <c:strCache>
                <c:ptCount val="11"/>
                <c:pt idx="0">
                  <c:v>jan-feb</c:v>
                </c:pt>
                <c:pt idx="1">
                  <c:v>feb-mar</c:v>
                </c:pt>
                <c:pt idx="2">
                  <c:v>mar-apr</c:v>
                </c:pt>
                <c:pt idx="3">
                  <c:v>apr-may</c:v>
                </c:pt>
                <c:pt idx="4">
                  <c:v>may-jun</c:v>
                </c:pt>
                <c:pt idx="5">
                  <c:v>jun-jul</c:v>
                </c:pt>
                <c:pt idx="6">
                  <c:v>jul-aug</c:v>
                </c:pt>
                <c:pt idx="7">
                  <c:v>aug-sept</c:v>
                </c:pt>
                <c:pt idx="8">
                  <c:v>sept-oct</c:v>
                </c:pt>
                <c:pt idx="9">
                  <c:v>oct-nov</c:v>
                </c:pt>
                <c:pt idx="10">
                  <c:v>nov-dec</c:v>
                </c:pt>
              </c:strCache>
            </c:strRef>
          </c:cat>
          <c:val>
            <c:numRef>
              <c:f>'Que 5'!$V$19:$V$30</c:f>
              <c:numCache>
                <c:formatCode>0.00%</c:formatCode>
                <c:ptCount val="11"/>
                <c:pt idx="0">
                  <c:v>8.6385887276800456E-3</c:v>
                </c:pt>
                <c:pt idx="1">
                  <c:v>0.29491115251428374</c:v>
                </c:pt>
                <c:pt idx="2">
                  <c:v>0.13751970895123189</c:v>
                </c:pt>
                <c:pt idx="3">
                  <c:v>-7.1168007338488062E-2</c:v>
                </c:pt>
                <c:pt idx="4">
                  <c:v>1.892459540019022E-2</c:v>
                </c:pt>
                <c:pt idx="5">
                  <c:v>5.6258884257037539E-2</c:v>
                </c:pt>
                <c:pt idx="6">
                  <c:v>-0.18786114266372986</c:v>
                </c:pt>
                <c:pt idx="7">
                  <c:v>-8.9985809751189472E-2</c:v>
                </c:pt>
                <c:pt idx="8">
                  <c:v>4.2420552665956485E-2</c:v>
                </c:pt>
                <c:pt idx="9">
                  <c:v>1.0730180621608104E-2</c:v>
                </c:pt>
                <c:pt idx="10">
                  <c:v>-5.9900220516039417E-2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3F-48F8-A887-54A5988F6DE2}"/>
            </c:ext>
          </c:extLst>
        </c:ser>
        <c:ser>
          <c:idx val="2"/>
          <c:order val="2"/>
          <c:tx>
            <c:strRef>
              <c:f>'Que 5'!$W$18</c:f>
              <c:strCache>
                <c:ptCount val="1"/>
                <c:pt idx="0">
                  <c:v>2023 M-o-M% Change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'Que 5'!$T$19:$T$30</c:f>
              <c:strCache>
                <c:ptCount val="11"/>
                <c:pt idx="0">
                  <c:v>jan-feb</c:v>
                </c:pt>
                <c:pt idx="1">
                  <c:v>feb-mar</c:v>
                </c:pt>
                <c:pt idx="2">
                  <c:v>mar-apr</c:v>
                </c:pt>
                <c:pt idx="3">
                  <c:v>apr-may</c:v>
                </c:pt>
                <c:pt idx="4">
                  <c:v>may-jun</c:v>
                </c:pt>
                <c:pt idx="5">
                  <c:v>jun-jul</c:v>
                </c:pt>
                <c:pt idx="6">
                  <c:v>jul-aug</c:v>
                </c:pt>
                <c:pt idx="7">
                  <c:v>aug-sept</c:v>
                </c:pt>
                <c:pt idx="8">
                  <c:v>sept-oct</c:v>
                </c:pt>
                <c:pt idx="9">
                  <c:v>oct-nov</c:v>
                </c:pt>
                <c:pt idx="10">
                  <c:v>nov-dec</c:v>
                </c:pt>
              </c:strCache>
            </c:strRef>
          </c:cat>
          <c:val>
            <c:numRef>
              <c:f>'Que 5'!$W$19:$W$30</c:f>
              <c:numCache>
                <c:formatCode>0.00%</c:formatCode>
                <c:ptCount val="11"/>
                <c:pt idx="0">
                  <c:v>-7.1867834338514847E-2</c:v>
                </c:pt>
                <c:pt idx="1">
                  <c:v>4.446733190770507E-2</c:v>
                </c:pt>
                <c:pt idx="2">
                  <c:v>-6.444343449897541E-3</c:v>
                </c:pt>
                <c:pt idx="3">
                  <c:v>-1.2137428730706251E-2</c:v>
                </c:pt>
                <c:pt idx="4">
                  <c:v>-4.6317381601619328E-2</c:v>
                </c:pt>
                <c:pt idx="5">
                  <c:v>1.7266265356865793E-2</c:v>
                </c:pt>
                <c:pt idx="6">
                  <c:v>7.6573114395339092E-2</c:v>
                </c:pt>
                <c:pt idx="7">
                  <c:v>-1.616031683052498E-2</c:v>
                </c:pt>
                <c:pt idx="8">
                  <c:v>9.2233492975870746E-2</c:v>
                </c:pt>
                <c:pt idx="9">
                  <c:v>-3.3765013753261484E-2</c:v>
                </c:pt>
                <c:pt idx="10">
                  <c:v>-6.6427579904623875E-3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13F-48F8-A887-54A5988F6D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5046704"/>
        <c:axId val="565052944"/>
      </c:lineChart>
      <c:catAx>
        <c:axId val="5650467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chemeClr val="tx1"/>
                    </a:solidFill>
                  </a:rPr>
                  <a:t>Month</a:t>
                </a:r>
              </a:p>
            </c:rich>
          </c:tx>
          <c:layout>
            <c:manualLayout>
              <c:xMode val="edge"/>
              <c:yMode val="edge"/>
              <c:x val="0.45619499395287871"/>
              <c:y val="0.925134860671053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052944"/>
        <c:crosses val="autoZero"/>
        <c:auto val="1"/>
        <c:lblAlgn val="ctr"/>
        <c:lblOffset val="100"/>
        <c:noMultiLvlLbl val="0"/>
      </c:catAx>
      <c:valAx>
        <c:axId val="56505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chemeClr val="tx1"/>
                    </a:solidFill>
                  </a:rPr>
                  <a:t>Inflation Change</a:t>
                </a:r>
              </a:p>
            </c:rich>
          </c:tx>
          <c:layout>
            <c:manualLayout>
              <c:xMode val="edge"/>
              <c:yMode val="edge"/>
              <c:x val="1.257687346458463E-2"/>
              <c:y val="0.354512653888086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04670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73553341732990041"/>
          <c:y val="0.83835404988219997"/>
          <c:w val="0.24877386018045125"/>
          <c:h val="0.13058371922983183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2">
            <a:lumMod val="5000"/>
            <a:lumOff val="95000"/>
          </a:schemeClr>
        </a:gs>
        <a:gs pos="74000">
          <a:schemeClr val="accent2">
            <a:lumMod val="45000"/>
            <a:lumOff val="55000"/>
          </a:schemeClr>
        </a:gs>
        <a:gs pos="83000">
          <a:schemeClr val="accent2">
            <a:lumMod val="45000"/>
            <a:lumOff val="55000"/>
          </a:schemeClr>
        </a:gs>
        <a:gs pos="100000">
          <a:schemeClr val="accent2">
            <a:lumMod val="30000"/>
            <a:lumOff val="70000"/>
          </a:schemeClr>
        </a:gs>
      </a:gsLst>
      <a:lin ang="5400000" scaled="1"/>
    </a:gra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0" baseline="0">
                <a:solidFill>
                  <a:schemeClr val="tx1"/>
                </a:solidFill>
              </a:rPr>
              <a:t>2022 correlation: Crude oil v/s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67077769556649"/>
          <c:y val="0.15005893303064699"/>
          <c:w val="0.87070037670110412"/>
          <c:h val="0.72905879682179331"/>
        </c:manualLayout>
      </c:layout>
      <c:lineChart>
        <c:grouping val="standard"/>
        <c:varyColors val="0"/>
        <c:ser>
          <c:idx val="0"/>
          <c:order val="0"/>
          <c:tx>
            <c:strRef>
              <c:f>'Que 5'!$AK$4</c:f>
              <c:strCache>
                <c:ptCount val="1"/>
                <c:pt idx="0">
                  <c:v>Trend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'Que 5'!$AJ$5:$AJ$10</c:f>
              <c:strCache>
                <c:ptCount val="6"/>
                <c:pt idx="0">
                  <c:v>Food category </c:v>
                </c:pt>
                <c:pt idx="1">
                  <c:v>Luxury category </c:v>
                </c:pt>
                <c:pt idx="2">
                  <c:v>Clothing &amp; Footwear category </c:v>
                </c:pt>
                <c:pt idx="3">
                  <c:v>Essential Services category </c:v>
                </c:pt>
                <c:pt idx="4">
                  <c:v>Health Care category </c:v>
                </c:pt>
                <c:pt idx="5">
                  <c:v>Misc category </c:v>
                </c:pt>
              </c:strCache>
            </c:strRef>
          </c:cat>
          <c:val>
            <c:numRef>
              <c:f>'Que 5'!$AK$5:$AK$10</c:f>
              <c:numCache>
                <c:formatCode>0.00</c:formatCode>
                <c:ptCount val="6"/>
                <c:pt idx="0">
                  <c:v>0.14089691160602166</c:v>
                </c:pt>
                <c:pt idx="1">
                  <c:v>-2.3940857541530681E-2</c:v>
                </c:pt>
                <c:pt idx="2">
                  <c:v>-2.5691719534218047E-2</c:v>
                </c:pt>
                <c:pt idx="3">
                  <c:v>5.4971461470532439E-2</c:v>
                </c:pt>
                <c:pt idx="4">
                  <c:v>-1.2240036259486584E-2</c:v>
                </c:pt>
                <c:pt idx="5">
                  <c:v>6.8776143553416658E-2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3E-4EAF-9761-70E5AA741DA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30309583"/>
        <c:axId val="1218010336"/>
      </c:lineChart>
      <c:catAx>
        <c:axId val="8303095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>
                    <a:solidFill>
                      <a:schemeClr val="tx1"/>
                    </a:solidFill>
                  </a:rPr>
                  <a:t>Category</a:t>
                </a:r>
              </a:p>
            </c:rich>
          </c:tx>
          <c:layout>
            <c:manualLayout>
              <c:xMode val="edge"/>
              <c:yMode val="edge"/>
              <c:x val="0.50136541249109035"/>
              <c:y val="0.901869516453100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010336"/>
        <c:crosses val="autoZero"/>
        <c:auto val="1"/>
        <c:lblAlgn val="ctr"/>
        <c:lblOffset val="100"/>
        <c:noMultiLvlLbl val="0"/>
      </c:catAx>
      <c:valAx>
        <c:axId val="12180103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chemeClr val="tx1"/>
                    </a:solidFill>
                  </a:rPr>
                  <a:t>Correlation</a:t>
                </a:r>
              </a:p>
            </c:rich>
          </c:tx>
          <c:layout>
            <c:manualLayout>
              <c:xMode val="edge"/>
              <c:yMode val="edge"/>
              <c:x val="1.1792907441700817E-2"/>
              <c:y val="0.3471200908059024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309583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0" baseline="0">
                <a:solidFill>
                  <a:schemeClr val="tx1"/>
                </a:solidFill>
              </a:rPr>
              <a:t>2023 correlation: Crude oil v/s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'Que 5'!$AO$4</c:f>
              <c:strCache>
                <c:ptCount val="1"/>
                <c:pt idx="0">
                  <c:v>Trend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'Que 5'!$AN$5:$AN$10</c:f>
              <c:strCache>
                <c:ptCount val="6"/>
                <c:pt idx="0">
                  <c:v>Food category </c:v>
                </c:pt>
                <c:pt idx="1">
                  <c:v>Luxury category </c:v>
                </c:pt>
                <c:pt idx="2">
                  <c:v>Clothing &amp; Footwear category </c:v>
                </c:pt>
                <c:pt idx="3">
                  <c:v>Essential Services category </c:v>
                </c:pt>
                <c:pt idx="4">
                  <c:v>Health Care category </c:v>
                </c:pt>
                <c:pt idx="5">
                  <c:v>Misc category </c:v>
                </c:pt>
              </c:strCache>
            </c:strRef>
          </c:cat>
          <c:val>
            <c:numRef>
              <c:f>'Que 5'!$AO$5:$AO$10</c:f>
              <c:numCache>
                <c:formatCode>0.00</c:formatCode>
                <c:ptCount val="6"/>
                <c:pt idx="0">
                  <c:v>0.18885517070736255</c:v>
                </c:pt>
                <c:pt idx="1">
                  <c:v>-0.57986999684398921</c:v>
                </c:pt>
                <c:pt idx="2">
                  <c:v>-0.63716474088838859</c:v>
                </c:pt>
                <c:pt idx="3">
                  <c:v>-0.55254944971552067</c:v>
                </c:pt>
                <c:pt idx="4">
                  <c:v>-0.56040607466502357</c:v>
                </c:pt>
                <c:pt idx="5">
                  <c:v>-0.51526134813531577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33-4071-9A8F-4623D68C5CD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218004096"/>
        <c:axId val="1218014656"/>
      </c:lineChart>
      <c:catAx>
        <c:axId val="12180040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>
                    <a:solidFill>
                      <a:schemeClr val="tx1"/>
                    </a:solidFill>
                  </a:rPr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014656"/>
        <c:crosses val="autoZero"/>
        <c:auto val="1"/>
        <c:lblAlgn val="ctr"/>
        <c:lblOffset val="100"/>
        <c:noMultiLvlLbl val="0"/>
      </c:catAx>
      <c:valAx>
        <c:axId val="12180146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>
                    <a:solidFill>
                      <a:schemeClr val="tx1"/>
                    </a:solidFill>
                  </a:rPr>
                  <a:t>Correlation</a:t>
                </a:r>
              </a:p>
            </c:rich>
          </c:tx>
          <c:layout>
            <c:manualLayout>
              <c:xMode val="edge"/>
              <c:yMode val="edge"/>
              <c:x val="2.04440413587786E-2"/>
              <c:y val="0.384550099548422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004096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</a:rPr>
              <a:t>2021 correlation: Crude oil v/s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539370302558194"/>
          <c:y val="0.15176258780061413"/>
          <c:w val="0.87331430110357167"/>
          <c:h val="0.57842701119931939"/>
        </c:manualLayout>
      </c:layout>
      <c:lineChart>
        <c:grouping val="standard"/>
        <c:varyColors val="0"/>
        <c:ser>
          <c:idx val="0"/>
          <c:order val="0"/>
          <c:tx>
            <c:strRef>
              <c:f>'Que 5'!$AE$4</c:f>
              <c:strCache>
                <c:ptCount val="1"/>
                <c:pt idx="0">
                  <c:v>Trend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'Que 5'!$AD$5:$AD$10</c:f>
              <c:strCache>
                <c:ptCount val="6"/>
                <c:pt idx="0">
                  <c:v>Food category </c:v>
                </c:pt>
                <c:pt idx="1">
                  <c:v>Luxury category </c:v>
                </c:pt>
                <c:pt idx="2">
                  <c:v>Clothing &amp; Footwear category </c:v>
                </c:pt>
                <c:pt idx="3">
                  <c:v>Essential Services category </c:v>
                </c:pt>
                <c:pt idx="4">
                  <c:v>Health Care category </c:v>
                </c:pt>
                <c:pt idx="5">
                  <c:v>Misc category </c:v>
                </c:pt>
              </c:strCache>
            </c:strRef>
          </c:cat>
          <c:val>
            <c:numRef>
              <c:f>'Que 5'!$AE$5:$AE$10</c:f>
              <c:numCache>
                <c:formatCode>0.00</c:formatCode>
                <c:ptCount val="6"/>
                <c:pt idx="0">
                  <c:v>0.79981778286043637</c:v>
                </c:pt>
                <c:pt idx="1">
                  <c:v>0.83332337245700427</c:v>
                </c:pt>
                <c:pt idx="2">
                  <c:v>0.87891865111562262</c:v>
                </c:pt>
                <c:pt idx="3">
                  <c:v>0.83431234176862867</c:v>
                </c:pt>
                <c:pt idx="4">
                  <c:v>0.81406057572357171</c:v>
                </c:pt>
                <c:pt idx="5">
                  <c:v>0.85147707447687393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F1-4BC3-8CB5-11464B6E475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10558271"/>
        <c:axId val="410560671"/>
      </c:lineChart>
      <c:catAx>
        <c:axId val="4105582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>
                    <a:solidFill>
                      <a:schemeClr val="tx1"/>
                    </a:solidFill>
                  </a:rPr>
                  <a:t>Category</a:t>
                </a:r>
              </a:p>
            </c:rich>
          </c:tx>
          <c:layout>
            <c:manualLayout>
              <c:xMode val="edge"/>
              <c:yMode val="edge"/>
              <c:x val="0.49874009639940381"/>
              <c:y val="0.90057967868479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560671"/>
        <c:crosses val="autoZero"/>
        <c:auto val="1"/>
        <c:lblAlgn val="ctr"/>
        <c:lblOffset val="100"/>
        <c:noMultiLvlLbl val="0"/>
      </c:catAx>
      <c:valAx>
        <c:axId val="4105606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chemeClr val="tx1"/>
                    </a:solidFill>
                  </a:rPr>
                  <a:t>Correlation</a:t>
                </a:r>
              </a:p>
            </c:rich>
          </c:tx>
          <c:layout>
            <c:manualLayout>
              <c:xMode val="edge"/>
              <c:yMode val="edge"/>
              <c:x val="1.4759161284511888E-2"/>
              <c:y val="0.335647691806750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558271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.xml"/><Relationship Id="rId13" Type="http://schemas.openxmlformats.org/officeDocument/2006/relationships/chart" Target="../charts/chart17.xml"/><Relationship Id="rId3" Type="http://schemas.openxmlformats.org/officeDocument/2006/relationships/chart" Target="../charts/chart11.xml"/><Relationship Id="rId7" Type="http://schemas.openxmlformats.org/officeDocument/2006/relationships/image" Target="../media/image4.emf"/><Relationship Id="rId12" Type="http://schemas.openxmlformats.org/officeDocument/2006/relationships/chart" Target="../charts/chart16.xml"/><Relationship Id="rId2" Type="http://schemas.openxmlformats.org/officeDocument/2006/relationships/image" Target="../media/image1.emf"/><Relationship Id="rId16" Type="http://schemas.openxmlformats.org/officeDocument/2006/relationships/image" Target="../media/image8.emf"/><Relationship Id="rId1" Type="http://schemas.openxmlformats.org/officeDocument/2006/relationships/chart" Target="../charts/chart10.xml"/><Relationship Id="rId6" Type="http://schemas.openxmlformats.org/officeDocument/2006/relationships/image" Target="../media/image3.emf"/><Relationship Id="rId11" Type="http://schemas.openxmlformats.org/officeDocument/2006/relationships/chart" Target="../charts/chart15.xml"/><Relationship Id="rId5" Type="http://schemas.openxmlformats.org/officeDocument/2006/relationships/chart" Target="../charts/chart12.xml"/><Relationship Id="rId15" Type="http://schemas.openxmlformats.org/officeDocument/2006/relationships/image" Target="../media/image7.emf"/><Relationship Id="rId10" Type="http://schemas.openxmlformats.org/officeDocument/2006/relationships/chart" Target="../charts/chart14.xml"/><Relationship Id="rId4" Type="http://schemas.openxmlformats.org/officeDocument/2006/relationships/image" Target="../media/image2.emf"/><Relationship Id="rId9" Type="http://schemas.openxmlformats.org/officeDocument/2006/relationships/image" Target="../media/image5.emf"/><Relationship Id="rId14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</xdr:colOff>
      <xdr:row>11</xdr:row>
      <xdr:rowOff>115585</xdr:rowOff>
    </xdr:from>
    <xdr:to>
      <xdr:col>13</xdr:col>
      <xdr:colOff>201284</xdr:colOff>
      <xdr:row>38</xdr:row>
      <xdr:rowOff>28755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B142F2A-FE91-47B1-8D47-26DAB16070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586371</xdr:colOff>
      <xdr:row>12</xdr:row>
      <xdr:rowOff>116802</xdr:rowOff>
    </xdr:from>
    <xdr:to>
      <xdr:col>20</xdr:col>
      <xdr:colOff>109294</xdr:colOff>
      <xdr:row>28</xdr:row>
      <xdr:rowOff>134814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2BFBF5-324A-E7BF-6748-D08B6A1B1C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278781</xdr:colOff>
      <xdr:row>40</xdr:row>
      <xdr:rowOff>101290</xdr:rowOff>
    </xdr:from>
    <xdr:to>
      <xdr:col>30</xdr:col>
      <xdr:colOff>594732</xdr:colOff>
      <xdr:row>62</xdr:row>
      <xdr:rowOff>102219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B84CD2-21BA-1420-DC8A-1488347F87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0</xdr:colOff>
      <xdr:row>23</xdr:row>
      <xdr:rowOff>0</xdr:rowOff>
    </xdr:from>
    <xdr:to>
      <xdr:col>51</xdr:col>
      <xdr:colOff>492512</xdr:colOff>
      <xdr:row>38</xdr:row>
      <xdr:rowOff>53789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19020E6-36E7-4865-B641-8643F8FDAE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61</xdr:col>
      <xdr:colOff>1335463</xdr:colOff>
      <xdr:row>16</xdr:row>
      <xdr:rowOff>180679</xdr:rowOff>
    </xdr:from>
    <xdr:to>
      <xdr:col>75</xdr:col>
      <xdr:colOff>612741</xdr:colOff>
      <xdr:row>43</xdr:row>
      <xdr:rowOff>180679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AB49002-ED10-4387-AB40-50C366E435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587012</xdr:colOff>
      <xdr:row>10</xdr:row>
      <xdr:rowOff>156045</xdr:rowOff>
    </xdr:from>
    <xdr:to>
      <xdr:col>32</xdr:col>
      <xdr:colOff>694765</xdr:colOff>
      <xdr:row>24</xdr:row>
      <xdr:rowOff>221379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3C584E2-A4CD-34AB-0A48-285D71B93A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1486400</xdr:colOff>
      <xdr:row>11</xdr:row>
      <xdr:rowOff>3236</xdr:rowOff>
    </xdr:from>
    <xdr:to>
      <xdr:col>38</xdr:col>
      <xdr:colOff>952500</xdr:colOff>
      <xdr:row>25</xdr:row>
      <xdr:rowOff>59016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8BCD4EF-FD90-7D5F-41B8-D1F78D3703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38</xdr:col>
      <xdr:colOff>2032000</xdr:colOff>
      <xdr:row>10</xdr:row>
      <xdr:rowOff>152400</xdr:rowOff>
    </xdr:from>
    <xdr:to>
      <xdr:col>41</xdr:col>
      <xdr:colOff>1499810</xdr:colOff>
      <xdr:row>24</xdr:row>
      <xdr:rowOff>212877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3337696-AC82-A8E2-B419-29AED57F26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600502</xdr:colOff>
      <xdr:row>31</xdr:row>
      <xdr:rowOff>180117</xdr:rowOff>
    </xdr:from>
    <xdr:to>
      <xdr:col>25</xdr:col>
      <xdr:colOff>1027112</xdr:colOff>
      <xdr:row>57</xdr:row>
      <xdr:rowOff>90984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6A811BF-23A6-4A11-AB77-4F97B4C2CA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9</xdr:row>
      <xdr:rowOff>0</xdr:rowOff>
    </xdr:from>
    <xdr:to>
      <xdr:col>31</xdr:col>
      <xdr:colOff>49968</xdr:colOff>
      <xdr:row>62</xdr:row>
      <xdr:rowOff>4931</xdr:rowOff>
    </xdr:to>
    <xdr:sp macro="" textlink="">
      <xdr:nvSpPr>
        <xdr:cNvPr id="6157" name="Rectangle 6156">
          <a:extLst>
            <a:ext uri="{FF2B5EF4-FFF2-40B4-BE49-F238E27FC236}">
              <a16:creationId xmlns:a16="http://schemas.microsoft.com/office/drawing/2014/main" id="{5D66B112-6175-4F64-9303-1F5F97317892}"/>
            </a:ext>
          </a:extLst>
        </xdr:cNvPr>
        <xdr:cNvSpPr/>
      </xdr:nvSpPr>
      <xdr:spPr>
        <a:xfrm>
          <a:off x="3048000" y="1676400"/>
          <a:ext cx="15899568" cy="9877064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199868</xdr:colOff>
      <xdr:row>9</xdr:row>
      <xdr:rowOff>75852</xdr:rowOff>
    </xdr:from>
    <xdr:to>
      <xdr:col>30</xdr:col>
      <xdr:colOff>503694</xdr:colOff>
      <xdr:row>13</xdr:row>
      <xdr:rowOff>175136</xdr:rowOff>
    </xdr:to>
    <xdr:sp macro="" textlink="">
      <xdr:nvSpPr>
        <xdr:cNvPr id="6158" name="Rectangle: Rounded Corners 6157">
          <a:extLst>
            <a:ext uri="{FF2B5EF4-FFF2-40B4-BE49-F238E27FC236}">
              <a16:creationId xmlns:a16="http://schemas.microsoft.com/office/drawing/2014/main" id="{00557DC0-9E55-4D78-B31F-CFEB0D40D272}"/>
            </a:ext>
          </a:extLst>
        </xdr:cNvPr>
        <xdr:cNvSpPr/>
      </xdr:nvSpPr>
      <xdr:spPr>
        <a:xfrm>
          <a:off x="3234953" y="1703174"/>
          <a:ext cx="15479249" cy="822538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600" b="1">
              <a:solidFill>
                <a:schemeClr val="tx1"/>
              </a:solidFill>
            </a:rPr>
            <a:t>1) </a:t>
          </a:r>
          <a:r>
            <a:rPr lang="en-IN" sz="36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Highest CPI Contribution Analysis</a:t>
          </a:r>
          <a:r>
            <a:rPr lang="en-IN" sz="36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36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Of Latest Month</a:t>
          </a:r>
          <a:r>
            <a:rPr lang="en-IN" sz="36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(May'23)</a:t>
          </a:r>
          <a:endParaRPr lang="en-IN" sz="3600" b="1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328756</xdr:colOff>
      <xdr:row>14</xdr:row>
      <xdr:rowOff>66280</xdr:rowOff>
    </xdr:from>
    <xdr:to>
      <xdr:col>30</xdr:col>
      <xdr:colOff>477865</xdr:colOff>
      <xdr:row>46</xdr:row>
      <xdr:rowOff>54898</xdr:rowOff>
    </xdr:to>
    <xdr:graphicFrame macro="">
      <xdr:nvGraphicFramePr>
        <xdr:cNvPr id="6159" name="Chart 6158">
          <a:extLst>
            <a:ext uri="{FF2B5EF4-FFF2-40B4-BE49-F238E27FC236}">
              <a16:creationId xmlns:a16="http://schemas.microsoft.com/office/drawing/2014/main" id="{4DC3DBD9-77FB-433B-BB16-2D0EC7821C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195557</xdr:colOff>
      <xdr:row>36</xdr:row>
      <xdr:rowOff>46396</xdr:rowOff>
    </xdr:from>
    <xdr:to>
      <xdr:col>14</xdr:col>
      <xdr:colOff>174886</xdr:colOff>
      <xdr:row>60</xdr:row>
      <xdr:rowOff>140986</xdr:rowOff>
    </xdr:to>
    <xdr:sp macro="" textlink="">
      <xdr:nvSpPr>
        <xdr:cNvPr id="6160" name="Rectangle 6159">
          <a:extLst>
            <a:ext uri="{FF2B5EF4-FFF2-40B4-BE49-F238E27FC236}">
              <a16:creationId xmlns:a16="http://schemas.microsoft.com/office/drawing/2014/main" id="{11E4FD62-5FE5-4038-A0BE-7A564AD04CF8}"/>
            </a:ext>
          </a:extLst>
        </xdr:cNvPr>
        <xdr:cNvSpPr/>
      </xdr:nvSpPr>
      <xdr:spPr>
        <a:xfrm>
          <a:off x="3243557" y="6751996"/>
          <a:ext cx="5465729" cy="456499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100">
              <a:solidFill>
                <a:schemeClr val="tx1"/>
              </a:solidFill>
            </a:rPr>
            <a:t>Based on the latest month's (May'23) data, the </a:t>
          </a:r>
          <a:r>
            <a:rPr lang="en-IN" sz="3100" b="1">
              <a:solidFill>
                <a:schemeClr val="tx1"/>
              </a:solidFill>
            </a:rPr>
            <a:t>"Food Category" </a:t>
          </a:r>
          <a:r>
            <a:rPr lang="en-IN" sz="3100">
              <a:solidFill>
                <a:schemeClr val="tx1"/>
              </a:solidFill>
            </a:rPr>
            <a:t>has the </a:t>
          </a:r>
          <a:r>
            <a:rPr lang="en-IN" sz="3100" u="sng">
              <a:solidFill>
                <a:schemeClr val="tx1"/>
              </a:solidFill>
            </a:rPr>
            <a:t>highest contribution </a:t>
          </a:r>
          <a:r>
            <a:rPr lang="en-IN" sz="3100">
              <a:solidFill>
                <a:schemeClr val="tx1"/>
              </a:solidFill>
            </a:rPr>
            <a:t>towards CPI calculation which is </a:t>
          </a:r>
          <a:r>
            <a:rPr lang="en-IN" sz="3100" b="1" i="1">
              <a:solidFill>
                <a:schemeClr val="tx1"/>
              </a:solidFill>
            </a:rPr>
            <a:t>44% </a:t>
          </a:r>
          <a:r>
            <a:rPr lang="en-IN" sz="3100">
              <a:solidFill>
                <a:schemeClr val="tx1"/>
              </a:solidFill>
            </a:rPr>
            <a:t>overall.</a:t>
          </a:r>
        </a:p>
      </xdr:txBody>
    </xdr:sp>
    <xdr:clientData/>
  </xdr:twoCellAnchor>
  <xdr:twoCellAnchor>
    <xdr:from>
      <xdr:col>14</xdr:col>
      <xdr:colOff>332966</xdr:colOff>
      <xdr:row>47</xdr:row>
      <xdr:rowOff>57102</xdr:rowOff>
    </xdr:from>
    <xdr:to>
      <xdr:col>30</xdr:col>
      <xdr:colOff>477865</xdr:colOff>
      <xdr:row>60</xdr:row>
      <xdr:rowOff>151518</xdr:rowOff>
    </xdr:to>
    <xdr:sp macro="" textlink="">
      <xdr:nvSpPr>
        <xdr:cNvPr id="6161" name="Rectangle 6160">
          <a:extLst>
            <a:ext uri="{FF2B5EF4-FFF2-40B4-BE49-F238E27FC236}">
              <a16:creationId xmlns:a16="http://schemas.microsoft.com/office/drawing/2014/main" id="{1FE78EDF-4735-4C9B-8049-14E989921776}"/>
            </a:ext>
          </a:extLst>
        </xdr:cNvPr>
        <xdr:cNvSpPr/>
      </xdr:nvSpPr>
      <xdr:spPr>
        <a:xfrm>
          <a:off x="8831203" y="8555339"/>
          <a:ext cx="9857170" cy="244499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800" u="sng">
              <a:solidFill>
                <a:schemeClr val="tx1"/>
              </a:solidFill>
            </a:rPr>
            <a:t>Food (44%)</a:t>
          </a:r>
          <a:r>
            <a:rPr lang="en-IN" sz="2800" u="none">
              <a:solidFill>
                <a:schemeClr val="tx1"/>
              </a:solidFill>
            </a:rPr>
            <a:t> </a:t>
          </a:r>
          <a:r>
            <a:rPr lang="en-IN" sz="2800">
              <a:solidFill>
                <a:schemeClr val="tx1"/>
              </a:solidFill>
            </a:rPr>
            <a:t>and </a:t>
          </a:r>
          <a:r>
            <a:rPr lang="en-IN" sz="2800" u="sng">
              <a:solidFill>
                <a:schemeClr val="tx1"/>
              </a:solidFill>
            </a:rPr>
            <a:t>Essential Services (18%)</a:t>
          </a:r>
          <a:r>
            <a:rPr lang="en-IN" sz="2800" u="none">
              <a:solidFill>
                <a:schemeClr val="tx1"/>
              </a:solidFill>
            </a:rPr>
            <a:t> </a:t>
          </a:r>
          <a:r>
            <a:rPr lang="en-IN" sz="2800">
              <a:solidFill>
                <a:schemeClr val="tx1"/>
              </a:solidFill>
            </a:rPr>
            <a:t>together contribute over </a:t>
          </a:r>
          <a:r>
            <a:rPr lang="en-IN" sz="2800" i="1">
              <a:solidFill>
                <a:schemeClr val="tx1"/>
              </a:solidFill>
            </a:rPr>
            <a:t>60% </a:t>
          </a:r>
          <a:r>
            <a:rPr lang="en-IN" sz="2800">
              <a:solidFill>
                <a:schemeClr val="tx1"/>
              </a:solidFill>
            </a:rPr>
            <a:t>of the CPI weight for May ’23, indicating that inflation is predominantly driven by essential consumption categories.</a:t>
          </a:r>
          <a:endParaRPr lang="en-IN" sz="26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5</xdr:col>
      <xdr:colOff>206747</xdr:colOff>
      <xdr:row>14</xdr:row>
      <xdr:rowOff>91966</xdr:rowOff>
    </xdr:from>
    <xdr:to>
      <xdr:col>14</xdr:col>
      <xdr:colOff>129689</xdr:colOff>
      <xdr:row>35</xdr:row>
      <xdr:rowOff>109090</xdr:rowOff>
    </xdr:to>
    <xdr:pic>
      <xdr:nvPicPr>
        <xdr:cNvPr id="6162" name="Picture 6161">
          <a:extLst>
            <a:ext uri="{FF2B5EF4-FFF2-40B4-BE49-F238E27FC236}">
              <a16:creationId xmlns:a16="http://schemas.microsoft.com/office/drawing/2014/main" id="{485291C0-D44B-4C8B-BC54-A3572DEB8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4747" y="2699699"/>
          <a:ext cx="5409342" cy="39287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87</xdr:row>
      <xdr:rowOff>0</xdr:rowOff>
    </xdr:from>
    <xdr:to>
      <xdr:col>31</xdr:col>
      <xdr:colOff>45720</xdr:colOff>
      <xdr:row>141</xdr:row>
      <xdr:rowOff>167898</xdr:rowOff>
    </xdr:to>
    <xdr:sp macro="" textlink="">
      <xdr:nvSpPr>
        <xdr:cNvPr id="6163" name="Rectangle 6162">
          <a:extLst>
            <a:ext uri="{FF2B5EF4-FFF2-40B4-BE49-F238E27FC236}">
              <a16:creationId xmlns:a16="http://schemas.microsoft.com/office/drawing/2014/main" id="{56E9C18A-CBAE-4745-AD0A-B7B59AF0D634}"/>
            </a:ext>
          </a:extLst>
        </xdr:cNvPr>
        <xdr:cNvSpPr/>
      </xdr:nvSpPr>
      <xdr:spPr>
        <a:xfrm>
          <a:off x="3035085" y="15730780"/>
          <a:ext cx="15828160" cy="993183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152876</xdr:colOff>
      <xdr:row>87</xdr:row>
      <xdr:rowOff>95250</xdr:rowOff>
    </xdr:from>
    <xdr:to>
      <xdr:col>30</xdr:col>
      <xdr:colOff>539393</xdr:colOff>
      <xdr:row>91</xdr:row>
      <xdr:rowOff>170793</xdr:rowOff>
    </xdr:to>
    <xdr:sp macro="" textlink="">
      <xdr:nvSpPr>
        <xdr:cNvPr id="6164" name="Rectangle: Rounded Corners 6163">
          <a:extLst>
            <a:ext uri="{FF2B5EF4-FFF2-40B4-BE49-F238E27FC236}">
              <a16:creationId xmlns:a16="http://schemas.microsoft.com/office/drawing/2014/main" id="{7482F8F2-71B8-45C7-9663-D40AA2182313}"/>
            </a:ext>
          </a:extLst>
        </xdr:cNvPr>
        <xdr:cNvSpPr/>
      </xdr:nvSpPr>
      <xdr:spPr>
        <a:xfrm>
          <a:off x="3192314" y="15737654"/>
          <a:ext cx="15583708" cy="794735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600" b="1">
              <a:solidFill>
                <a:schemeClr val="tx1"/>
              </a:solidFill>
            </a:rPr>
            <a:t>2) </a:t>
          </a:r>
          <a:r>
            <a:rPr lang="en-IN" sz="36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Yearly</a:t>
          </a:r>
          <a:r>
            <a:rPr lang="en-IN" sz="36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CPI growth analysis post year 2017 : Rural + Urban</a:t>
          </a:r>
          <a:endParaRPr lang="en-IN" sz="3600" b="1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197304</xdr:colOff>
      <xdr:row>92</xdr:row>
      <xdr:rowOff>47754</xdr:rowOff>
    </xdr:from>
    <xdr:to>
      <xdr:col>17</xdr:col>
      <xdr:colOff>35348</xdr:colOff>
      <xdr:row>110</xdr:row>
      <xdr:rowOff>142875</xdr:rowOff>
    </xdr:to>
    <xdr:sp macro="" textlink="">
      <xdr:nvSpPr>
        <xdr:cNvPr id="6165" name="Rectangle 6164">
          <a:extLst>
            <a:ext uri="{FF2B5EF4-FFF2-40B4-BE49-F238E27FC236}">
              <a16:creationId xmlns:a16="http://schemas.microsoft.com/office/drawing/2014/main" id="{971FDBD5-04D2-4B0D-81F6-98423D2584CC}"/>
            </a:ext>
          </a:extLst>
        </xdr:cNvPr>
        <xdr:cNvSpPr/>
      </xdr:nvSpPr>
      <xdr:spPr>
        <a:xfrm>
          <a:off x="3258911" y="16947825"/>
          <a:ext cx="7185901" cy="340165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600">
              <a:solidFill>
                <a:schemeClr val="tx1"/>
              </a:solidFill>
            </a:rPr>
            <a:t>By analysing the Year-on-Year CPI (Rural + Urban) trend from 2017 onward, the </a:t>
          </a:r>
          <a:r>
            <a:rPr lang="en-IN" sz="2600" u="sng">
              <a:solidFill>
                <a:schemeClr val="tx1"/>
              </a:solidFill>
            </a:rPr>
            <a:t>highest inflation surge </a:t>
          </a:r>
          <a:r>
            <a:rPr lang="en-IN" sz="2600">
              <a:solidFill>
                <a:schemeClr val="tx1"/>
              </a:solidFill>
            </a:rPr>
            <a:t>occurred during '</a:t>
          </a:r>
          <a:r>
            <a:rPr lang="en-IN" sz="2600" b="1">
              <a:solidFill>
                <a:schemeClr val="tx1"/>
              </a:solidFill>
            </a:rPr>
            <a:t>2019–2020'</a:t>
          </a:r>
          <a:r>
            <a:rPr lang="en-IN" sz="2600">
              <a:solidFill>
                <a:schemeClr val="tx1"/>
              </a:solidFill>
            </a:rPr>
            <a:t>, with a YoY increase of '</a:t>
          </a:r>
          <a:r>
            <a:rPr lang="en-IN" sz="2600" b="1" i="1">
              <a:solidFill>
                <a:schemeClr val="tx1"/>
              </a:solidFill>
            </a:rPr>
            <a:t>16.3%'</a:t>
          </a:r>
          <a:r>
            <a:rPr lang="en-IN" sz="2600">
              <a:solidFill>
                <a:schemeClr val="tx1"/>
              </a:solidFill>
            </a:rPr>
            <a:t>. This year stands out sharply against the surrounding years, indicating a significant disruption in price stability.</a:t>
          </a:r>
        </a:p>
      </xdr:txBody>
    </xdr:sp>
    <xdr:clientData/>
  </xdr:twoCellAnchor>
  <xdr:twoCellAnchor>
    <xdr:from>
      <xdr:col>14</xdr:col>
      <xdr:colOff>66129</xdr:colOff>
      <xdr:row>111</xdr:row>
      <xdr:rowOff>62566</xdr:rowOff>
    </xdr:from>
    <xdr:to>
      <xdr:col>30</xdr:col>
      <xdr:colOff>479461</xdr:colOff>
      <xdr:row>141</xdr:row>
      <xdr:rowOff>83343</xdr:rowOff>
    </xdr:to>
    <xdr:sp macro="" textlink="">
      <xdr:nvSpPr>
        <xdr:cNvPr id="6166" name="Rectangle 6165">
          <a:extLst>
            <a:ext uri="{FF2B5EF4-FFF2-40B4-BE49-F238E27FC236}">
              <a16:creationId xmlns:a16="http://schemas.microsoft.com/office/drawing/2014/main" id="{C5D6BADF-C62A-4BCB-B71D-0EC73167A2D7}"/>
            </a:ext>
          </a:extLst>
        </xdr:cNvPr>
        <xdr:cNvSpPr/>
      </xdr:nvSpPr>
      <xdr:spPr>
        <a:xfrm>
          <a:off x="8576556" y="20020117"/>
          <a:ext cx="10139534" cy="5414709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26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Key reasons behind the spike: -</a:t>
          </a:r>
        </a:p>
        <a:p>
          <a:pPr marL="342900" lvl="0" indent="-342900">
            <a:buFont typeface="Arial" panose="020B0604020202020204" pitchFamily="34" charset="0"/>
            <a:buChar char="•"/>
          </a:pPr>
          <a:r>
            <a:rPr lang="en-IN" sz="2600" i="0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Sharp rise in food inflation </a:t>
          </a:r>
          <a:r>
            <a:rPr lang="en-IN" sz="260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Irregular monsoon &amp; crop damage pushed vegetable, pulses, and cereal prices higher.</a:t>
          </a:r>
        </a:p>
        <a:p>
          <a:pPr marL="342900" lvl="0" indent="-342900">
            <a:buFont typeface="Arial" panose="020B0604020202020204" pitchFamily="34" charset="0"/>
            <a:buChar char="•"/>
          </a:pPr>
          <a:r>
            <a:rPr lang="en-IN" sz="2600" i="0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Rupee depreciation </a:t>
          </a:r>
          <a:r>
            <a:rPr lang="en-IN" sz="260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Imports became costlier as Rupee drops roughly from ₹70 to ₹76, ('8.6%' weakening)</a:t>
          </a:r>
        </a:p>
        <a:p>
          <a:pPr marL="342900" lvl="0" indent="-342900">
            <a:buFont typeface="Arial" panose="020B0604020202020204" pitchFamily="34" charset="0"/>
            <a:buChar char="•"/>
          </a:pPr>
          <a:r>
            <a:rPr lang="en-IN" sz="2600" i="0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Crude oil &amp; fuel impact </a:t>
          </a:r>
          <a:r>
            <a:rPr lang="en-IN" sz="260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Global crude softened (from</a:t>
          </a:r>
          <a:r>
            <a:rPr lang="en-IN" sz="26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260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69.9$ to 60.5$ per barrel, i.e '-13.4%' change) but India didn’t benefit due to fuel taxes and currency effect (domestic fuel prices remained elevated)</a:t>
          </a:r>
        </a:p>
        <a:p>
          <a:pPr marL="342900" lvl="0" indent="-342900">
            <a:buFont typeface="Arial" panose="020B0604020202020204" pitchFamily="34" charset="0"/>
            <a:buChar char="•"/>
          </a:pPr>
          <a:r>
            <a:rPr lang="en-IN" sz="2600" i="0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Higher logistics &amp; distribution costs </a:t>
          </a:r>
          <a:r>
            <a:rPr lang="en-IN" sz="260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Transport and supply chain pressure inflated final consumer prices (retail categories saw 6-8% YoY price rise)</a:t>
          </a:r>
        </a:p>
        <a:p>
          <a:pPr marL="342900" lvl="0" indent="-342900">
            <a:buFont typeface="Arial" panose="020B0604020202020204" pitchFamily="34" charset="0"/>
            <a:buChar char="•"/>
          </a:pPr>
          <a:r>
            <a:rPr lang="en-IN" sz="260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Toward late 2019, early global COVID news added uncertainty, which later intensified inflationary pressures in 2020</a:t>
          </a:r>
        </a:p>
        <a:p>
          <a:pPr algn="l"/>
          <a:endParaRPr lang="en-IN" sz="2600" i="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179866</xdr:colOff>
      <xdr:row>92</xdr:row>
      <xdr:rowOff>50042</xdr:rowOff>
    </xdr:from>
    <xdr:to>
      <xdr:col>30</xdr:col>
      <xdr:colOff>488023</xdr:colOff>
      <xdr:row>110</xdr:row>
      <xdr:rowOff>142875</xdr:rowOff>
    </xdr:to>
    <xdr:graphicFrame macro="">
      <xdr:nvGraphicFramePr>
        <xdr:cNvPr id="6167" name="Chart 6166">
          <a:extLst>
            <a:ext uri="{FF2B5EF4-FFF2-40B4-BE49-F238E27FC236}">
              <a16:creationId xmlns:a16="http://schemas.microsoft.com/office/drawing/2014/main" id="{68A8054A-9056-4535-9972-14172AC8D8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188129</xdr:colOff>
      <xdr:row>111</xdr:row>
      <xdr:rowOff>76201</xdr:rowOff>
    </xdr:from>
    <xdr:to>
      <xdr:col>13</xdr:col>
      <xdr:colOff>546962</xdr:colOff>
      <xdr:row>141</xdr:row>
      <xdr:rowOff>60961</xdr:rowOff>
    </xdr:to>
    <xdr:pic>
      <xdr:nvPicPr>
        <xdr:cNvPr id="6168" name="Picture 6167">
          <a:extLst>
            <a:ext uri="{FF2B5EF4-FFF2-40B4-BE49-F238E27FC236}">
              <a16:creationId xmlns:a16="http://schemas.microsoft.com/office/drawing/2014/main" id="{D9B557AA-9059-4DF3-B810-5D7891AF1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5536" y="19916423"/>
          <a:ext cx="5250685" cy="53469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163</xdr:row>
      <xdr:rowOff>0</xdr:rowOff>
    </xdr:from>
    <xdr:to>
      <xdr:col>30</xdr:col>
      <xdr:colOff>602301</xdr:colOff>
      <xdr:row>217</xdr:row>
      <xdr:rowOff>153475</xdr:rowOff>
    </xdr:to>
    <xdr:sp macro="" textlink="">
      <xdr:nvSpPr>
        <xdr:cNvPr id="6176" name="Rectangle 6175">
          <a:extLst>
            <a:ext uri="{FF2B5EF4-FFF2-40B4-BE49-F238E27FC236}">
              <a16:creationId xmlns:a16="http://schemas.microsoft.com/office/drawing/2014/main" id="{BD6475B2-BD15-4BFC-931F-3754C95E7A71}"/>
            </a:ext>
          </a:extLst>
        </xdr:cNvPr>
        <xdr:cNvSpPr/>
      </xdr:nvSpPr>
      <xdr:spPr>
        <a:xfrm>
          <a:off x="3067792" y="27966390"/>
          <a:ext cx="15941262" cy="9772488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154781</xdr:colOff>
      <xdr:row>163</xdr:row>
      <xdr:rowOff>133350</xdr:rowOff>
    </xdr:from>
    <xdr:to>
      <xdr:col>30</xdr:col>
      <xdr:colOff>496957</xdr:colOff>
      <xdr:row>168</xdr:row>
      <xdr:rowOff>43330</xdr:rowOff>
    </xdr:to>
    <xdr:sp macro="" textlink="">
      <xdr:nvSpPr>
        <xdr:cNvPr id="6177" name="Rectangle: Rounded Corners 6176">
          <a:extLst>
            <a:ext uri="{FF2B5EF4-FFF2-40B4-BE49-F238E27FC236}">
              <a16:creationId xmlns:a16="http://schemas.microsoft.com/office/drawing/2014/main" id="{53E77151-D08F-46D0-A448-0A9561EF83D3}"/>
            </a:ext>
          </a:extLst>
        </xdr:cNvPr>
        <xdr:cNvSpPr/>
      </xdr:nvSpPr>
      <xdr:spPr>
        <a:xfrm>
          <a:off x="3191738" y="30734828"/>
          <a:ext cx="15526958" cy="848676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6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3) Highest inflation for 12 months ending May’23  for Food</a:t>
          </a:r>
          <a:r>
            <a:rPr lang="en-IN" sz="36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Category</a:t>
          </a:r>
          <a:endParaRPr lang="en-IN" sz="7200" b="1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5</xdr:col>
      <xdr:colOff>140310</xdr:colOff>
      <xdr:row>192</xdr:row>
      <xdr:rowOff>164764</xdr:rowOff>
    </xdr:from>
    <xdr:to>
      <xdr:col>21</xdr:col>
      <xdr:colOff>221988</xdr:colOff>
      <xdr:row>217</xdr:row>
      <xdr:rowOff>57264</xdr:rowOff>
    </xdr:to>
    <xdr:graphicFrame macro="">
      <xdr:nvGraphicFramePr>
        <xdr:cNvPr id="6178" name="Chart 6177">
          <a:extLst>
            <a:ext uri="{FF2B5EF4-FFF2-40B4-BE49-F238E27FC236}">
              <a16:creationId xmlns:a16="http://schemas.microsoft.com/office/drawing/2014/main" id="{BA94ECD7-95FC-4C6D-B211-F9827F1968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450287</xdr:colOff>
      <xdr:row>168</xdr:row>
      <xdr:rowOff>154609</xdr:rowOff>
    </xdr:from>
    <xdr:to>
      <xdr:col>30</xdr:col>
      <xdr:colOff>463826</xdr:colOff>
      <xdr:row>192</xdr:row>
      <xdr:rowOff>52417</xdr:rowOff>
    </xdr:to>
    <xdr:sp macro="" textlink="">
      <xdr:nvSpPr>
        <xdr:cNvPr id="6179" name="Rectangle 6178">
          <a:extLst>
            <a:ext uri="{FF2B5EF4-FFF2-40B4-BE49-F238E27FC236}">
              <a16:creationId xmlns:a16="http://schemas.microsoft.com/office/drawing/2014/main" id="{88494E4F-6170-4BB7-8511-8A5DB956B408}"/>
            </a:ext>
          </a:extLst>
        </xdr:cNvPr>
        <xdr:cNvSpPr/>
      </xdr:nvSpPr>
      <xdr:spPr>
        <a:xfrm>
          <a:off x="7738983" y="31694783"/>
          <a:ext cx="10946582" cy="440354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600">
              <a:solidFill>
                <a:schemeClr val="tx1"/>
              </a:solidFill>
            </a:rPr>
            <a:t>As</a:t>
          </a:r>
          <a:r>
            <a:rPr lang="en-IN" sz="2600" baseline="0">
              <a:solidFill>
                <a:schemeClr val="tx1"/>
              </a:solidFill>
            </a:rPr>
            <a:t> per </a:t>
          </a:r>
          <a:r>
            <a:rPr lang="en-IN" sz="2600" b="1" baseline="0">
              <a:solidFill>
                <a:schemeClr val="tx1"/>
              </a:solidFill>
            </a:rPr>
            <a:t>M-o-M% change for </a:t>
          </a:r>
          <a:r>
            <a:rPr lang="en-IN" sz="26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period </a:t>
          </a:r>
          <a:r>
            <a:rPr lang="en-IN" sz="26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June-2022 to May-2023 </a:t>
          </a:r>
          <a:r>
            <a:rPr lang="en-IN" sz="2600" baseline="0">
              <a:solidFill>
                <a:schemeClr val="tx1"/>
              </a:solidFill>
            </a:rPr>
            <a:t>, </a:t>
          </a:r>
          <a:r>
            <a:rPr lang="en-IN" sz="2600" u="sng" baseline="0">
              <a:solidFill>
                <a:schemeClr val="tx1"/>
              </a:solidFill>
            </a:rPr>
            <a:t>highest food category inflation </a:t>
          </a:r>
          <a:r>
            <a:rPr lang="en-IN" sz="2600" baseline="0">
              <a:solidFill>
                <a:schemeClr val="tx1"/>
              </a:solidFill>
            </a:rPr>
            <a:t>is from month </a:t>
          </a:r>
          <a:r>
            <a:rPr lang="en-IN" sz="2600" b="1" baseline="0">
              <a:solidFill>
                <a:schemeClr val="tx1"/>
              </a:solidFill>
            </a:rPr>
            <a:t>'April-2023 to May-2023'</a:t>
          </a:r>
          <a:r>
            <a:rPr lang="en-IN" sz="2600" baseline="0">
              <a:solidFill>
                <a:schemeClr val="tx1"/>
              </a:solidFill>
            </a:rPr>
            <a:t>, surging at </a:t>
          </a:r>
          <a:r>
            <a:rPr lang="en-IN" sz="2600" b="1" i="1" baseline="0">
              <a:solidFill>
                <a:schemeClr val="tx1"/>
              </a:solidFill>
            </a:rPr>
            <a:t>'0.78%' </a:t>
          </a:r>
          <a:r>
            <a:rPr lang="en-IN" sz="2600" baseline="0">
              <a:solidFill>
                <a:schemeClr val="tx1"/>
              </a:solidFill>
            </a:rPr>
            <a:t>rate and </a:t>
          </a:r>
          <a:r>
            <a:rPr lang="en-IN" sz="2600" u="sng" baseline="0">
              <a:solidFill>
                <a:schemeClr val="tx1"/>
              </a:solidFill>
            </a:rPr>
            <a:t>lowest food category inflation </a:t>
          </a:r>
          <a:r>
            <a:rPr lang="en-IN" sz="2600" baseline="0">
              <a:solidFill>
                <a:schemeClr val="tx1"/>
              </a:solidFill>
            </a:rPr>
            <a:t>is from month </a:t>
          </a:r>
        </a:p>
        <a:p>
          <a:pPr algn="l"/>
          <a:r>
            <a:rPr lang="en-IN" sz="2600" b="1" baseline="0">
              <a:solidFill>
                <a:schemeClr val="tx1"/>
              </a:solidFill>
            </a:rPr>
            <a:t>'November-2022 to December-2022' </a:t>
          </a:r>
          <a:r>
            <a:rPr lang="en-IN" sz="2600" baseline="0">
              <a:solidFill>
                <a:schemeClr val="tx1"/>
              </a:solidFill>
            </a:rPr>
            <a:t>of </a:t>
          </a:r>
          <a:r>
            <a:rPr lang="en-IN" sz="2600" b="1" i="1" baseline="0">
              <a:solidFill>
                <a:schemeClr val="tx1"/>
              </a:solidFill>
            </a:rPr>
            <a:t>'-0.70%' </a:t>
          </a:r>
          <a:r>
            <a:rPr lang="en-IN" sz="2600" baseline="0">
              <a:solidFill>
                <a:schemeClr val="tx1"/>
              </a:solidFill>
            </a:rPr>
            <a:t>change.</a:t>
          </a:r>
        </a:p>
        <a:p>
          <a:pPr algn="l"/>
          <a:endParaRPr lang="en-IN" sz="2600" baseline="0">
            <a:solidFill>
              <a:schemeClr val="tx1"/>
            </a:solidFill>
          </a:endParaRPr>
        </a:p>
        <a:p>
          <a:pPr algn="l"/>
          <a:r>
            <a:rPr lang="en-IN" sz="2600" baseline="0">
              <a:solidFill>
                <a:schemeClr val="tx1"/>
              </a:solidFill>
            </a:rPr>
            <a:t>Also the </a:t>
          </a:r>
          <a:r>
            <a:rPr lang="en-IN" sz="2600" b="1" baseline="0">
              <a:solidFill>
                <a:schemeClr val="tx1"/>
              </a:solidFill>
            </a:rPr>
            <a:t>Absolute % change </a:t>
          </a:r>
          <a:r>
            <a:rPr lang="en-IN" sz="2600" baseline="0">
              <a:solidFill>
                <a:schemeClr val="tx1"/>
              </a:solidFill>
            </a:rPr>
            <a:t>for the period is </a:t>
          </a:r>
          <a:r>
            <a:rPr lang="en-IN" sz="2600" b="1" i="1" baseline="0">
              <a:solidFill>
                <a:schemeClr val="tx1"/>
              </a:solidFill>
            </a:rPr>
            <a:t>'0.60%'</a:t>
          </a:r>
          <a:r>
            <a:rPr lang="en-IN" sz="2600" b="0" i="0" baseline="0">
              <a:solidFill>
                <a:schemeClr val="tx1"/>
              </a:solidFill>
            </a:rPr>
            <a:t>.</a:t>
          </a:r>
        </a:p>
        <a:p>
          <a:pPr algn="l"/>
          <a:endParaRPr lang="en-IN" sz="2600" baseline="0">
            <a:solidFill>
              <a:schemeClr val="tx1"/>
            </a:solidFill>
          </a:endParaRPr>
        </a:p>
        <a:p>
          <a:pPr algn="l"/>
          <a:r>
            <a:rPr lang="en-IN" sz="2600" baseline="0">
              <a:solidFill>
                <a:schemeClr val="tx1"/>
              </a:solidFill>
            </a:rPr>
            <a:t>Finally, the </a:t>
          </a:r>
          <a:r>
            <a:rPr lang="en-IN" sz="2600" b="1" baseline="0">
              <a:solidFill>
                <a:schemeClr val="tx1"/>
              </a:solidFill>
            </a:rPr>
            <a:t>biggest individual contributor </a:t>
          </a:r>
          <a:r>
            <a:rPr lang="en-IN" sz="2600" baseline="0">
              <a:solidFill>
                <a:schemeClr val="tx1"/>
              </a:solidFill>
            </a:rPr>
            <a:t>in food category towards inflation is </a:t>
          </a:r>
          <a:r>
            <a:rPr lang="en-IN" sz="2600" b="1" baseline="0">
              <a:solidFill>
                <a:schemeClr val="tx1"/>
              </a:solidFill>
            </a:rPr>
            <a:t>'meat and fish' </a:t>
          </a:r>
          <a:r>
            <a:rPr lang="en-IN" sz="2600" baseline="0">
              <a:solidFill>
                <a:schemeClr val="tx1"/>
              </a:solidFill>
            </a:rPr>
            <a:t>sub-category with total </a:t>
          </a:r>
          <a:r>
            <a:rPr lang="en-IN" sz="2600" b="1" i="1" baseline="0">
              <a:solidFill>
                <a:schemeClr val="tx1"/>
              </a:solidFill>
            </a:rPr>
            <a:t>'7604.9'.</a:t>
          </a:r>
          <a:endParaRPr lang="en-IN" sz="2600" b="1" i="1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135328</xdr:colOff>
      <xdr:row>189</xdr:row>
      <xdr:rowOff>112571</xdr:rowOff>
    </xdr:from>
    <xdr:to>
      <xdr:col>12</xdr:col>
      <xdr:colOff>371986</xdr:colOff>
      <xdr:row>192</xdr:row>
      <xdr:rowOff>11717</xdr:rowOff>
    </xdr:to>
    <xdr:sp macro="" textlink="">
      <xdr:nvSpPr>
        <xdr:cNvPr id="6180" name="Rectangle 6179">
          <a:extLst>
            <a:ext uri="{FF2B5EF4-FFF2-40B4-BE49-F238E27FC236}">
              <a16:creationId xmlns:a16="http://schemas.microsoft.com/office/drawing/2014/main" id="{3C2A1EE0-DEB2-4184-BE7D-1D81885D7E96}"/>
            </a:ext>
          </a:extLst>
        </xdr:cNvPr>
        <xdr:cNvSpPr/>
      </xdr:nvSpPr>
      <xdr:spPr>
        <a:xfrm>
          <a:off x="3171422" y="33866790"/>
          <a:ext cx="4487189" cy="43492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800"/>
            <a:t>Absolute % Change is</a:t>
          </a:r>
          <a:r>
            <a:rPr lang="en-IN" sz="1800" baseline="0"/>
            <a:t> 0.78% - 0.18%  =  0.60%</a:t>
          </a:r>
          <a:endParaRPr lang="en-IN" sz="1800"/>
        </a:p>
      </xdr:txBody>
    </xdr:sp>
    <xdr:clientData/>
  </xdr:twoCellAnchor>
  <xdr:twoCellAnchor editAs="oneCell">
    <xdr:from>
      <xdr:col>5</xdr:col>
      <xdr:colOff>196091</xdr:colOff>
      <xdr:row>168</xdr:row>
      <xdr:rowOff>151252</xdr:rowOff>
    </xdr:from>
    <xdr:to>
      <xdr:col>12</xdr:col>
      <xdr:colOff>348165</xdr:colOff>
      <xdr:row>189</xdr:row>
      <xdr:rowOff>27901</xdr:rowOff>
    </xdr:to>
    <xdr:pic>
      <xdr:nvPicPr>
        <xdr:cNvPr id="6181" name="Picture 6180">
          <a:extLst>
            <a:ext uri="{FF2B5EF4-FFF2-40B4-BE49-F238E27FC236}">
              <a16:creationId xmlns:a16="http://schemas.microsoft.com/office/drawing/2014/main" id="{33C77B20-24E0-4FD6-B7EE-82D342739A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2185" y="30155002"/>
          <a:ext cx="4402605" cy="36271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382267</xdr:colOff>
      <xdr:row>192</xdr:row>
      <xdr:rowOff>164765</xdr:rowOff>
    </xdr:from>
    <xdr:to>
      <xdr:col>30</xdr:col>
      <xdr:colOff>474870</xdr:colOff>
      <xdr:row>217</xdr:row>
      <xdr:rowOff>44913</xdr:rowOff>
    </xdr:to>
    <xdr:pic>
      <xdr:nvPicPr>
        <xdr:cNvPr id="6182" name="Picture 6181">
          <a:extLst>
            <a:ext uri="{FF2B5EF4-FFF2-40B4-BE49-F238E27FC236}">
              <a16:creationId xmlns:a16="http://schemas.microsoft.com/office/drawing/2014/main" id="{8603384C-C5FD-49C6-888B-EB887118AB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37484" y="36210678"/>
          <a:ext cx="5559125" cy="4573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243</xdr:row>
      <xdr:rowOff>0</xdr:rowOff>
    </xdr:from>
    <xdr:to>
      <xdr:col>30</xdr:col>
      <xdr:colOff>580492</xdr:colOff>
      <xdr:row>297</xdr:row>
      <xdr:rowOff>115374</xdr:rowOff>
    </xdr:to>
    <xdr:sp macro="" textlink="">
      <xdr:nvSpPr>
        <xdr:cNvPr id="6183" name="Rectangle 6182">
          <a:extLst>
            <a:ext uri="{FF2B5EF4-FFF2-40B4-BE49-F238E27FC236}">
              <a16:creationId xmlns:a16="http://schemas.microsoft.com/office/drawing/2014/main" id="{D2CFCE2D-E4BA-4AEF-8CDE-421B585E3B29}"/>
            </a:ext>
          </a:extLst>
        </xdr:cNvPr>
        <xdr:cNvSpPr/>
      </xdr:nvSpPr>
      <xdr:spPr>
        <a:xfrm>
          <a:off x="3048000" y="43766509"/>
          <a:ext cx="15820492" cy="9841265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115455</xdr:colOff>
      <xdr:row>243</xdr:row>
      <xdr:rowOff>109104</xdr:rowOff>
    </xdr:from>
    <xdr:to>
      <xdr:col>30</xdr:col>
      <xdr:colOff>443023</xdr:colOff>
      <xdr:row>251</xdr:row>
      <xdr:rowOff>127000</xdr:rowOff>
    </xdr:to>
    <xdr:sp macro="" textlink="">
      <xdr:nvSpPr>
        <xdr:cNvPr id="6184" name="Rectangle: Rounded Corners 6183">
          <a:extLst>
            <a:ext uri="{FF2B5EF4-FFF2-40B4-BE49-F238E27FC236}">
              <a16:creationId xmlns:a16="http://schemas.microsoft.com/office/drawing/2014/main" id="{5944F56E-0B5F-4BFD-B226-F2466CB67421}"/>
            </a:ext>
          </a:extLst>
        </xdr:cNvPr>
        <xdr:cNvSpPr/>
      </xdr:nvSpPr>
      <xdr:spPr>
        <a:xfrm>
          <a:off x="3175000" y="44997831"/>
          <a:ext cx="15625296" cy="1495714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36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4) Impact of COVID-19 on Inflation rates in India, especially on Food,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36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Essential</a:t>
          </a:r>
          <a:r>
            <a:rPr lang="en-IN" sz="36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36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Services &amp; Health care Categories</a:t>
          </a:r>
          <a:endParaRPr lang="en-IN" sz="3600" b="1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17</xdr:col>
      <xdr:colOff>504567</xdr:colOff>
      <xdr:row>252</xdr:row>
      <xdr:rowOff>80818</xdr:rowOff>
    </xdr:from>
    <xdr:to>
      <xdr:col>30</xdr:col>
      <xdr:colOff>450272</xdr:colOff>
      <xdr:row>274</xdr:row>
      <xdr:rowOff>129787</xdr:rowOff>
    </xdr:to>
    <xdr:graphicFrame macro="">
      <xdr:nvGraphicFramePr>
        <xdr:cNvPr id="6185" name="Chart 6184">
          <a:extLst>
            <a:ext uri="{FF2B5EF4-FFF2-40B4-BE49-F238E27FC236}">
              <a16:creationId xmlns:a16="http://schemas.microsoft.com/office/drawing/2014/main" id="{C5843CD0-408E-49AA-A146-9E5808CD53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66866</xdr:colOff>
      <xdr:row>275</xdr:row>
      <xdr:rowOff>112121</xdr:rowOff>
    </xdr:from>
    <xdr:to>
      <xdr:col>17</xdr:col>
      <xdr:colOff>375363</xdr:colOff>
      <xdr:row>296</xdr:row>
      <xdr:rowOff>137103</xdr:rowOff>
    </xdr:to>
    <xdr:sp macro="" textlink="">
      <xdr:nvSpPr>
        <xdr:cNvPr id="6186" name="Rectangle 6185">
          <a:extLst>
            <a:ext uri="{FF2B5EF4-FFF2-40B4-BE49-F238E27FC236}">
              <a16:creationId xmlns:a16="http://schemas.microsoft.com/office/drawing/2014/main" id="{0A317A76-8FD3-4A9B-B9BC-0413301BBF5C}"/>
            </a:ext>
          </a:extLst>
        </xdr:cNvPr>
        <xdr:cNvSpPr/>
      </xdr:nvSpPr>
      <xdr:spPr>
        <a:xfrm>
          <a:off x="3114866" y="49642121"/>
          <a:ext cx="7623697" cy="380727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285750" indent="-285750">
            <a:buFont typeface="Arial" panose="020B0604020202020204" pitchFamily="34" charset="0"/>
            <a:buChar char="•"/>
          </a:pPr>
          <a:r>
            <a:rPr lang="en-IN" sz="2600" b="1">
              <a:solidFill>
                <a:schemeClr val="tx1"/>
              </a:solidFill>
            </a:rPr>
            <a:t>Food Inflation increased after lockdown</a:t>
          </a:r>
          <a:r>
            <a:rPr lang="en-IN" sz="2600">
              <a:solidFill>
                <a:schemeClr val="tx1"/>
              </a:solidFill>
            </a:rPr>
            <a:t> </a:t>
          </a:r>
          <a:r>
            <a:rPr lang="en-IN" sz="2600" i="1">
              <a:solidFill>
                <a:schemeClr val="tx1"/>
              </a:solidFill>
            </a:rPr>
            <a:t>(from -1.6% pre-COVID to +3.6% during Apr-May 2020)</a:t>
          </a:r>
          <a:r>
            <a:rPr lang="en-IN" sz="2600">
              <a:solidFill>
                <a:schemeClr val="tx1"/>
              </a:solidFill>
            </a:rPr>
            <a:t> due to disrupted supply chains, transport restrictions, and panic buying.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2600" b="1">
              <a:solidFill>
                <a:schemeClr val="tx1"/>
              </a:solidFill>
            </a:rPr>
            <a:t>Healthcare Inflation showed a steady rise</a:t>
          </a:r>
          <a:r>
            <a:rPr lang="en-IN" sz="2600">
              <a:solidFill>
                <a:schemeClr val="tx1"/>
              </a:solidFill>
            </a:rPr>
            <a:t> </a:t>
          </a:r>
          <a:r>
            <a:rPr lang="en-IN" sz="2600" i="1">
              <a:solidFill>
                <a:schemeClr val="tx1"/>
              </a:solidFill>
            </a:rPr>
            <a:t>(peaked at +2.95% in May-Jun 2020)</a:t>
          </a:r>
          <a:r>
            <a:rPr lang="en-IN" sz="2600">
              <a:solidFill>
                <a:schemeClr val="tx1"/>
              </a:solidFill>
            </a:rPr>
            <a:t> driven by increased demand for medicines, sanitizers, and medical services.</a:t>
          </a:r>
        </a:p>
        <a:p>
          <a:pPr algn="l"/>
          <a:endParaRPr lang="en-IN" sz="26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525163</xdr:colOff>
      <xdr:row>275</xdr:row>
      <xdr:rowOff>106028</xdr:rowOff>
    </xdr:from>
    <xdr:to>
      <xdr:col>30</xdr:col>
      <xdr:colOff>427183</xdr:colOff>
      <xdr:row>296</xdr:row>
      <xdr:rowOff>131009</xdr:rowOff>
    </xdr:to>
    <xdr:sp macro="" textlink="">
      <xdr:nvSpPr>
        <xdr:cNvPr id="6187" name="Rectangle 6186">
          <a:extLst>
            <a:ext uri="{FF2B5EF4-FFF2-40B4-BE49-F238E27FC236}">
              <a16:creationId xmlns:a16="http://schemas.microsoft.com/office/drawing/2014/main" id="{2C0F3630-684C-4FC4-A90F-BA0E3646A9EB}"/>
            </a:ext>
          </a:extLst>
        </xdr:cNvPr>
        <xdr:cNvSpPr/>
      </xdr:nvSpPr>
      <xdr:spPr>
        <a:xfrm>
          <a:off x="10927618" y="50906028"/>
          <a:ext cx="7856838" cy="3904254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285750" indent="-285750">
            <a:buFont typeface="Arial" panose="020B0604020202020204" pitchFamily="34" charset="0"/>
            <a:buChar char="•"/>
          </a:pPr>
          <a:r>
            <a:rPr lang="en-IN" sz="2600" b="1">
              <a:solidFill>
                <a:schemeClr val="tx1"/>
              </a:solidFill>
            </a:rPr>
            <a:t>Essential Services Inflation became highly volatile</a:t>
          </a:r>
          <a:r>
            <a:rPr lang="en-IN" sz="2600">
              <a:solidFill>
                <a:schemeClr val="tx1"/>
              </a:solidFill>
            </a:rPr>
            <a:t> </a:t>
          </a:r>
          <a:r>
            <a:rPr lang="en-IN" sz="2600" i="1">
              <a:solidFill>
                <a:schemeClr val="tx1"/>
              </a:solidFill>
            </a:rPr>
            <a:t>(ranged from -6.5% to +8% MoM)</a:t>
          </a:r>
          <a:r>
            <a:rPr lang="en-IN" sz="2600">
              <a:solidFill>
                <a:schemeClr val="tx1"/>
              </a:solidFill>
            </a:rPr>
            <a:t> because service availability changed with lockdown rules, leading to sudden price spikes and drops.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2600">
              <a:solidFill>
                <a:schemeClr val="tx1"/>
              </a:solidFill>
            </a:rPr>
            <a:t>After COVID began (Mar 2020), inflation didn’t just increase, it became </a:t>
          </a:r>
          <a:r>
            <a:rPr lang="en-IN" sz="2600" b="1">
              <a:solidFill>
                <a:schemeClr val="tx1"/>
              </a:solidFill>
            </a:rPr>
            <a:t>category specific</a:t>
          </a:r>
          <a:r>
            <a:rPr lang="en-IN" sz="2600" b="0" baseline="0">
              <a:solidFill>
                <a:schemeClr val="tx1"/>
              </a:solidFill>
            </a:rPr>
            <a:t> like </a:t>
          </a:r>
          <a:r>
            <a:rPr lang="en-IN" sz="2600">
              <a:solidFill>
                <a:schemeClr val="tx1"/>
              </a:solidFill>
            </a:rPr>
            <a:t>food got expensive due to supply issues, healthcare rose due to demand, and essential services fluctuated due to lockdown restrictions.</a:t>
          </a:r>
        </a:p>
        <a:p>
          <a:pPr marL="285750" indent="-285750">
            <a:buFont typeface="Arial" panose="020B0604020202020204" pitchFamily="34" charset="0"/>
            <a:buChar char="•"/>
          </a:pPr>
          <a:endParaRPr lang="en-IN" sz="2600">
            <a:solidFill>
              <a:schemeClr val="tx1"/>
            </a:solidFill>
          </a:endParaRPr>
        </a:p>
        <a:p>
          <a:pPr algn="l"/>
          <a:endParaRPr lang="en-IN" sz="26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5</xdr:col>
      <xdr:colOff>109583</xdr:colOff>
      <xdr:row>252</xdr:row>
      <xdr:rowOff>103910</xdr:rowOff>
    </xdr:from>
    <xdr:to>
      <xdr:col>17</xdr:col>
      <xdr:colOff>356152</xdr:colOff>
      <xdr:row>275</xdr:row>
      <xdr:rowOff>18323</xdr:rowOff>
    </xdr:to>
    <xdr:pic>
      <xdr:nvPicPr>
        <xdr:cNvPr id="6188" name="Picture 6187">
          <a:extLst>
            <a:ext uri="{FF2B5EF4-FFF2-40B4-BE49-F238E27FC236}">
              <a16:creationId xmlns:a16="http://schemas.microsoft.com/office/drawing/2014/main" id="{969A2345-6BCF-4471-B3D4-AF7AE8260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128" y="46655183"/>
          <a:ext cx="7589479" cy="4163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324</xdr:row>
      <xdr:rowOff>0</xdr:rowOff>
    </xdr:from>
    <xdr:to>
      <xdr:col>31</xdr:col>
      <xdr:colOff>47626</xdr:colOff>
      <xdr:row>394</xdr:row>
      <xdr:rowOff>129359</xdr:rowOff>
    </xdr:to>
    <xdr:sp macro="" textlink="">
      <xdr:nvSpPr>
        <xdr:cNvPr id="6190" name="Rectangle 6189">
          <a:extLst>
            <a:ext uri="{FF2B5EF4-FFF2-40B4-BE49-F238E27FC236}">
              <a16:creationId xmlns:a16="http://schemas.microsoft.com/office/drawing/2014/main" id="{032C8E8E-4195-4A85-A206-C997E40FFCD5}"/>
            </a:ext>
          </a:extLst>
        </xdr:cNvPr>
        <xdr:cNvSpPr/>
      </xdr:nvSpPr>
      <xdr:spPr>
        <a:xfrm>
          <a:off x="3104444" y="54864000"/>
          <a:ext cx="16190738" cy="11982692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154780</xdr:colOff>
      <xdr:row>324</xdr:row>
      <xdr:rowOff>112182</xdr:rowOff>
    </xdr:from>
    <xdr:to>
      <xdr:col>30</xdr:col>
      <xdr:colOff>565470</xdr:colOff>
      <xdr:row>332</xdr:row>
      <xdr:rowOff>73638</xdr:rowOff>
    </xdr:to>
    <xdr:sp macro="" textlink="">
      <xdr:nvSpPr>
        <xdr:cNvPr id="6191" name="Rectangle: Rounded Corners 6190">
          <a:extLst>
            <a:ext uri="{FF2B5EF4-FFF2-40B4-BE49-F238E27FC236}">
              <a16:creationId xmlns:a16="http://schemas.microsoft.com/office/drawing/2014/main" id="{C9698142-FDD9-4FF9-B749-8D418F75E9D2}"/>
            </a:ext>
          </a:extLst>
        </xdr:cNvPr>
        <xdr:cNvSpPr/>
      </xdr:nvSpPr>
      <xdr:spPr>
        <a:xfrm>
          <a:off x="3259224" y="54976182"/>
          <a:ext cx="15932913" cy="1316123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6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5) Effects</a:t>
          </a:r>
          <a:r>
            <a:rPr lang="en-IN" sz="36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of Imported Crude oil price fluctuation in India</a:t>
          </a:r>
        </a:p>
        <a:p>
          <a:pPr algn="ctr"/>
          <a:r>
            <a:rPr lang="en-IN" sz="36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on various categories for year 2021-2023</a:t>
          </a:r>
          <a:endParaRPr lang="en-IN" sz="7200" b="1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5</xdr:col>
      <xdr:colOff>193963</xdr:colOff>
      <xdr:row>333</xdr:row>
      <xdr:rowOff>74115</xdr:rowOff>
    </xdr:from>
    <xdr:to>
      <xdr:col>17</xdr:col>
      <xdr:colOff>162394</xdr:colOff>
      <xdr:row>360</xdr:row>
      <xdr:rowOff>156774</xdr:rowOff>
    </xdr:to>
    <xdr:graphicFrame macro="">
      <xdr:nvGraphicFramePr>
        <xdr:cNvPr id="6192" name="Chart 6191">
          <a:extLst>
            <a:ext uri="{FF2B5EF4-FFF2-40B4-BE49-F238E27FC236}">
              <a16:creationId xmlns:a16="http://schemas.microsoft.com/office/drawing/2014/main" id="{E07ED05C-E759-4AEE-8077-485BC016AB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</xdr:col>
      <xdr:colOff>180813</xdr:colOff>
      <xdr:row>361</xdr:row>
      <xdr:rowOff>125924</xdr:rowOff>
    </xdr:from>
    <xdr:to>
      <xdr:col>17</xdr:col>
      <xdr:colOff>332199</xdr:colOff>
      <xdr:row>378</xdr:row>
      <xdr:rowOff>62782</xdr:rowOff>
    </xdr:to>
    <xdr:graphicFrame macro="">
      <xdr:nvGraphicFramePr>
        <xdr:cNvPr id="6193" name="Chart 6192">
          <a:extLst>
            <a:ext uri="{FF2B5EF4-FFF2-40B4-BE49-F238E27FC236}">
              <a16:creationId xmlns:a16="http://schemas.microsoft.com/office/drawing/2014/main" id="{9BB5D6B6-CAC5-43BC-A20F-A210266842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17</xdr:col>
      <xdr:colOff>462308</xdr:colOff>
      <xdr:row>361</xdr:row>
      <xdr:rowOff>117759</xdr:rowOff>
    </xdr:from>
    <xdr:to>
      <xdr:col>30</xdr:col>
      <xdr:colOff>566316</xdr:colOff>
      <xdr:row>378</xdr:row>
      <xdr:rowOff>55418</xdr:rowOff>
    </xdr:to>
    <xdr:graphicFrame macro="">
      <xdr:nvGraphicFramePr>
        <xdr:cNvPr id="6194" name="Chart 6193">
          <a:extLst>
            <a:ext uri="{FF2B5EF4-FFF2-40B4-BE49-F238E27FC236}">
              <a16:creationId xmlns:a16="http://schemas.microsoft.com/office/drawing/2014/main" id="{1EE9AD66-FBB8-42A5-BAA0-937FB5BFE8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17</xdr:col>
      <xdr:colOff>296233</xdr:colOff>
      <xdr:row>344</xdr:row>
      <xdr:rowOff>104451</xdr:rowOff>
    </xdr:from>
    <xdr:to>
      <xdr:col>30</xdr:col>
      <xdr:colOff>549154</xdr:colOff>
      <xdr:row>360</xdr:row>
      <xdr:rowOff>166543</xdr:rowOff>
    </xdr:to>
    <xdr:graphicFrame macro="">
      <xdr:nvGraphicFramePr>
        <xdr:cNvPr id="6195" name="Chart 6194">
          <a:extLst>
            <a:ext uri="{FF2B5EF4-FFF2-40B4-BE49-F238E27FC236}">
              <a16:creationId xmlns:a16="http://schemas.microsoft.com/office/drawing/2014/main" id="{EB491400-EED2-4FCC-9D11-30D8CA2BDB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</xdr:col>
      <xdr:colOff>142068</xdr:colOff>
      <xdr:row>378</xdr:row>
      <xdr:rowOff>151816</xdr:rowOff>
    </xdr:from>
    <xdr:to>
      <xdr:col>30</xdr:col>
      <xdr:colOff>519288</xdr:colOff>
      <xdr:row>393</xdr:row>
      <xdr:rowOff>124396</xdr:rowOff>
    </xdr:to>
    <xdr:sp macro="" textlink="">
      <xdr:nvSpPr>
        <xdr:cNvPr id="6196" name="Rectangle 6195">
          <a:extLst>
            <a:ext uri="{FF2B5EF4-FFF2-40B4-BE49-F238E27FC236}">
              <a16:creationId xmlns:a16="http://schemas.microsoft.com/office/drawing/2014/main" id="{297C34C1-4DE8-4594-A4C3-9889F21DE5AB}"/>
            </a:ext>
          </a:extLst>
        </xdr:cNvPr>
        <xdr:cNvSpPr/>
      </xdr:nvSpPr>
      <xdr:spPr>
        <a:xfrm>
          <a:off x="3177153" y="68499341"/>
          <a:ext cx="15552643" cy="2684784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285750" indent="-285750">
            <a:buFont typeface="Arial" panose="020B0604020202020204" pitchFamily="34" charset="0"/>
            <a:buChar char="•"/>
          </a:pPr>
          <a:r>
            <a:rPr lang="en-IN" sz="18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 </a:t>
          </a:r>
          <a:r>
            <a:rPr lang="en-IN" sz="18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2021</a:t>
          </a:r>
          <a:r>
            <a:rPr lang="en-IN" sz="18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 we can see most CPI categories moved in the same direction as crude oil prices. This shows a </a:t>
          </a:r>
          <a:r>
            <a:rPr lang="en-IN" sz="18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strong positive correlation </a:t>
          </a:r>
          <a:r>
            <a:rPr lang="en-IN" sz="18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with crude oil prices. The </a:t>
          </a:r>
          <a:r>
            <a:rPr lang="en-IN" sz="1800" b="0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highest</a:t>
          </a:r>
          <a:r>
            <a:rPr lang="en-IN" sz="18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800" b="0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correlation</a:t>
          </a:r>
          <a:r>
            <a:rPr lang="en-IN" sz="18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with crude oil was in </a:t>
          </a:r>
          <a:r>
            <a:rPr lang="en-IN" sz="1800" b="1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Clothing &amp; Footwear</a:t>
          </a:r>
          <a:r>
            <a:rPr lang="en-IN" sz="1800" b="1" i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</a:t>
          </a:r>
          <a:r>
            <a:rPr lang="en-IN" sz="1800" b="1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0.88)</a:t>
          </a:r>
          <a:r>
            <a:rPr lang="en-IN" sz="18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en-IN" sz="1800" b="1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8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This indicates that as crude oil prices increased, Clothing &amp; Footwear inflation also rose sharply.</a:t>
          </a:r>
        </a:p>
        <a:p>
          <a:r>
            <a:rPr lang="en-IN" sz="18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8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 </a:t>
          </a:r>
          <a:r>
            <a:rPr lang="en-IN" sz="18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2022</a:t>
          </a:r>
          <a:r>
            <a:rPr lang="en-IN" sz="18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 we can see crude oil correlation weakens significantly across all categories. </a:t>
          </a:r>
          <a:r>
            <a:rPr lang="en-IN" sz="18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 strong correlation </a:t>
          </a:r>
          <a:r>
            <a:rPr lang="en-IN" sz="18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 observed. Categories do not show meaningful movement with crude changes, values were very low across all categories (close to 0), with </a:t>
          </a:r>
          <a:r>
            <a:rPr lang="en-IN" sz="1800" b="1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Food category (0.14) </a:t>
          </a:r>
          <a:r>
            <a:rPr lang="en-IN" sz="18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showing a slightly positive correlation compared to the others.</a:t>
          </a:r>
        </a:p>
        <a:p>
          <a:r>
            <a:rPr lang="en-IN" sz="18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8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 </a:t>
          </a:r>
          <a:r>
            <a:rPr lang="en-IN" sz="18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2023</a:t>
          </a:r>
          <a:r>
            <a:rPr lang="en-IN" sz="18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 we can see the relationship changes, </a:t>
          </a:r>
          <a:r>
            <a:rPr lang="en-IN" sz="18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showing negative correlation </a:t>
          </a:r>
          <a:r>
            <a:rPr lang="en-IN" sz="18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across most categories. The strongest correlation was negative, seen in Clothing &amp; Footwear (-0.66). Most CPI categories move opposite to crude oil price movement. Only </a:t>
          </a:r>
          <a:r>
            <a:rPr lang="en-IN" sz="1800" b="1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Food (0.19) </a:t>
          </a:r>
          <a:r>
            <a:rPr lang="en-IN" sz="18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shows a very weak positive relation.</a:t>
          </a:r>
        </a:p>
        <a:p>
          <a:pPr algn="l"/>
          <a:endParaRPr lang="en-IN" sz="4000" b="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17</xdr:col>
      <xdr:colOff>302161</xdr:colOff>
      <xdr:row>333</xdr:row>
      <xdr:rowOff>70924</xdr:rowOff>
    </xdr:from>
    <xdr:to>
      <xdr:col>22</xdr:col>
      <xdr:colOff>3629</xdr:colOff>
      <xdr:row>344</xdr:row>
      <xdr:rowOff>42450</xdr:rowOff>
    </xdr:to>
    <xdr:pic>
      <xdr:nvPicPr>
        <xdr:cNvPr id="6197" name="Picture 6196">
          <a:extLst>
            <a:ext uri="{FF2B5EF4-FFF2-40B4-BE49-F238E27FC236}">
              <a16:creationId xmlns:a16="http://schemas.microsoft.com/office/drawing/2014/main" id="{63C86696-2241-41B2-8BF2-1EFEBE88C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57272" y="56458924"/>
          <a:ext cx="2783738" cy="18341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82862</xdr:colOff>
      <xdr:row>333</xdr:row>
      <xdr:rowOff>79772</xdr:rowOff>
    </xdr:from>
    <xdr:to>
      <xdr:col>26</xdr:col>
      <xdr:colOff>334232</xdr:colOff>
      <xdr:row>344</xdr:row>
      <xdr:rowOff>42292</xdr:rowOff>
    </xdr:to>
    <xdr:pic>
      <xdr:nvPicPr>
        <xdr:cNvPr id="6198" name="Picture 6197">
          <a:extLst>
            <a:ext uri="{FF2B5EF4-FFF2-40B4-BE49-F238E27FC236}">
              <a16:creationId xmlns:a16="http://schemas.microsoft.com/office/drawing/2014/main" id="{B709EA43-D7BB-4F2D-B705-3E3E26EC4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42418" y="56467772"/>
          <a:ext cx="2734925" cy="18251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419270</xdr:colOff>
      <xdr:row>333</xdr:row>
      <xdr:rowOff>62282</xdr:rowOff>
    </xdr:from>
    <xdr:to>
      <xdr:col>30</xdr:col>
      <xdr:colOff>552954</xdr:colOff>
      <xdr:row>344</xdr:row>
      <xdr:rowOff>36287</xdr:rowOff>
    </xdr:to>
    <xdr:pic>
      <xdr:nvPicPr>
        <xdr:cNvPr id="6199" name="Picture 6198">
          <a:extLst>
            <a:ext uri="{FF2B5EF4-FFF2-40B4-BE49-F238E27FC236}">
              <a16:creationId xmlns:a16="http://schemas.microsoft.com/office/drawing/2014/main" id="{82B46527-DC9B-4624-8D30-FC155F22A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62381" y="56450282"/>
          <a:ext cx="2617240" cy="18366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397732</xdr:colOff>
      <xdr:row>587</xdr:row>
      <xdr:rowOff>78620</xdr:rowOff>
    </xdr:from>
    <xdr:to>
      <xdr:col>23</xdr:col>
      <xdr:colOff>364978</xdr:colOff>
      <xdr:row>589</xdr:row>
      <xdr:rowOff>151914</xdr:rowOff>
    </xdr:to>
    <xdr:sp macro="" textlink="">
      <xdr:nvSpPr>
        <xdr:cNvPr id="6200" name="Rectangle 6199">
          <a:extLst>
            <a:ext uri="{FF2B5EF4-FFF2-40B4-BE49-F238E27FC236}">
              <a16:creationId xmlns:a16="http://schemas.microsoft.com/office/drawing/2014/main" id="{67AAD6CA-E4A4-46D9-B1BB-736FEB9F2861}"/>
            </a:ext>
          </a:extLst>
        </xdr:cNvPr>
        <xdr:cNvSpPr/>
      </xdr:nvSpPr>
      <xdr:spPr>
        <a:xfrm>
          <a:off x="9090176" y="99477287"/>
          <a:ext cx="5555246" cy="41196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000">
              <a:solidFill>
                <a:schemeClr val="tx1"/>
              </a:solidFill>
            </a:rPr>
            <a:t>Source: https://ppac.gov.in/import-export/history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itya" refreshedDate="45969.632561226848" createdVersion="8" refreshedVersion="8" minRefreshableVersion="3" recordCount="7" xr:uid="{EB6533FC-4607-4360-BBCF-2448A5CFECCB}">
  <cacheSource type="worksheet">
    <worksheetSource ref="J3:L10" sheet="Que 2"/>
  </cacheSource>
  <cacheFields count="3">
    <cacheField name="Year" numFmtId="1">
      <sharedItems containsMixedTypes="1" containsNumber="1" containsInteger="1" minValue="2017" maxValue="2017" count="7">
        <n v="2017"/>
        <s v="2017-2018"/>
        <s v="2018-2019"/>
        <s v="2019-2020"/>
        <s v="2020-2021"/>
        <s v="2021-2022"/>
        <s v="2022-2023"/>
      </sharedItems>
    </cacheField>
    <cacheField name="Category Total" numFmtId="0">
      <sharedItems containsSemiMixedTypes="0" containsString="0" containsNumber="1" minValue="23991.499999999993" maxValue="55839.30000000001"/>
    </cacheField>
    <cacheField name="Y-o-Y% Change" numFmtId="164">
      <sharedItems containsSemiMixedTypes="0" containsString="0" containsNumber="1" minValue="-0.57034740765016778" maxValue="0.163068018457506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itya" refreshedDate="45969.723514699072" createdVersion="8" refreshedVersion="8" minRefreshableVersion="3" recordCount="12" xr:uid="{A9F56C18-3CD6-4F07-B0BA-B0834DDA713E}">
  <cacheSource type="worksheet">
    <worksheetSource ref="Q42:S54" sheet="Que 3"/>
  </cacheSource>
  <cacheFields count="3">
    <cacheField name="Months" numFmtId="0">
      <sharedItems count="12">
        <s v="June'22"/>
        <s v="June'22-July'22"/>
        <s v="July'22-August'22"/>
        <s v="August'22-September'22"/>
        <s v="September'22-October'22"/>
        <s v="October'22-November'22"/>
        <s v="November'22-December'22"/>
        <s v="December'22-January'23"/>
        <s v="January'23-February'23"/>
        <s v="February'23-March'23"/>
        <s v="March'23-April'23"/>
        <s v="April'23-May'23"/>
      </sharedItems>
    </cacheField>
    <cacheField name="Total" numFmtId="0">
      <sharedItems containsSemiMixedTypes="0" containsString="0" containsNumber="1" minValue="6296.5" maxValue="6414.6999999999989" count="12">
        <n v="6296.5"/>
        <n v="6307.7"/>
        <n v="6314.6"/>
        <n v="6349.2000000000007"/>
        <n v="6396.8"/>
        <n v="6390"/>
        <n v="6345.7"/>
        <n v="6374.1"/>
        <n v="6333.1999999999989"/>
        <n v="6333.6"/>
        <n v="6364.9000000000005"/>
        <n v="6414.6999999999989"/>
      </sharedItems>
    </cacheField>
    <cacheField name="M-o-M% Change" numFmtId="0">
      <sharedItems containsSemiMixedTypes="0" containsString="0" containsNumber="1" minValue="-6.9811053154104647E-3" maxValue="7.7634183983659984E-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itya" refreshedDate="45969.853961689812" createdVersion="8" refreshedVersion="8" minRefreshableVersion="3" recordCount="12" xr:uid="{3BBF3D94-CF49-4819-B527-0FCA68690FB8}">
  <cacheSource type="worksheet">
    <worksheetSource ref="BF2:BL14" sheet="Que 4"/>
  </cacheSource>
  <cacheFields count="7">
    <cacheField name="Month" numFmtId="0">
      <sharedItems count="12">
        <s v="Nov'19"/>
        <s v="Dec'19"/>
        <s v="Jan'20"/>
        <s v="Feb'20"/>
        <s v="Mar'20"/>
        <s v="Apr'20"/>
        <s v="May'20"/>
        <s v="Jun'20"/>
        <s v="Jul'20"/>
        <s v="Aug'20"/>
        <s v="Sept'20"/>
        <s v="Oct'20"/>
      </sharedItems>
    </cacheField>
    <cacheField name="food" numFmtId="0">
      <sharedItems containsSemiMixedTypes="0" containsString="0" containsNumber="1" minValue="5279.7999999999993" maxValue="5729.0999999999995"/>
    </cacheField>
    <cacheField name="food mom%" numFmtId="0">
      <sharedItems containsString="0" containsBlank="1" containsNumber="1" minValue="-1.6169820027687781E-2" maxValue="3.6024091821660054E-2" count="12">
        <m/>
        <n v="1.9287722586691761E-2"/>
        <n v="-3.7514481693303394E-3"/>
        <n v="-1.6169820027687781E-2"/>
        <n v="-9.3998011219725078E-3"/>
        <n v="3.6024091821660054E-2"/>
        <n v="-4.926873857403989E-3"/>
        <n v="9.67288560641562E-3"/>
        <n v="0"/>
        <n v="1.4993540404316033E-2"/>
        <n v="5.8442838959499727E-3"/>
        <n v="2.1102536225426519E-2"/>
      </sharedItems>
    </cacheField>
    <cacheField name="health care" numFmtId="0">
      <sharedItems containsSemiMixedTypes="0" containsString="0" containsNumber="1" minValue="867.7" maxValue="940.30000000000007"/>
    </cacheField>
    <cacheField name="health care mom%" numFmtId="0">
      <sharedItems containsString="0" containsBlank="1" containsNumber="1" minValue="-2.3396788259067948E-3" maxValue="2.950415077406322E-2"/>
    </cacheField>
    <cacheField name="essential services" numFmtId="0">
      <sharedItems containsSemiMixedTypes="0" containsString="0" containsNumber="1" minValue="2013.7000000000003" maxValue="2252.35"/>
    </cacheField>
    <cacheField name="essential services mom%" numFmtId="0">
      <sharedItems containsString="0" containsBlank="1" containsNumber="1" minValue="-6.8790994303352254E-2" maxValue="8.3403684759398022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itya" refreshedDate="45969.860303009256" createdVersion="8" refreshedVersion="8" minRefreshableVersion="3" recordCount="19" xr:uid="{4096A101-F138-4C8D-ACCA-7D53DA431698}">
  <cacheSource type="worksheet">
    <worksheetSource ref="AK2:AN21" sheet="Que 4"/>
  </cacheSource>
  <cacheFields count="4">
    <cacheField name="category" numFmtId="0">
      <sharedItems count="3">
        <s v="food"/>
        <s v="health care"/>
        <s v="essential services"/>
      </sharedItems>
    </cacheField>
    <cacheField name="sub categories" numFmtId="0">
      <sharedItems/>
    </cacheField>
    <cacheField name="pre covid total" numFmtId="0">
      <sharedItems containsSemiMixedTypes="0" containsString="0" containsNumber="1" minValue="1709.4999999999998" maxValue="46321.3"/>
    </cacheField>
    <cacheField name="post covid total" numFmtId="0">
      <sharedItems containsSemiMixedTypes="0" containsString="0" containsNumber="1" minValue="2441.5" maxValue="3952.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itya" refreshedDate="45969.978034375003" createdVersion="8" refreshedVersion="8" minRefreshableVersion="3" recordCount="27" xr:uid="{FA01173F-AEF1-4F74-8F24-090FAD354393}">
  <cacheSource type="worksheet">
    <worksheetSource name="Table8"/>
  </cacheSource>
  <cacheFields count="6">
    <cacheField name="Category" numFmtId="0">
      <sharedItems count="6">
        <s v="food"/>
        <s v="luxury"/>
        <s v="clothing"/>
        <s v="essential services"/>
        <s v="health care"/>
        <s v="misc"/>
      </sharedItems>
    </cacheField>
    <cacheField name="Sub Categories" numFmtId="0">
      <sharedItems count="27">
        <s v="cereals and products"/>
        <s v="meat and fish"/>
        <s v="egg"/>
        <s v="milk and products"/>
        <s v="oils and fats"/>
        <s v="fruits"/>
        <s v="vegetables"/>
        <s v="pulses and products"/>
        <s v="sugar and confectionery"/>
        <s v="spices"/>
        <s v="non-alcoholic beverages"/>
        <s v="prepared meals, snacks, sweets etc."/>
        <s v="food and beverages"/>
        <s v="pan, tobacco and intoxicants"/>
        <s v="clothing"/>
        <s v="footwear"/>
        <s v="clothing and footwear"/>
        <s v="housing"/>
        <s v="fuel and light"/>
        <s v="household goods and services"/>
        <s v="health"/>
        <s v="transport and communication"/>
        <s v="recreation and amusement"/>
        <s v="education"/>
        <s v="personal care and effects"/>
        <s v="miscellaneous"/>
        <s v="general index"/>
      </sharedItems>
    </cacheField>
    <cacheField name="Rural" numFmtId="0">
      <sharedItems containsSemiMixedTypes="0" containsString="0" containsNumber="1" minValue="120.4" maxValue="215.5"/>
    </cacheField>
    <cacheField name="Urban" numFmtId="0">
      <sharedItems containsSemiMixedTypes="0" containsString="0" containsNumber="1" minValue="123.1" maxValue="213.7"/>
    </cacheField>
    <cacheField name="Rural+Urban" numFmtId="0">
      <sharedItems containsSemiMixedTypes="0" containsString="0" containsNumber="1" minValue="121.3" maxValue="212.9"/>
    </cacheField>
    <cacheField name="Total" numFmtId="0">
      <sharedItems containsSemiMixedTypes="0" containsString="0" containsNumber="1" minValue="364.8" maxValue="636.200000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itya" refreshedDate="45970.642431250002" createdVersion="8" refreshedVersion="8" minRefreshableVersion="3" recordCount="13" xr:uid="{7B828E90-7489-447B-85BD-B782F75C733B}">
  <cacheSource type="worksheet">
    <worksheetSource name="Table619"/>
  </cacheSource>
  <cacheFields count="7">
    <cacheField name="month" numFmtId="0">
      <sharedItems count="13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  <s v="Total"/>
      </sharedItems>
    </cacheField>
    <cacheField name="2021" numFmtId="1">
      <sharedItems containsSemiMixedTypes="0" containsString="0" containsNumber="1" minValue="48033.558892131798" maxValue="779442.57075045642"/>
    </cacheField>
    <cacheField name="21 M-o-M% Change" numFmtId="0">
      <sharedItems containsString="0" containsBlank="1" containsNumber="1" minValue="-0.14211884813164954" maxValue="8.5320005786038386"/>
    </cacheField>
    <cacheField name="2022" numFmtId="1">
      <sharedItems containsSemiMixedTypes="0" containsString="0" containsNumber="1" minValue="86692.515382787504" maxValue="1279881.0290171988"/>
    </cacheField>
    <cacheField name="22 M-o-M% Change" numFmtId="0">
      <sharedItems containsString="0" containsBlank="1" containsNumber="1" minValue="-0.18786114266372986" maxValue="12.579173133090668"/>
    </cacheField>
    <cacheField name="2023" numFmtId="1">
      <sharedItems containsSemiMixedTypes="0" containsString="0" containsNumber="1" minValue="83881.451010452583" maxValue="1085144.7244183917"/>
    </cacheField>
    <cacheField name="23 M-o-M% Change" numFmtId="0">
      <sharedItems containsString="0" containsBlank="1" containsNumber="1" minValue="-7.1867834338514847E-2" maxValue="10.45290107924085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n v="43222.799999999996"/>
    <n v="0"/>
  </r>
  <r>
    <x v="1"/>
    <n v="44665.799999999988"/>
    <n v="3.3385157833365556E-2"/>
  </r>
  <r>
    <x v="2"/>
    <n v="42432.6"/>
    <n v="-4.9997985035530323E-2"/>
  </r>
  <r>
    <x v="3"/>
    <n v="49351.999999999993"/>
    <n v="0.1630680184575066"/>
  </r>
  <r>
    <x v="4"/>
    <n v="52486.200000000004"/>
    <n v="6.3507051385962313E-2"/>
  </r>
  <r>
    <x v="5"/>
    <n v="55839.30000000001"/>
    <n v="6.3885364152863139E-2"/>
  </r>
  <r>
    <x v="6"/>
    <n v="23991.499999999993"/>
    <n v="-0.5703474076501677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n v="0"/>
  </r>
  <r>
    <x v="1"/>
    <x v="1"/>
    <n v="1.7756075907224215E-3"/>
  </r>
  <r>
    <x v="2"/>
    <x v="2"/>
    <n v="1.0927057929244204E-3"/>
  </r>
  <r>
    <x v="3"/>
    <x v="3"/>
    <n v="5.4495054495055061E-3"/>
  </r>
  <r>
    <x v="4"/>
    <x v="4"/>
    <n v="7.441220610305067E-3"/>
  </r>
  <r>
    <x v="5"/>
    <x v="5"/>
    <n v="-1.0641627543036278E-3"/>
  </r>
  <r>
    <x v="6"/>
    <x v="6"/>
    <n v="-6.9811053154104647E-3"/>
  </r>
  <r>
    <x v="7"/>
    <x v="7"/>
    <n v="4.4555309769223174E-3"/>
  </r>
  <r>
    <x v="8"/>
    <x v="8"/>
    <n v="-6.4580306953832918E-3"/>
  </r>
  <r>
    <x v="9"/>
    <x v="9"/>
    <n v="6.3155235569258423E-5"/>
  </r>
  <r>
    <x v="10"/>
    <x v="10"/>
    <n v="4.9175949347201337E-3"/>
  </r>
  <r>
    <x v="11"/>
    <x v="11"/>
    <n v="7.7634183983659984E-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n v="5335"/>
    <x v="0"/>
    <n v="867.7"/>
    <m/>
    <n v="2013.7000000000003"/>
    <m/>
  </r>
  <r>
    <x v="1"/>
    <n v="5437.9000000000005"/>
    <x v="1"/>
    <n v="869.59999999999991"/>
    <n v="2.1896968998500214E-3"/>
    <n v="2181.65"/>
    <n v="8.3403684759398022E-2"/>
  </r>
  <r>
    <x v="2"/>
    <n v="5417.4999999999991"/>
    <x v="2"/>
    <n v="877.59999999999991"/>
    <n v="9.1996320147194124E-3"/>
    <n v="2039.1000000000001"/>
    <n v="-6.5340453326610565E-2"/>
  </r>
  <r>
    <x v="3"/>
    <n v="5329.9000000000005"/>
    <x v="3"/>
    <n v="882.6"/>
    <n v="5.6973564266181789E-3"/>
    <n v="2203.0500000000002"/>
    <n v="8.0403119023098449E-2"/>
  </r>
  <r>
    <x v="4"/>
    <n v="5279.7999999999993"/>
    <x v="4"/>
    <n v="889.6"/>
    <n v="7.931112621799229E-3"/>
    <n v="2051.5"/>
    <n v="-6.8790994303352254E-2"/>
  </r>
  <r>
    <x v="5"/>
    <n v="5470"/>
    <x v="5"/>
    <n v="891.4"/>
    <n v="2.0233812949639776E-3"/>
    <n v="2215.5"/>
    <n v="7.9941506214964667E-2"/>
  </r>
  <r>
    <x v="6"/>
    <n v="5443.05"/>
    <x v="6"/>
    <n v="917.69999999999993"/>
    <n v="2.950415077406322E-2"/>
    <n v="2252.35"/>
    <n v="1.6632814263145976E-2"/>
  </r>
  <r>
    <x v="7"/>
    <n v="5495.7000000000007"/>
    <x v="7"/>
    <n v="915.69999999999993"/>
    <n v="-2.1793614470960012E-3"/>
    <n v="2203.1999999999998"/>
    <n v="-2.1821652940262434E-2"/>
  </r>
  <r>
    <x v="8"/>
    <n v="5495.7000000000007"/>
    <x v="8"/>
    <n v="915.69999999999993"/>
    <n v="0"/>
    <n v="2203.1999999999998"/>
    <n v="0"/>
  </r>
  <r>
    <x v="9"/>
    <n v="5578.1"/>
    <x v="9"/>
    <n v="925.59999999999991"/>
    <n v="1.0811401113901909E-2"/>
    <n v="2231.5"/>
    <n v="1.2844952795933272E-2"/>
  </r>
  <r>
    <x v="10"/>
    <n v="5610.6999999999989"/>
    <x v="10"/>
    <n v="940.30000000000007"/>
    <n v="1.5881590319792742E-2"/>
    <n v="2233.5"/>
    <n v="8.9625812233923372E-4"/>
  </r>
  <r>
    <x v="11"/>
    <n v="5729.0999999999995"/>
    <x v="11"/>
    <n v="938.09999999999991"/>
    <n v="-2.3396788259067948E-3"/>
    <n v="2242.15"/>
    <n v="3.8728453100515293E-3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x v="0"/>
    <s v="cereals and products"/>
    <n v="45964.4"/>
    <n v="3132.8"/>
  </r>
  <r>
    <x v="0"/>
    <s v="meat and fish"/>
    <n v="46321.3"/>
    <n v="3952.45"/>
  </r>
  <r>
    <x v="0"/>
    <s v="egg"/>
    <n v="46119.9"/>
    <n v="3204.400000000001"/>
  </r>
  <r>
    <x v="0"/>
    <s v="milk and products"/>
    <n v="46131.8"/>
    <n v="3230.7"/>
  </r>
  <r>
    <x v="0"/>
    <s v="oils and fats"/>
    <n v="1920.4000000000003"/>
    <n v="2872.1"/>
  </r>
  <r>
    <x v="0"/>
    <s v="fruits"/>
    <n v="2162.6000000000004"/>
    <n v="3130"/>
  </r>
  <r>
    <x v="0"/>
    <s v="vegetables"/>
    <n v="2855.1"/>
    <n v="3675.2"/>
  </r>
  <r>
    <x v="0"/>
    <s v="pulses and products"/>
    <n v="2086.5"/>
    <n v="3163.7000000000012"/>
  </r>
  <r>
    <x v="0"/>
    <s v="sugar and confectionery"/>
    <n v="1709.4999999999998"/>
    <n v="2441.5"/>
  </r>
  <r>
    <x v="0"/>
    <s v="spices"/>
    <n v="2252.3000000000002"/>
    <n v="3347.1000000000004"/>
  </r>
  <r>
    <x v="0"/>
    <s v="prepared meals, snacks, sweets etc."/>
    <n v="2378.1999999999998"/>
    <n v="3401.8"/>
  </r>
  <r>
    <x v="0"/>
    <s v="food and beverages"/>
    <n v="2282.1000000000004"/>
    <n v="3270.6"/>
  </r>
  <r>
    <x v="1"/>
    <s v="health"/>
    <n v="2252.4000000000005"/>
    <n v="3232.3"/>
  </r>
  <r>
    <x v="1"/>
    <s v="personal care and effects"/>
    <n v="2134.6999999999998"/>
    <n v="3212.2000000000003"/>
  </r>
  <r>
    <x v="2"/>
    <s v="housing"/>
    <n v="1847"/>
    <n v="3110.25"/>
  </r>
  <r>
    <x v="2"/>
    <s v="fuel and light"/>
    <n v="2162.3000000000002"/>
    <n v="2991.9"/>
  </r>
  <r>
    <x v="2"/>
    <s v="household goods and services"/>
    <n v="2187.4"/>
    <n v="3110.25"/>
  </r>
  <r>
    <x v="2"/>
    <s v="education"/>
    <n v="2346.7999999999997"/>
    <n v="3324.85"/>
  </r>
  <r>
    <x v="2"/>
    <s v="transport and communication"/>
    <n v="1945.5"/>
    <n v="2888.75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x v="0"/>
    <x v="0"/>
    <n v="173.3"/>
    <n v="174.8"/>
    <n v="173.8"/>
    <n v="521.90000000000009"/>
  </r>
  <r>
    <x v="0"/>
    <x v="1"/>
    <n v="206.9"/>
    <n v="213.7"/>
    <n v="209.3"/>
    <n v="629.90000000000009"/>
  </r>
  <r>
    <x v="0"/>
    <x v="2"/>
    <n v="167.9"/>
    <n v="172.4"/>
    <n v="169.6"/>
    <n v="509.9"/>
  </r>
  <r>
    <x v="0"/>
    <x v="3"/>
    <n v="178.2"/>
    <n v="178.8"/>
    <n v="178.4"/>
    <n v="535.4"/>
  </r>
  <r>
    <x v="0"/>
    <x v="4"/>
    <n v="178.5"/>
    <n v="168.7"/>
    <n v="174.9"/>
    <n v="522.1"/>
  </r>
  <r>
    <x v="0"/>
    <x v="5"/>
    <n v="173.7"/>
    <n v="179.2"/>
    <n v="176.3"/>
    <n v="529.20000000000005"/>
  </r>
  <r>
    <x v="0"/>
    <x v="6"/>
    <n v="142.80000000000001"/>
    <n v="179.9"/>
    <n v="155.4"/>
    <n v="478.1"/>
  </r>
  <r>
    <x v="0"/>
    <x v="7"/>
    <n v="172.8"/>
    <n v="174.7"/>
    <n v="173.4"/>
    <n v="520.9"/>
  </r>
  <r>
    <x v="0"/>
    <x v="8"/>
    <n v="120.4"/>
    <n v="123.1"/>
    <n v="121.3"/>
    <n v="364.8"/>
  </r>
  <r>
    <x v="0"/>
    <x v="9"/>
    <n v="215.5"/>
    <n v="207.8"/>
    <n v="212.9"/>
    <n v="636.20000000000005"/>
  </r>
  <r>
    <x v="1"/>
    <x v="10"/>
    <n v="178.2"/>
    <n v="165.5"/>
    <n v="172.9"/>
    <n v="516.6"/>
  </r>
  <r>
    <x v="0"/>
    <x v="11"/>
    <n v="190.5"/>
    <n v="197"/>
    <n v="193.5"/>
    <n v="581"/>
  </r>
  <r>
    <x v="0"/>
    <x v="12"/>
    <n v="175.5"/>
    <n v="182.1"/>
    <n v="177.9"/>
    <n v="535.5"/>
  </r>
  <r>
    <x v="1"/>
    <x v="13"/>
    <n v="199.5"/>
    <n v="203.5"/>
    <n v="200.6"/>
    <n v="603.6"/>
  </r>
  <r>
    <x v="2"/>
    <x v="14"/>
    <n v="190.7"/>
    <n v="181"/>
    <n v="186.9"/>
    <n v="558.6"/>
  </r>
  <r>
    <x v="2"/>
    <x v="15"/>
    <n v="187.3"/>
    <n v="167.7"/>
    <n v="179.2"/>
    <n v="534.20000000000005"/>
  </r>
  <r>
    <x v="2"/>
    <x v="16"/>
    <n v="190.2"/>
    <n v="178.9"/>
    <n v="185.7"/>
    <n v="554.79999999999995"/>
  </r>
  <r>
    <x v="3"/>
    <x v="17"/>
    <n v="175.4"/>
    <n v="175.2"/>
    <n v="175.2"/>
    <n v="525.79999999999995"/>
  </r>
  <r>
    <x v="3"/>
    <x v="18"/>
    <n v="181.5"/>
    <n v="182.1"/>
    <n v="181.7"/>
    <n v="545.29999999999995"/>
  </r>
  <r>
    <x v="3"/>
    <x v="19"/>
    <n v="179.1"/>
    <n v="169.6"/>
    <n v="174.6"/>
    <n v="523.29999999999995"/>
  </r>
  <r>
    <x v="4"/>
    <x v="20"/>
    <n v="187.2"/>
    <n v="181.5"/>
    <n v="185"/>
    <n v="553.70000000000005"/>
  </r>
  <r>
    <x v="3"/>
    <x v="21"/>
    <n v="169.4"/>
    <n v="160.1"/>
    <n v="164.5"/>
    <n v="494"/>
  </r>
  <r>
    <x v="1"/>
    <x v="22"/>
    <n v="173.2"/>
    <n v="168.8"/>
    <n v="170.7"/>
    <n v="512.70000000000005"/>
  </r>
  <r>
    <x v="3"/>
    <x v="23"/>
    <n v="179.4"/>
    <n v="174.2"/>
    <n v="176.4"/>
    <n v="530"/>
  </r>
  <r>
    <x v="4"/>
    <x v="24"/>
    <n v="183.8"/>
    <n v="184.4"/>
    <n v="184"/>
    <n v="552.20000000000005"/>
  </r>
  <r>
    <x v="5"/>
    <x v="25"/>
    <n v="178.9"/>
    <n v="170.9"/>
    <n v="175"/>
    <n v="524.79999999999995"/>
  </r>
  <r>
    <x v="5"/>
    <x v="26"/>
    <n v="178.8"/>
    <n v="177.4"/>
    <n v="178.1"/>
    <n v="534.30000000000007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x v="0"/>
    <n v="55990.924602459359"/>
    <m/>
    <n v="86692.515382787504"/>
    <m/>
    <n v="92441.854830099124"/>
    <m/>
  </r>
  <r>
    <x v="1"/>
    <n v="48033.558892131798"/>
    <n v="-0.14211884813164954"/>
    <n v="87441.416368947481"/>
    <n v="8.6385887276800456E-3"/>
    <n v="85798.258921224522"/>
    <n v="-7.1867834338514847E-2"/>
  </r>
  <r>
    <x v="2"/>
    <n v="61518.692284107237"/>
    <n v="0.28074399863351351"/>
    <n v="113228.86524779514"/>
    <n v="0.29491115251428374"/>
    <n v="89613.478577777831"/>
    <n v="4.446733190770507E-2"/>
  </r>
  <r>
    <x v="3"/>
    <n v="63309.498622749867"/>
    <n v="2.9109954587010409E-2"/>
    <n v="128800.06584155018"/>
    <n v="0.13751970895123189"/>
    <n v="89035.978544082594"/>
    <n v="-6.444343449897541E-3"/>
  </r>
  <r>
    <x v="4"/>
    <n v="60800.383481587211"/>
    <n v="-3.9632522697960866E-2"/>
    <n v="119633.62181054099"/>
    <n v="-7.1168007338488062E-2"/>
    <n v="87955.310700035101"/>
    <n v="-1.2137428730706251E-2"/>
  </r>
  <r>
    <x v="5"/>
    <n v="61073.298999169296"/>
    <n v="4.4887137539968789E-3"/>
    <n v="121897.63969956485"/>
    <n v="1.892459540019022E-2"/>
    <n v="83881.451010452583"/>
    <n v="-4.6317381601619328E-2"/>
  </r>
  <r>
    <x v="6"/>
    <n v="59460.950438057756"/>
    <n v="-2.6400220514262215E-2"/>
    <n v="128755.46490262874"/>
    <n v="5.6258884257037539E-2"/>
    <n v="85329.770402117996"/>
    <n v="1.7266265356865793E-2"/>
  </r>
  <r>
    <x v="7"/>
    <n v="67310.659830633638"/>
    <n v="0.13201452944740866"/>
    <n v="104567.31614182114"/>
    <n v="-0.18786114266372986"/>
    <n v="91863.736672447398"/>
    <n v="7.6573114395339092E-2"/>
  </r>
  <r>
    <x v="8"/>
    <n v="69109.876194440018"/>
    <n v="2.6730036049766089E-2"/>
    <n v="95157.741525290738"/>
    <n v="-8.9985809751189472E-2"/>
    <n v="90379.189582584731"/>
    <n v="-1.616031683052498E-2"/>
  </r>
  <r>
    <x v="9"/>
    <n v="72054.19693085934"/>
    <n v="4.260347288331847E-2"/>
    <n v="99194.385511237808"/>
    <n v="4.2420552665956485E-2"/>
    <n v="98715.177930114951"/>
    <n v="9.2233492975870746E-2"/>
  </r>
  <r>
    <x v="10"/>
    <n v="79009.388695268004"/>
    <n v="9.6527226180629297E-2"/>
    <n v="100258.75918442282"/>
    <n v="1.0730180621608104E-2"/>
    <n v="95382.058589648965"/>
    <n v="-3.3765013753261484E-2"/>
  </r>
  <r>
    <x v="11"/>
    <n v="81771.141778992853"/>
    <n v="3.495474562367111E-2"/>
    <n v="94253.237400611397"/>
    <n v="-5.9900220516039417E-2"/>
    <n v="94748.458657805822"/>
    <n v="-6.6427579904623875E-3"/>
  </r>
  <r>
    <x v="12"/>
    <n v="779442.57075045642"/>
    <n v="8.5320005786038386"/>
    <n v="1279881.0290171988"/>
    <n v="12.579173133090668"/>
    <n v="1085144.7244183917"/>
    <n v="10.45290107924085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775F89-8F85-45CD-A4B4-44619FF2FFB6}" name="PivotTable68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1" rowHeaderCaption="Category">
  <location ref="H3:J10" firstHeaderRow="0" firstDataRow="1" firstDataCol="1"/>
  <pivotFields count="6">
    <pivotField axis="axisRow" showAll="0">
      <items count="7">
        <item x="2"/>
        <item x="3"/>
        <item x="0"/>
        <item x="4"/>
        <item x="1"/>
        <item x="5"/>
        <item t="default"/>
      </items>
    </pivotField>
    <pivotField showAll="0">
      <items count="28">
        <item x="0"/>
        <item x="14"/>
        <item x="16"/>
        <item x="23"/>
        <item x="2"/>
        <item x="12"/>
        <item x="15"/>
        <item x="5"/>
        <item x="18"/>
        <item x="26"/>
        <item x="20"/>
        <item x="19"/>
        <item x="17"/>
        <item x="1"/>
        <item x="3"/>
        <item x="25"/>
        <item x="10"/>
        <item x="4"/>
        <item x="13"/>
        <item x="24"/>
        <item x="11"/>
        <item x="7"/>
        <item x="22"/>
        <item x="9"/>
        <item x="8"/>
        <item x="21"/>
        <item x="6"/>
        <item t="default"/>
      </items>
    </pivotField>
    <pivotField showAll="0"/>
    <pivotField showAll="0"/>
    <pivotField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um" fld="5" baseField="0" baseItem="0"/>
    <dataField name="Total Contribution" fld="5" showDataAs="percentOfTotal" baseField="0" baseItem="0" numFmtId="10"/>
  </dataFields>
  <formats count="6">
    <format dxfId="128">
      <pivotArea type="all" dataOnly="0" outline="0" fieldPosition="0"/>
    </format>
    <format dxfId="127">
      <pivotArea outline="0" collapsedLevelsAreSubtotals="1" fieldPosition="0"/>
    </format>
    <format dxfId="126">
      <pivotArea field="0" type="button" dataOnly="0" labelOnly="1" outline="0" axis="axisRow" fieldPosition="0"/>
    </format>
    <format dxfId="125">
      <pivotArea dataOnly="0" labelOnly="1" fieldPosition="0">
        <references count="1">
          <reference field="0" count="0"/>
        </references>
      </pivotArea>
    </format>
    <format dxfId="124">
      <pivotArea dataOnly="0" labelOnly="1" grandRow="1" outline="0" fieldPosition="0"/>
    </format>
    <format dxfId="12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70">
    <chartFormat chart="6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6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6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6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6" format="2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24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6" format="25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6" format="26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6" format="27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6" format="28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6" format="29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24" format="7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7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4" format="7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4" format="7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4" format="76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4" format="77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4" format="78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4" format="7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4" format="80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24" format="8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24" format="82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24" format="83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24" format="84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24" format="85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25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8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5" format="8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5" format="89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5" format="90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5" format="9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5" format="92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5" format="9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5" format="94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25" format="95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25" format="96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25" format="97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25" format="98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25" format="99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26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8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6" format="8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6" format="89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6" format="90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6" format="9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6" format="92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6" format="9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6" format="94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26" format="95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26" format="96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26" format="97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26" format="98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26" format="99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30" format="1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11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0" format="11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0" format="117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0" format="118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0" format="119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0" format="120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0" format="12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0" format="122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30" format="123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30" format="124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30" format="125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30" format="126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30" format="127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012D40-D438-499F-875F-189758F6FE31}" name="PivotTable5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1" rowHeaderCaption="Year">
  <location ref="N3:O11" firstHeaderRow="1" firstDataRow="1" firstDataCol="1"/>
  <pivotFields count="3"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dataField="1" numFmtId="164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Y-on-Y% Change" fld="2" baseField="0" baseItem="0" numFmtId="164"/>
  </dataFields>
  <formats count="9">
    <format dxfId="112">
      <pivotArea dataOnly="0" labelOnly="1" fieldPosition="0">
        <references count="1">
          <reference field="0" count="1">
            <x v="3"/>
          </reference>
        </references>
      </pivotArea>
    </format>
    <format dxfId="111">
      <pivotArea type="all" dataOnly="0" outline="0" fieldPosition="0"/>
    </format>
    <format dxfId="110">
      <pivotArea outline="0" collapsedLevelsAreSubtotals="1" fieldPosition="0"/>
    </format>
    <format dxfId="109">
      <pivotArea field="0" type="button" dataOnly="0" labelOnly="1" outline="0" axis="axisRow" fieldPosition="0"/>
    </format>
    <format dxfId="108">
      <pivotArea dataOnly="0" labelOnly="1" fieldPosition="0">
        <references count="1">
          <reference field="0" count="0"/>
        </references>
      </pivotArea>
    </format>
    <format dxfId="107">
      <pivotArea dataOnly="0" labelOnly="1" grandRow="1" outline="0" fieldPosition="0"/>
    </format>
    <format dxfId="106">
      <pivotArea dataOnly="0" labelOnly="1" outline="0" axis="axisValues" fieldPosition="0"/>
    </format>
    <format dxfId="105">
      <pivotArea collapsedLevelsAreSubtotals="1" fieldPosition="0">
        <references count="1">
          <reference field="0" count="1">
            <x v="3"/>
          </reference>
        </references>
      </pivotArea>
    </format>
    <format dxfId="104">
      <pivotArea dataOnly="0" labelOnly="1" fieldPosition="0">
        <references count="1">
          <reference field="0" count="1">
            <x v="3"/>
          </reference>
        </references>
      </pivotArea>
    </format>
  </formats>
  <conditionalFormats count="1">
    <conditionalFormat type="all" priority="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7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</conditionalFormat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86FC07-CDAE-4358-A1EB-4E103EB35B10}" name="PivotTable6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 rowHeaderCaption="Month">
  <location ref="V42:W55" firstHeaderRow="1" firstDataRow="1" firstDataCol="1"/>
  <pivotFields count="3">
    <pivotField axis="axisRow" showAll="0">
      <items count="13">
        <item n="Jun'22" x="0"/>
        <item n="Jun'22-July'22" x="1"/>
        <item n="July'22-Aug'22" x="2"/>
        <item n="Aug'22-Sept'22" x="3"/>
        <item n="Sept'22-Oct'22" x="4"/>
        <item n="Oct'22-Nov'22" x="5"/>
        <item n="Nov'22-Dec'22" x="6"/>
        <item n="Dec'22-Jan'23" x="7"/>
        <item n="Jan'23-Feb'23" x="8"/>
        <item n="Feb'23-Mar'23" x="9"/>
        <item n="Mar'23-Apr'23" x="10"/>
        <item n="Apr'23-May'23" x="11"/>
        <item t="default"/>
      </items>
    </pivotField>
    <pivotField showAll="0">
      <items count="13">
        <item x="0"/>
        <item x="1"/>
        <item x="2"/>
        <item x="8"/>
        <item x="9"/>
        <item x="6"/>
        <item x="3"/>
        <item x="10"/>
        <item x="7"/>
        <item x="5"/>
        <item x="4"/>
        <item x="11"/>
        <item t="default"/>
      </items>
    </pivotField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M-on-M% Change" fld="2" baseField="0" baseItem="0"/>
  </dataFields>
  <formats count="11">
    <format dxfId="92">
      <pivotArea collapsedLevelsAreSubtotals="1" fieldPosition="0">
        <references count="1">
          <reference field="0" count="0"/>
        </references>
      </pivotArea>
    </format>
    <format dxfId="91">
      <pivotArea type="all" dataOnly="0" outline="0" fieldPosition="0"/>
    </format>
    <format dxfId="90">
      <pivotArea outline="0" collapsedLevelsAreSubtotals="1" fieldPosition="0"/>
    </format>
    <format dxfId="89">
      <pivotArea field="0" type="button" dataOnly="0" labelOnly="1" outline="0" axis="axisRow" fieldPosition="0"/>
    </format>
    <format dxfId="88">
      <pivotArea dataOnly="0" labelOnly="1" fieldPosition="0">
        <references count="1">
          <reference field="0" count="0"/>
        </references>
      </pivotArea>
    </format>
    <format dxfId="87">
      <pivotArea dataOnly="0" labelOnly="1" grandRow="1" outline="0" fieldPosition="0"/>
    </format>
    <format dxfId="86">
      <pivotArea dataOnly="0" labelOnly="1" outline="0" axis="axisValues" fieldPosition="0"/>
    </format>
    <format dxfId="85">
      <pivotArea collapsedLevelsAreSubtotals="1" fieldPosition="0">
        <references count="1">
          <reference field="0" count="1">
            <x v="6"/>
          </reference>
        </references>
      </pivotArea>
    </format>
    <format dxfId="84">
      <pivotArea dataOnly="0" labelOnly="1" fieldPosition="0">
        <references count="1">
          <reference field="0" count="1">
            <x v="6"/>
          </reference>
        </references>
      </pivotArea>
    </format>
    <format dxfId="83">
      <pivotArea collapsedLevelsAreSubtotals="1" fieldPosition="0">
        <references count="1">
          <reference field="0" count="1">
            <x v="11"/>
          </reference>
        </references>
      </pivotArea>
    </format>
    <format dxfId="82">
      <pivotArea dataOnly="0" labelOnly="1" fieldPosition="0">
        <references count="1">
          <reference field="0" count="1">
            <x v="11"/>
          </reference>
        </references>
      </pivotArea>
    </format>
  </formats>
  <conditionalFormats count="3">
    <conditionalFormat priority="14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1">
              <x v="11"/>
            </reference>
          </references>
        </pivotArea>
      </pivotAreas>
    </conditionalFormat>
    <conditionalFormat type="all" priority="1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type="all" priority="1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</conditionalFormat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035879-1F3F-4F05-B47D-ACC5E2E00E4A}" name="PivotTable6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BF18:BI30" firstHeaderRow="0" firstDataRow="1" firstDataCol="1"/>
  <pivotFields count="7">
    <pivotField axis="axisRow" showAll="0">
      <items count="13">
        <item h="1" x="0"/>
        <item n="dec'19-jan'20" x="1"/>
        <item n="jan'20-feb'20" x="2"/>
        <item n="feb'20-mar'20" x="3"/>
        <item n="mar'20-apr'20" x="4"/>
        <item n="apr'20-may'20" x="5"/>
        <item n="may'20-jun'20" x="6"/>
        <item n="jun'20-jul'20" x="7"/>
        <item n="jul'20-aug'20" x="8"/>
        <item n="aug'20-sept'20" x="9"/>
        <item n="sept'20-oct'20" x="10"/>
        <item n="oct'20-nov'20" x="11"/>
        <item t="default"/>
      </items>
    </pivotField>
    <pivotField showAll="0"/>
    <pivotField dataField="1" showAll="0">
      <items count="13">
        <item x="3"/>
        <item x="4"/>
        <item x="6"/>
        <item x="2"/>
        <item x="8"/>
        <item x="10"/>
        <item x="7"/>
        <item x="9"/>
        <item x="1"/>
        <item x="11"/>
        <item x="5"/>
        <item x="0"/>
        <item t="default"/>
      </items>
    </pivotField>
    <pivotField showAll="0"/>
    <pivotField dataField="1" showAll="0"/>
    <pivotField showAll="0"/>
    <pivotField dataField="1" showAll="0"/>
  </pivotFields>
  <rowFields count="1">
    <field x="0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M-on-M food% change" fld="2" baseField="0" baseItem="0" numFmtId="10"/>
    <dataField name="M-on-M health care% change" fld="4" baseField="0" baseItem="0"/>
    <dataField name="M-on-M essential services% change" fld="6" baseField="0" baseItem="0"/>
  </dataFields>
  <formats count="9">
    <format dxfId="40">
      <pivotArea outline="0" collapsedLevelsAreSubtotals="1" fieldPosition="0"/>
    </format>
    <format dxfId="39">
      <pivotArea collapsedLevelsAreSubtotals="1" fieldPosition="0">
        <references count="1">
          <reference field="0" count="11"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38">
      <pivotArea grandRow="1" outline="0" collapsedLevelsAreSubtotals="1" fieldPosition="0"/>
    </format>
    <format dxfId="37">
      <pivotArea type="all" dataOnly="0" outline="0" fieldPosition="0"/>
    </format>
    <format dxfId="36">
      <pivotArea outline="0" collapsedLevelsAreSubtotals="1" fieldPosition="0"/>
    </format>
    <format dxfId="35">
      <pivotArea field="0" type="button" dataOnly="0" labelOnly="1" outline="0" axis="axisRow" fieldPosition="0"/>
    </format>
    <format dxfId="34">
      <pivotArea dataOnly="0" labelOnly="1" fieldPosition="0">
        <references count="1">
          <reference field="0" count="0"/>
        </references>
      </pivotArea>
    </format>
    <format dxfId="33">
      <pivotArea dataOnly="0" labelOnly="1" grandRow="1" outline="0" fieldPosition="0"/>
    </format>
    <format dxfId="3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15"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1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1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2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2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6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2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8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3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3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ED8C56-93EB-49E7-A260-DF3EB8294846}" name="PivotTable6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category">
  <location ref="AK24:AM28" firstHeaderRow="0" firstDataRow="1" firstDataCol="1"/>
  <pivotFields count="4"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e covid total" fld="2" baseField="0" baseItem="0"/>
    <dataField name="Sum of post covid total" fld="3" baseField="0" baseItem="0"/>
  </dataFields>
  <chartFormats count="6">
    <chartFormat chart="7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7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7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20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7" format="2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BEAFA1-BA4C-4315-9AA8-067AF8B84F4E}" name="PivotTable70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T18:W30" firstHeaderRow="0" firstDataRow="1" firstDataCol="1"/>
  <pivotFields count="7">
    <pivotField axis="axisRow" showAll="0">
      <items count="14">
        <item h="1" x="0"/>
        <item n="jan-feb" x="1"/>
        <item n="feb-mar" x="2"/>
        <item n="mar-apr" x="3"/>
        <item n="apr-may" x="4"/>
        <item n="may-jun" x="5"/>
        <item n="jun-jul" x="6"/>
        <item n="jul-aug" x="7"/>
        <item n="aug-sept" x="8"/>
        <item n="sept-oct" x="9"/>
        <item n="oct-nov" x="10"/>
        <item n="nov-dec" x="11"/>
        <item h="1" x="12"/>
        <item t="default"/>
      </items>
    </pivotField>
    <pivotField numFmtId="1" showAll="0"/>
    <pivotField dataField="1" showAll="0"/>
    <pivotField numFmtId="1" showAll="0"/>
    <pivotField dataField="1" showAll="0"/>
    <pivotField numFmtId="1" showAll="0"/>
    <pivotField dataField="1" showAll="0"/>
  </pivotFields>
  <rowFields count="1">
    <field x="0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2021 M-o-M% Change" fld="2" baseField="0" baseItem="0"/>
    <dataField name="2022 M-o-M% Change" fld="4" baseField="0" baseItem="0"/>
    <dataField name="2023 M-o-M% Change" fld="6" baseField="0" baseItem="0"/>
  </dataFields>
  <formats count="8">
    <format dxfId="24">
      <pivotArea collapsedLevelsAreSubtotals="1" fieldPosition="0">
        <references count="1">
          <reference field="0" count="11"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23">
      <pivotArea grandRow="1" outline="0" collapsedLevelsAreSubtotals="1" fieldPosition="0"/>
    </format>
    <format dxfId="22">
      <pivotArea type="all" dataOnly="0" outline="0" fieldPosition="0"/>
    </format>
    <format dxfId="21">
      <pivotArea outline="0" collapsedLevelsAreSubtotals="1" fieldPosition="0"/>
    </format>
    <format dxfId="20">
      <pivotArea field="0" type="button" dataOnly="0" labelOnly="1" outline="0" axis="axisRow" fieldPosition="0"/>
    </format>
    <format dxfId="19">
      <pivotArea dataOnly="0" labelOnly="1" fieldPosition="0">
        <references count="1">
          <reference field="0" count="0"/>
        </references>
      </pivotArea>
    </format>
    <format dxfId="18">
      <pivotArea dataOnly="0" labelOnly="1" grandRow="1" outline="0" fieldPosition="0"/>
    </format>
    <format dxfId="1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9">
    <chartFormat chart="8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2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4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3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6" format="3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3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3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EEDEA95-8840-4D35-8BCB-6AEA85D05D85}" name="Table8" displayName="Table8" ref="A3:F30" totalsRowShown="0" dataDxfId="122" tableBorderDxfId="121">
  <autoFilter ref="A3:F30" xr:uid="{6EEDEA95-8840-4D35-8BCB-6AEA85D05D85}"/>
  <tableColumns count="6">
    <tableColumn id="1" xr3:uid="{FE8D4472-D932-4620-95C2-CAE35C1E9E25}" name="Category" dataDxfId="120"/>
    <tableColumn id="2" xr3:uid="{E3C570E9-ED01-4302-B774-3BA755DC5D78}" name="Sub Categories" dataDxfId="119"/>
    <tableColumn id="3" xr3:uid="{387B7128-CC93-4C1C-B1BD-45E5849DC7B8}" name="Rural" dataDxfId="118"/>
    <tableColumn id="4" xr3:uid="{C79D047B-E314-48DE-8195-07CC9BB82881}" name="Urban" dataDxfId="117"/>
    <tableColumn id="5" xr3:uid="{2FD6F2FA-E176-48EA-84F3-D3A979441C52}" name="Rural+Urban" dataDxfId="116"/>
    <tableColumn id="6" xr3:uid="{A4B2054D-BCC6-484A-BCFF-B2CC5CB7B79C}" name="Total" dataDxfId="1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A167EF-EB1D-416E-979F-6BB59916294E}" name="Table2" displayName="Table2" ref="A3:L30" totalsRowShown="0" tableBorderDxfId="103">
  <autoFilter ref="A3:L30" xr:uid="{94A167EF-EB1D-416E-979F-6BB59916294E}"/>
  <tableColumns count="12">
    <tableColumn id="1" xr3:uid="{58FE7B65-F7F0-48AD-9A62-7303EB32AC8B}" name="Sub categories" dataDxfId="102"/>
    <tableColumn id="2" xr3:uid="{F87ECE01-F204-4F85-ADE1-7042BDA67DC9}" name="Category" dataDxfId="101"/>
    <tableColumn id="3" xr3:uid="{8B2A5A02-4E8D-4E1A-9A7D-D6C42EBA1D1A}" name="2017"/>
    <tableColumn id="4" xr3:uid="{8DC1CCE5-3EB5-46DB-B8BD-60CFEC99E86C}" name="2018"/>
    <tableColumn id="5" xr3:uid="{BBBDF0F8-4A5E-4369-A853-3398838C100B}" name="2019"/>
    <tableColumn id="6" xr3:uid="{AEF0013E-43D7-48A6-964A-6ADCD8E5FF0B}" name="2020"/>
    <tableColumn id="7" xr3:uid="{AFAE8B8E-1718-4B41-A3E0-E38EDBE34DC2}" name="2021"/>
    <tableColumn id="8" xr3:uid="{32387E57-036C-49B6-9049-D1619EABB447}" name="2022"/>
    <tableColumn id="9" xr3:uid="{5198DA3E-1F0D-4407-92A7-FD6B8819BDF6}" name="2023"/>
    <tableColumn id="11" xr3:uid="{82B41A55-7ED9-4CC0-A667-2213E13F2119}" name="Year"/>
    <tableColumn id="10" xr3:uid="{16362DFE-2DCD-46D8-A2C3-DAB0315F01A6}" name="Category Total"/>
    <tableColumn id="12" xr3:uid="{18293EEF-A5A0-43A3-AB69-2F84D793C2A5}" name="Y-o-Y% Chan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DB6929E5-0229-4626-AC95-8F2C7B0E4FA5}" name="Table25" displayName="Table25" ref="A3:N30" totalsRowShown="0" tableBorderDxfId="81">
  <autoFilter ref="A3:N30" xr:uid="{DB6929E5-0229-4626-AC95-8F2C7B0E4FA5}"/>
  <tableColumns count="14">
    <tableColumn id="1" xr3:uid="{D0CFD872-522E-43FD-BD5C-D89680CF439A}" name="Sub categories"/>
    <tableColumn id="2" xr3:uid="{A9B02732-DE53-43AE-978C-E78443D98D9C}" name="Category"/>
    <tableColumn id="3" xr3:uid="{5E41C10E-B1B4-4731-9463-7AB9B893D33F}" name="June'22"/>
    <tableColumn id="4" xr3:uid="{5E9E3B87-84ED-40E7-97EC-35733069F3C3}" name="July'22"/>
    <tableColumn id="5" xr3:uid="{1C675E60-8223-4D6E-BE17-2AC286B32F84}" name="August'22"/>
    <tableColumn id="6" xr3:uid="{AD24E9A0-3115-4B21-BED5-1CD6AEF5034B}" name="September'22"/>
    <tableColumn id="7" xr3:uid="{1482E44E-2AD6-4314-B5FA-A5B4BA28BDA8}" name="October'22"/>
    <tableColumn id="8" xr3:uid="{563712D2-C905-4DCC-9B1C-20460089194A}" name="November'22"/>
    <tableColumn id="9" xr3:uid="{15660D7A-CCFF-45C6-85C6-3F6473088AD7}" name="December'22"/>
    <tableColumn id="10" xr3:uid="{A6DE24B8-1A2E-4D81-8A5C-6895AB14FD23}" name="January'23"/>
    <tableColumn id="11" xr3:uid="{8CF99320-1AE7-46BA-A79E-B77E92A4800D}" name="February'23"/>
    <tableColumn id="12" xr3:uid="{A9C58670-21EA-4E93-84F2-7996CC0E5933}" name="March'23"/>
    <tableColumn id="13" xr3:uid="{D1F4BE22-51A3-4A3B-B712-61E1D0F44189}" name="April'23"/>
    <tableColumn id="14" xr3:uid="{2DC75DD9-43A3-45D6-854C-9455BB475D98}" name="May'2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13377F3-7B3D-4CF5-A079-8BCD0DA31C0D}" name="Table26" displayName="Table26" ref="A42:O54" totalsRowShown="0">
  <autoFilter ref="A42:O54" xr:uid="{013377F3-7B3D-4CF5-A079-8BCD0DA31C0D}"/>
  <tableColumns count="15">
    <tableColumn id="1" xr3:uid="{0440A815-8C0A-490E-AB8B-102E7EFACEB1}" name="Sub categories"/>
    <tableColumn id="2" xr3:uid="{40CBB0F9-1FA7-4C41-A62B-D64E35ECD999}" name="Category"/>
    <tableColumn id="3" xr3:uid="{EE607505-AA5F-4165-8275-0F6EE942049C}" name="June'22"/>
    <tableColumn id="4" xr3:uid="{C3D8428B-0129-48AB-A8A6-0A39D1EE39C4}" name="July'22"/>
    <tableColumn id="5" xr3:uid="{435C5EC3-9071-4309-94B0-743E07D7E289}" name="August'22"/>
    <tableColumn id="6" xr3:uid="{4D7FEC0E-0716-4969-9136-B5E2EBDD64CC}" name="September'22"/>
    <tableColumn id="7" xr3:uid="{F872D77D-3534-41D2-A48A-584D62DA784C}" name="October'22"/>
    <tableColumn id="8" xr3:uid="{F529409D-28F3-4FCA-8814-5544532534E1}" name="November'22"/>
    <tableColumn id="9" xr3:uid="{71F2BF5C-FC6F-4E06-BC07-0AAB2BF6EC56}" name="December'22"/>
    <tableColumn id="10" xr3:uid="{905D7416-88F3-43B3-BAA3-B76C930A409C}" name="January'23"/>
    <tableColumn id="11" xr3:uid="{F1B075F6-DC84-40EB-80F2-49AA74211161}" name="February'23"/>
    <tableColumn id="12" xr3:uid="{E7B14DD3-CA5C-43CB-9520-E328ED9DC243}" name="March'23"/>
    <tableColumn id="13" xr3:uid="{3ECD94DC-F84C-46F5-975E-A0228B98EF2A}" name="April'23"/>
    <tableColumn id="14" xr3:uid="{AA1E6FFE-BE94-4D09-ACD6-5A6DC4277514}" name="May'23"/>
    <tableColumn id="15" xr3:uid="{2618984D-B406-40BB-8AC4-F93B54D1F8E4}" name="Total as per sub-categories">
      <calculatedColumnFormula>SUM(C43:N43)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2A7CF94F-B302-4C5E-B754-D547CA68BD03}" name="Table27" displayName="Table27" ref="Q42:S54" totalsRowShown="0" headerRowDxfId="80">
  <autoFilter ref="Q42:S54" xr:uid="{2A7CF94F-B302-4C5E-B754-D547CA68BD03}"/>
  <tableColumns count="3">
    <tableColumn id="1" xr3:uid="{DDE5C690-D315-4C1B-96E0-4C9141F80172}" name="Month"/>
    <tableColumn id="2" xr3:uid="{B07D76AD-DC32-494A-A1D9-2644F9C6A930}" name="Total"/>
    <tableColumn id="3" xr3:uid="{03A533FE-C96D-4367-BB6C-6B7D719CE739}" name="M-o-M% Change" dataDxfId="79" dataCellStyle="Percent">
      <calculatedColumnFormula>(R43-R42)/R43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E792C66-CE07-4719-A37D-310B131169A1}" name="Table4" displayName="Table4" ref="A1:AG373" totalsRowShown="0" headerRowDxfId="78" dataDxfId="76" headerRowBorderDxfId="77" tableBorderDxfId="75" totalsRowBorderDxfId="74">
  <autoFilter ref="A1:AG373" xr:uid="{8E792C66-CE07-4719-A37D-310B131169A1}"/>
  <tableColumns count="33">
    <tableColumn id="1" xr3:uid="{D500D479-EA95-4AD3-A5B7-6453732044B6}" name="sector" dataDxfId="73"/>
    <tableColumn id="2" xr3:uid="{83F12EA2-773C-46E2-8567-3A16DF7BCE47}" name="year" dataDxfId="72"/>
    <tableColumn id="3" xr3:uid="{DA1CD38E-EACE-4097-A890-6D124ACC37DD}" name="month" dataDxfId="71"/>
    <tableColumn id="4" xr3:uid="{BC0FA619-5EAC-4C8E-9F39-095AA50DFC09}" name="mon" dataDxfId="70">
      <calculatedColumnFormula>MONTH(DATEVALUE(C2 &amp; " 1"))</calculatedColumnFormula>
    </tableColumn>
    <tableColumn id="5" xr3:uid="{B5D5BCA0-4DD6-43EC-8380-48968ED74218}" name="cereals and products" dataDxfId="69"/>
    <tableColumn id="6" xr3:uid="{4D3E5F47-2D9E-4D44-9367-9D4AB3A3DB58}" name="meat and fish" dataDxfId="68"/>
    <tableColumn id="7" xr3:uid="{2B00D3D2-CB9A-457C-92BC-40C2EADE4564}" name="egg" dataDxfId="67"/>
    <tableColumn id="8" xr3:uid="{9E1939BF-E856-45D0-98CD-B8C6B37838C7}" name="milk and products" dataDxfId="66"/>
    <tableColumn id="9" xr3:uid="{F5B7875A-22D9-406D-A6EC-6DBAE608C22B}" name="oils and fats" dataDxfId="65"/>
    <tableColumn id="10" xr3:uid="{AEB29ED3-5244-4C9B-8743-6EB0F1B70FDF}" name="fruits" dataDxfId="64"/>
    <tableColumn id="11" xr3:uid="{33ED4B5E-78A2-46B1-BD42-A07C85E14D8A}" name="vegetables" dataDxfId="63"/>
    <tableColumn id="12" xr3:uid="{E510D170-75AF-4519-849B-6F56712B0493}" name="pulses and products" dataDxfId="62"/>
    <tableColumn id="13" xr3:uid="{1FE39BDB-8A09-4C59-A59D-9B38F4C9133D}" name="sugar and confectionery" dataDxfId="61"/>
    <tableColumn id="14" xr3:uid="{4D205D7D-3DE8-4DE1-A8EC-7E8771FFB684}" name="spices" dataDxfId="60"/>
    <tableColumn id="15" xr3:uid="{A4C65AA4-18DA-480E-8147-3AC420299AD2}" name="non-alcoholic beverages" dataDxfId="59"/>
    <tableColumn id="16" xr3:uid="{468EAFC1-8963-403F-93E9-947BF48E0DA2}" name="prepared meals, snacks, sweets etc." dataDxfId="58"/>
    <tableColumn id="17" xr3:uid="{071D0BA3-047C-482D-B468-5AC6E6E848A5}" name="food and beverages" dataDxfId="57"/>
    <tableColumn id="18" xr3:uid="{EDBEBB7D-12EF-444A-AEF6-1563C54FFD3B}" name="pan, tobacco and intoxicants" dataDxfId="56"/>
    <tableColumn id="19" xr3:uid="{89618FFD-02B9-42E0-BBD4-A285C2F2870C}" name="clothing" dataDxfId="55"/>
    <tableColumn id="20" xr3:uid="{C3C2AA74-516A-43F6-A57C-5FB073767C37}" name="footwear" dataDxfId="54"/>
    <tableColumn id="21" xr3:uid="{39242284-65C7-422D-923B-5765BCA0BA86}" name="clothing and footwear" dataDxfId="53"/>
    <tableColumn id="22" xr3:uid="{9629B12F-8862-469C-9CED-C4FF7861BD22}" name="housing" dataDxfId="52"/>
    <tableColumn id="23" xr3:uid="{C07358C2-4D0A-4E23-B09B-07292FB2B3F0}" name="fuel and light" dataDxfId="51"/>
    <tableColumn id="24" xr3:uid="{059E47D6-8CDF-4E0D-9FF3-B6E05F34FB23}" name="household goods and services" dataDxfId="50"/>
    <tableColumn id="25" xr3:uid="{0F53DE11-64C5-4AC9-9294-D7CD9FD4F0E1}" name="health" dataDxfId="49"/>
    <tableColumn id="26" xr3:uid="{676CA650-0B22-42FA-9C6D-BB7F8B54734B}" name="transport and communication" dataDxfId="48"/>
    <tableColumn id="27" xr3:uid="{B2CE8259-2903-448A-B7C8-3103B2B5541A}" name="recreation and amusement" dataDxfId="47"/>
    <tableColumn id="28" xr3:uid="{B09D658A-EAB5-463A-A9A3-7715E45F0A64}" name="education" dataDxfId="46"/>
    <tableColumn id="29" xr3:uid="{36E3E428-B0CE-4DCB-958E-5265105E1CB9}" name="personal care and effects" dataDxfId="45"/>
    <tableColumn id="30" xr3:uid="{1884A006-6F1D-4527-BCED-627580893FF4}" name="miscellaneous" dataDxfId="44"/>
    <tableColumn id="31" xr3:uid="{7520BEED-283B-492B-8383-584E51862401}" name="general index" dataDxfId="43"/>
    <tableColumn id="32" xr3:uid="{EA6E066F-E3A1-4BB6-BD57-48F41DEC7292}" name="era" dataDxfId="42">
      <calculatedColumnFormula>IF(AND(B2=2020,D2&lt;4),"Pre Covid",IF(B2&lt;2020,"Pre Covid","Post Covid"))</calculatedColumnFormula>
    </tableColumn>
    <tableColumn id="33" xr3:uid="{6349CE9D-572F-4E5C-80C0-7FBD1F12A7AE}" name="category" dataDxfId="4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39998B03-65F0-4A17-BEC8-9BFDF1A6DAF3}" name="Table28" displayName="Table28" ref="BF2:BL14" totalsRowShown="0" dataDxfId="31" dataCellStyle="Percent">
  <autoFilter ref="BF2:BL14" xr:uid="{39998B03-65F0-4A17-BEC8-9BFDF1A6DAF3}"/>
  <tableColumns count="7">
    <tableColumn id="1" xr3:uid="{E7C7DE39-BED8-4832-8040-E82C8787A527}" name="Month"/>
    <tableColumn id="2" xr3:uid="{1F3A4758-382C-4B08-96DA-378D53F8E25E}" name="food"/>
    <tableColumn id="3" xr3:uid="{A2FB9FFE-4F1F-47ED-8FE6-446021E0DE42}" name="food M-on-M change" dataDxfId="30" dataCellStyle="Percent"/>
    <tableColumn id="4" xr3:uid="{A9B0B8E9-9959-4775-8B08-6BE6B2F9E47A}" name="health care"/>
    <tableColumn id="5" xr3:uid="{3FEC0C70-EF38-4036-B559-6207CF1AFBE3}" name="health care M-o-M change" dataDxfId="29" dataCellStyle="Percent"/>
    <tableColumn id="6" xr3:uid="{7512DDDA-922C-475D-9235-3DF0669AB850}" name="essential services"/>
    <tableColumn id="7" xr3:uid="{169AAC75-7FC8-4DCB-89F7-590C095E506B}" name="essential services M-o-M change" dataDxfId="28" dataCellStyle="Percen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E6680626-A9A9-4F71-A5A3-68A6A7DB5F9E}" name="Table29" displayName="Table29" ref="AK2:AZ21" totalsRowShown="0" headerRowDxfId="27">
  <autoFilter ref="AK2:AZ21" xr:uid="{E6680626-A9A9-4F71-A5A3-68A6A7DB5F9E}"/>
  <tableColumns count="16">
    <tableColumn id="1" xr3:uid="{F00D99AD-396C-462B-AC18-4725F30883E5}" name="category" dataDxfId="26"/>
    <tableColumn id="2" xr3:uid="{C56BC69A-FC19-4DA6-8AAA-7816A6641B9F}" name="sub categories" dataDxfId="25"/>
    <tableColumn id="3" xr3:uid="{1F188E1A-D17F-41BE-980D-278A6022B031}" name="pre covid total"/>
    <tableColumn id="4" xr3:uid="{CAE7AAC5-F395-4764-991F-579D863D8A31}" name="post covid total"/>
    <tableColumn id="6" xr3:uid="{68428C00-7C94-4850-8F29-223933E89714}" name="November"/>
    <tableColumn id="7" xr3:uid="{002D8C67-0970-446C-95F5-1F9F08EC7C8D}" name="December"/>
    <tableColumn id="8" xr3:uid="{5166F4D7-24E9-4A7E-8DAB-D644B5D76545}" name="January"/>
    <tableColumn id="9" xr3:uid="{C731308F-119D-4AA6-91AA-EA330BD42CC5}" name="February"/>
    <tableColumn id="10" xr3:uid="{4B965F5F-DE1E-4C9C-B9A2-1A353D5750FA}" name="March"/>
    <tableColumn id="11" xr3:uid="{C6AB675D-48D6-4DFA-A1B1-7788352CB268}" name="April"/>
    <tableColumn id="12" xr3:uid="{D3A218D0-A923-4EF3-9B6E-1DF891AF1662}" name="May"/>
    <tableColumn id="13" xr3:uid="{2432951C-9897-44D3-88FB-AD23716449DA}" name="June"/>
    <tableColumn id="14" xr3:uid="{10872B0F-663F-4BD7-B71E-499F4BD1C1AB}" name="July"/>
    <tableColumn id="15" xr3:uid="{972FBEFA-AF43-4D4F-A5CB-4C22C94D5CA0}" name="August"/>
    <tableColumn id="16" xr3:uid="{1D81313D-D1F0-478B-8DA4-532769070D99}" name="September"/>
    <tableColumn id="17" xr3:uid="{7CC6BC59-1BC5-4D41-92A2-BEE48304815A}" name="October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275D39CC-5864-42B0-A8F5-F75721FD1407}" name="Table619" displayName="Table619" ref="T2:Z15" totalsRowShown="0" headerRowDxfId="16" headerRowBorderDxfId="15" tableBorderDxfId="14" totalsRowBorderDxfId="13">
  <autoFilter ref="T2:Z15" xr:uid="{275D39CC-5864-42B0-A8F5-F75721FD1407}"/>
  <tableColumns count="7">
    <tableColumn id="1" xr3:uid="{8C38246C-6A3D-4973-920B-F303F8FC338B}" name="month" dataDxfId="12"/>
    <tableColumn id="2" xr3:uid="{D57BB108-1C6F-452C-9BA3-5FF3B1B4915B}" name="2021" dataDxfId="11" dataCellStyle="Normal 2 2 3 5"/>
    <tableColumn id="3" xr3:uid="{4DD65C44-B5A7-48DE-B699-60CD64A5694B}" name="21 M-o-M% Change" dataDxfId="10" dataCellStyle="Percent">
      <calculatedColumnFormula>(U3-U2)/U2</calculatedColumnFormula>
    </tableColumn>
    <tableColumn id="4" xr3:uid="{AF50F3CA-9611-4CDC-90C0-29A243115EB5}" name="2022" dataDxfId="9" dataCellStyle="Normal 2 2 3 5"/>
    <tableColumn id="5" xr3:uid="{24FCFD53-E9C9-46A4-9894-2BD192187E43}" name="22 M-o-M% Change" dataDxfId="8" dataCellStyle="Percent">
      <calculatedColumnFormula>(W3-W2)/W2</calculatedColumnFormula>
    </tableColumn>
    <tableColumn id="6" xr3:uid="{8A4583E9-0EA8-4B10-902C-2D3F4E57CBF9}" name="2023" dataDxfId="7" dataCellStyle="Normal 2 2 3 5"/>
    <tableColumn id="7" xr3:uid="{DF9E7A4E-A588-43CA-B64E-857DFA05B8FC}" name="23 M-o-M% Change" dataDxfId="6" dataCellStyle="Percent">
      <calculatedColumnFormula>(Y3-Y2)/Y2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22092CF4-51F7-43EA-9F9E-0C2F2056CDBA}" name="Table1622" displayName="Table1622" ref="AN4:AO10" totalsRowShown="0" tableBorderDxfId="5">
  <autoFilter ref="AN4:AO10" xr:uid="{22092CF4-51F7-43EA-9F9E-0C2F2056CDBA}"/>
  <tableColumns count="2">
    <tableColumn id="1" xr3:uid="{C6FFE519-C2C9-431A-834B-507BABE81443}" name="Category correlation with crude oil"/>
    <tableColumn id="2" xr3:uid="{6FC1BFFB-6C36-4BC0-A22B-01B989D76E47}" name="Trend" dataDxfId="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205A59A9-6348-49B8-9A16-E577A96BF849}" name="Table1324" displayName="Table1324" ref="AD4:AE10" totalsRowShown="0" tableBorderDxfId="3">
  <autoFilter ref="AD4:AE10" xr:uid="{205A59A9-6348-49B8-9A16-E577A96BF849}"/>
  <tableColumns count="2">
    <tableColumn id="1" xr3:uid="{6A87BABB-1D91-407F-8D35-3BAEC7E46E64}" name="Category correlation with crude oil"/>
    <tableColumn id="2" xr3:uid="{AA0BC3C2-B55B-495C-B468-BFF70CB25820}" name="Trend" dataDxfId="2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6717AC59-E8A4-4BC7-813E-D8D883933C4E}" name="Table1521" displayName="Table1521" ref="AJ4:AK10" totalsRowShown="0" tableBorderDxfId="1">
  <autoFilter ref="AJ4:AK10" xr:uid="{6717AC59-E8A4-4BC7-813E-D8D883933C4E}"/>
  <tableColumns count="2">
    <tableColumn id="1" xr3:uid="{0F9FADED-3BFC-4F86-9DEA-BB09600468EE}" name="Category correlation with crude oil"/>
    <tableColumn id="2" xr3:uid="{8EFD0D13-C931-4BCA-891E-0046D1DD2B88}" name="Tren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Slipstream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7" Type="http://schemas.openxmlformats.org/officeDocument/2006/relationships/table" Target="../tables/table12.xml"/><Relationship Id="rId2" Type="http://schemas.openxmlformats.org/officeDocument/2006/relationships/hyperlink" Target="https://ppac.gov.in/import-export/history" TargetMode="External"/><Relationship Id="rId1" Type="http://schemas.openxmlformats.org/officeDocument/2006/relationships/pivotTable" Target="../pivotTables/pivotTable6.xml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pac.gov.in/import-export/histo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FA8BB-B576-43F8-B74F-40368DE9F28F}">
  <sheetPr>
    <tabColor rgb="FF92D050"/>
  </sheetPr>
  <dimension ref="A1:AF373"/>
  <sheetViews>
    <sheetView zoomScale="68" zoomScaleNormal="130" workbookViewId="0">
      <selection activeCell="G28" sqref="G28"/>
    </sheetView>
  </sheetViews>
  <sheetFormatPr defaultRowHeight="14.4"/>
  <cols>
    <col min="1" max="1" width="12" bestFit="1" customWidth="1"/>
    <col min="2" max="2" width="8.88671875" bestFit="1" customWidth="1"/>
    <col min="3" max="3" width="10.88671875" bestFit="1" customWidth="1"/>
    <col min="4" max="4" width="26.109375" bestFit="1" customWidth="1"/>
    <col min="5" max="5" width="18.5546875" bestFit="1" customWidth="1"/>
    <col min="6" max="6" width="8.44140625" bestFit="1" customWidth="1"/>
    <col min="7" max="7" width="23.109375" bestFit="1" customWidth="1"/>
    <col min="8" max="8" width="17.109375" bestFit="1" customWidth="1"/>
    <col min="9" max="9" width="12" customWidth="1"/>
    <col min="10" max="10" width="15.44140625" bestFit="1" customWidth="1"/>
    <col min="11" max="11" width="25.5546875" bestFit="1" customWidth="1"/>
    <col min="12" max="12" width="29.5546875" bestFit="1" customWidth="1"/>
    <col min="13" max="13" width="11.21875" bestFit="1" customWidth="1"/>
    <col min="14" max="14" width="29.6640625" bestFit="1" customWidth="1"/>
    <col min="15" max="15" width="41.6640625" bestFit="1" customWidth="1"/>
    <col min="16" max="16" width="24.77734375" bestFit="1" customWidth="1"/>
    <col min="17" max="17" width="34.109375" bestFit="1" customWidth="1"/>
    <col min="18" max="18" width="12.88671875" bestFit="1" customWidth="1"/>
    <col min="19" max="19" width="13" bestFit="1" customWidth="1"/>
    <col min="20" max="20" width="26.5546875" bestFit="1" customWidth="1"/>
    <col min="21" max="21" width="12.88671875" bestFit="1" customWidth="1"/>
    <col min="22" max="22" width="18.44140625" bestFit="1" customWidth="1"/>
    <col min="23" max="23" width="35.88671875" bestFit="1" customWidth="1"/>
    <col min="24" max="24" width="10.88671875" bestFit="1" customWidth="1"/>
    <col min="25" max="25" width="34.5546875" bestFit="1" customWidth="1"/>
    <col min="26" max="26" width="31.6640625" bestFit="1" customWidth="1"/>
    <col min="27" max="27" width="14.44140625" bestFit="1" customWidth="1"/>
    <col min="28" max="28" width="30.6640625" bestFit="1" customWidth="1"/>
    <col min="29" max="29" width="19.21875" bestFit="1" customWidth="1"/>
    <col min="30" max="30" width="18.5546875" bestFit="1" customWidth="1"/>
    <col min="31" max="31" width="33.5546875" bestFit="1" customWidth="1"/>
    <col min="32" max="32" width="17.21875" bestFit="1" customWidth="1"/>
    <col min="33" max="33" width="16.77734375" customWidth="1"/>
    <col min="35" max="35" width="30.44140625" bestFit="1" customWidth="1"/>
  </cols>
  <sheetData>
    <row r="1" spans="1:3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4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13" t="s">
        <v>55</v>
      </c>
      <c r="AF1" s="47" t="s">
        <v>54</v>
      </c>
    </row>
    <row r="2" spans="1:32">
      <c r="A2" s="3" t="s">
        <v>30</v>
      </c>
      <c r="B2" s="4">
        <v>2013</v>
      </c>
      <c r="C2" s="4" t="s">
        <v>31</v>
      </c>
      <c r="D2" s="4">
        <v>107.5</v>
      </c>
      <c r="E2" s="4">
        <v>106.3</v>
      </c>
      <c r="F2" s="4">
        <v>108.1</v>
      </c>
      <c r="G2" s="4">
        <v>104.9</v>
      </c>
      <c r="H2" s="4">
        <v>106.1</v>
      </c>
      <c r="I2" s="4">
        <v>103.9</v>
      </c>
      <c r="J2" s="4">
        <v>101.9</v>
      </c>
      <c r="K2" s="4">
        <v>106.1</v>
      </c>
      <c r="L2" s="4">
        <v>106.8</v>
      </c>
      <c r="M2" s="4">
        <v>103.1</v>
      </c>
      <c r="N2" s="4">
        <v>104.8</v>
      </c>
      <c r="O2" s="4">
        <v>106.7</v>
      </c>
      <c r="P2" s="4">
        <v>105.5</v>
      </c>
      <c r="Q2" s="4">
        <v>105.1</v>
      </c>
      <c r="R2" s="4">
        <v>106.5</v>
      </c>
      <c r="S2" s="4">
        <v>105.8</v>
      </c>
      <c r="T2" s="4">
        <v>106.4</v>
      </c>
      <c r="U2" s="4">
        <v>100.35</v>
      </c>
      <c r="V2" s="4">
        <v>105.5</v>
      </c>
      <c r="W2" s="4">
        <v>104.8</v>
      </c>
      <c r="X2" s="4">
        <v>104</v>
      </c>
      <c r="Y2" s="4">
        <v>103.3</v>
      </c>
      <c r="Z2" s="4">
        <v>103.4</v>
      </c>
      <c r="AA2" s="4">
        <v>103.8</v>
      </c>
      <c r="AB2" s="4">
        <v>104.7</v>
      </c>
      <c r="AC2" s="4">
        <v>104</v>
      </c>
      <c r="AD2" s="4">
        <v>105.1</v>
      </c>
      <c r="AE2" s="9" t="s">
        <v>3</v>
      </c>
      <c r="AF2" s="21" t="s">
        <v>45</v>
      </c>
    </row>
    <row r="3" spans="1:32">
      <c r="A3" s="5" t="s">
        <v>32</v>
      </c>
      <c r="B3" s="6">
        <v>2013</v>
      </c>
      <c r="C3" s="6" t="s">
        <v>31</v>
      </c>
      <c r="D3" s="6">
        <v>110.5</v>
      </c>
      <c r="E3" s="6">
        <v>109.1</v>
      </c>
      <c r="F3" s="6">
        <v>113</v>
      </c>
      <c r="G3" s="6">
        <v>103.6</v>
      </c>
      <c r="H3" s="6">
        <v>103.4</v>
      </c>
      <c r="I3" s="6">
        <v>102.3</v>
      </c>
      <c r="J3" s="6">
        <v>102.9</v>
      </c>
      <c r="K3" s="6">
        <v>105.8</v>
      </c>
      <c r="L3" s="6">
        <v>105.1</v>
      </c>
      <c r="M3" s="6">
        <v>101.8</v>
      </c>
      <c r="N3" s="6">
        <v>105.1</v>
      </c>
      <c r="O3" s="6">
        <v>107.9</v>
      </c>
      <c r="P3" s="6">
        <v>105.9</v>
      </c>
      <c r="Q3" s="6">
        <v>105.2</v>
      </c>
      <c r="R3" s="6">
        <v>105.9</v>
      </c>
      <c r="S3" s="6">
        <v>105</v>
      </c>
      <c r="T3" s="6">
        <v>105.8</v>
      </c>
      <c r="U3" s="6">
        <v>100.3</v>
      </c>
      <c r="V3" s="6">
        <v>105.4</v>
      </c>
      <c r="W3" s="6">
        <v>104.8</v>
      </c>
      <c r="X3" s="6">
        <v>104.1</v>
      </c>
      <c r="Y3" s="6">
        <v>103.2</v>
      </c>
      <c r="Z3" s="6">
        <v>102.9</v>
      </c>
      <c r="AA3" s="6">
        <v>103.5</v>
      </c>
      <c r="AB3" s="6">
        <v>104.3</v>
      </c>
      <c r="AC3" s="6">
        <v>103.7</v>
      </c>
      <c r="AD3" s="6">
        <v>104</v>
      </c>
      <c r="AE3" s="10" t="s">
        <v>4</v>
      </c>
      <c r="AF3" s="35" t="s">
        <v>45</v>
      </c>
    </row>
    <row r="4" spans="1:32">
      <c r="A4" s="3" t="s">
        <v>33</v>
      </c>
      <c r="B4" s="4">
        <v>2013</v>
      </c>
      <c r="C4" s="4" t="s">
        <v>31</v>
      </c>
      <c r="D4" s="4">
        <v>108.4</v>
      </c>
      <c r="E4" s="4">
        <v>107.3</v>
      </c>
      <c r="F4" s="4">
        <v>110</v>
      </c>
      <c r="G4" s="4">
        <v>104.4</v>
      </c>
      <c r="H4" s="4">
        <v>105.1</v>
      </c>
      <c r="I4" s="4">
        <v>103.2</v>
      </c>
      <c r="J4" s="4">
        <v>102.2</v>
      </c>
      <c r="K4" s="4">
        <v>106</v>
      </c>
      <c r="L4" s="4">
        <v>106.2</v>
      </c>
      <c r="M4" s="4">
        <v>102.7</v>
      </c>
      <c r="N4" s="4">
        <v>104.9</v>
      </c>
      <c r="O4" s="4">
        <v>107.3</v>
      </c>
      <c r="P4" s="4">
        <v>105.6</v>
      </c>
      <c r="Q4" s="4">
        <v>105.1</v>
      </c>
      <c r="R4" s="4">
        <v>106.3</v>
      </c>
      <c r="S4" s="4">
        <v>105.5</v>
      </c>
      <c r="T4" s="4">
        <v>106.2</v>
      </c>
      <c r="U4" s="4">
        <v>100.3</v>
      </c>
      <c r="V4" s="4">
        <v>105.5</v>
      </c>
      <c r="W4" s="4">
        <v>104.8</v>
      </c>
      <c r="X4" s="4">
        <v>104</v>
      </c>
      <c r="Y4" s="4">
        <v>103.2</v>
      </c>
      <c r="Z4" s="4">
        <v>103.1</v>
      </c>
      <c r="AA4" s="4">
        <v>103.6</v>
      </c>
      <c r="AB4" s="4">
        <v>104.5</v>
      </c>
      <c r="AC4" s="4">
        <v>103.9</v>
      </c>
      <c r="AD4" s="4">
        <v>104.6</v>
      </c>
      <c r="AE4" s="9" t="s">
        <v>5</v>
      </c>
      <c r="AF4" s="21" t="s">
        <v>45</v>
      </c>
    </row>
    <row r="5" spans="1:32">
      <c r="A5" s="5" t="s">
        <v>30</v>
      </c>
      <c r="B5" s="6">
        <v>2013</v>
      </c>
      <c r="C5" s="6" t="s">
        <v>34</v>
      </c>
      <c r="D5" s="6">
        <v>109.2</v>
      </c>
      <c r="E5" s="6">
        <v>108.7</v>
      </c>
      <c r="F5" s="6">
        <v>110.2</v>
      </c>
      <c r="G5" s="6">
        <v>105.4</v>
      </c>
      <c r="H5" s="6">
        <v>106.7</v>
      </c>
      <c r="I5" s="6">
        <v>104</v>
      </c>
      <c r="J5" s="6">
        <v>102.4</v>
      </c>
      <c r="K5" s="6">
        <v>105.9</v>
      </c>
      <c r="L5" s="6">
        <v>105.7</v>
      </c>
      <c r="M5" s="6">
        <v>103.1</v>
      </c>
      <c r="N5" s="6">
        <v>105.1</v>
      </c>
      <c r="O5" s="6">
        <v>107.7</v>
      </c>
      <c r="P5" s="6">
        <v>106.3</v>
      </c>
      <c r="Q5" s="6">
        <v>105.6</v>
      </c>
      <c r="R5" s="6">
        <v>107.1</v>
      </c>
      <c r="S5" s="6">
        <v>106.3</v>
      </c>
      <c r="T5" s="6">
        <v>107</v>
      </c>
      <c r="U5" s="6">
        <v>100.35</v>
      </c>
      <c r="V5" s="6">
        <v>106.2</v>
      </c>
      <c r="W5" s="6">
        <v>105.2</v>
      </c>
      <c r="X5" s="6">
        <v>104.4</v>
      </c>
      <c r="Y5" s="6">
        <v>103.9</v>
      </c>
      <c r="Z5" s="6">
        <v>104</v>
      </c>
      <c r="AA5" s="6">
        <v>104.1</v>
      </c>
      <c r="AB5" s="6">
        <v>104.6</v>
      </c>
      <c r="AC5" s="6">
        <v>104.4</v>
      </c>
      <c r="AD5" s="6">
        <v>105.8</v>
      </c>
      <c r="AE5" s="10" t="s">
        <v>6</v>
      </c>
      <c r="AF5" s="35" t="s">
        <v>45</v>
      </c>
    </row>
    <row r="6" spans="1:32">
      <c r="A6" s="3" t="s">
        <v>32</v>
      </c>
      <c r="B6" s="4">
        <v>2013</v>
      </c>
      <c r="C6" s="4" t="s">
        <v>34</v>
      </c>
      <c r="D6" s="4">
        <v>112.9</v>
      </c>
      <c r="E6" s="4">
        <v>112.9</v>
      </c>
      <c r="F6" s="4">
        <v>116.9</v>
      </c>
      <c r="G6" s="4">
        <v>104</v>
      </c>
      <c r="H6" s="4">
        <v>103.5</v>
      </c>
      <c r="I6" s="4">
        <v>103.1</v>
      </c>
      <c r="J6" s="4">
        <v>104.9</v>
      </c>
      <c r="K6" s="4">
        <v>104.1</v>
      </c>
      <c r="L6" s="4">
        <v>103.8</v>
      </c>
      <c r="M6" s="4">
        <v>102.3</v>
      </c>
      <c r="N6" s="4">
        <v>106</v>
      </c>
      <c r="O6" s="4">
        <v>109</v>
      </c>
      <c r="P6" s="4">
        <v>107.2</v>
      </c>
      <c r="Q6" s="4">
        <v>106</v>
      </c>
      <c r="R6" s="4">
        <v>106.6</v>
      </c>
      <c r="S6" s="4">
        <v>105.5</v>
      </c>
      <c r="T6" s="4">
        <v>106.4</v>
      </c>
      <c r="U6" s="4">
        <v>100.4</v>
      </c>
      <c r="V6" s="4">
        <v>105.7</v>
      </c>
      <c r="W6" s="4">
        <v>105.2</v>
      </c>
      <c r="X6" s="4">
        <v>104.7</v>
      </c>
      <c r="Y6" s="4">
        <v>104.4</v>
      </c>
      <c r="Z6" s="4">
        <v>103.3</v>
      </c>
      <c r="AA6" s="4">
        <v>103.7</v>
      </c>
      <c r="AB6" s="4">
        <v>104.3</v>
      </c>
      <c r="AC6" s="4">
        <v>104.3</v>
      </c>
      <c r="AD6" s="4">
        <v>104.7</v>
      </c>
      <c r="AE6" s="9" t="s">
        <v>7</v>
      </c>
      <c r="AF6" s="21" t="s">
        <v>45</v>
      </c>
    </row>
    <row r="7" spans="1:32">
      <c r="A7" s="5" t="s">
        <v>33</v>
      </c>
      <c r="B7" s="6">
        <v>2013</v>
      </c>
      <c r="C7" s="6" t="s">
        <v>34</v>
      </c>
      <c r="D7" s="6">
        <v>110.4</v>
      </c>
      <c r="E7" s="6">
        <v>110.2</v>
      </c>
      <c r="F7" s="6">
        <v>112.8</v>
      </c>
      <c r="G7" s="6">
        <v>104.9</v>
      </c>
      <c r="H7" s="6">
        <v>105.5</v>
      </c>
      <c r="I7" s="6">
        <v>103.6</v>
      </c>
      <c r="J7" s="6">
        <v>103.2</v>
      </c>
      <c r="K7" s="6">
        <v>105.3</v>
      </c>
      <c r="L7" s="6">
        <v>105.1</v>
      </c>
      <c r="M7" s="6">
        <v>102.8</v>
      </c>
      <c r="N7" s="6">
        <v>105.5</v>
      </c>
      <c r="O7" s="6">
        <v>108.3</v>
      </c>
      <c r="P7" s="6">
        <v>106.6</v>
      </c>
      <c r="Q7" s="6">
        <v>105.7</v>
      </c>
      <c r="R7" s="6">
        <v>106.9</v>
      </c>
      <c r="S7" s="6">
        <v>106</v>
      </c>
      <c r="T7" s="6">
        <v>106.8</v>
      </c>
      <c r="U7" s="6">
        <v>100.4</v>
      </c>
      <c r="V7" s="6">
        <v>106</v>
      </c>
      <c r="W7" s="6">
        <v>105.2</v>
      </c>
      <c r="X7" s="6">
        <v>104.5</v>
      </c>
      <c r="Y7" s="6">
        <v>104.2</v>
      </c>
      <c r="Z7" s="6">
        <v>103.6</v>
      </c>
      <c r="AA7" s="6">
        <v>103.9</v>
      </c>
      <c r="AB7" s="6">
        <v>104.5</v>
      </c>
      <c r="AC7" s="6">
        <v>104.4</v>
      </c>
      <c r="AD7" s="6">
        <v>105.3</v>
      </c>
      <c r="AE7" s="10" t="s">
        <v>8</v>
      </c>
      <c r="AF7" s="35" t="s">
        <v>45</v>
      </c>
    </row>
    <row r="8" spans="1:32">
      <c r="A8" s="3" t="s">
        <v>30</v>
      </c>
      <c r="B8" s="4">
        <v>2013</v>
      </c>
      <c r="C8" s="4" t="s">
        <v>35</v>
      </c>
      <c r="D8" s="4">
        <v>110.2</v>
      </c>
      <c r="E8" s="4">
        <v>108.8</v>
      </c>
      <c r="F8" s="4">
        <v>109.9</v>
      </c>
      <c r="G8" s="4">
        <v>105.6</v>
      </c>
      <c r="H8" s="4">
        <v>106.2</v>
      </c>
      <c r="I8" s="4">
        <v>105.7</v>
      </c>
      <c r="J8" s="4">
        <v>101.4</v>
      </c>
      <c r="K8" s="4">
        <v>105.7</v>
      </c>
      <c r="L8" s="4">
        <v>105</v>
      </c>
      <c r="M8" s="4">
        <v>103.3</v>
      </c>
      <c r="N8" s="4">
        <v>105.6</v>
      </c>
      <c r="O8" s="4">
        <v>108.2</v>
      </c>
      <c r="P8" s="4">
        <v>106.6</v>
      </c>
      <c r="Q8" s="4">
        <v>106.5</v>
      </c>
      <c r="R8" s="4">
        <v>107.6</v>
      </c>
      <c r="S8" s="4">
        <v>106.8</v>
      </c>
      <c r="T8" s="4">
        <v>107.5</v>
      </c>
      <c r="U8" s="4">
        <v>100.45</v>
      </c>
      <c r="V8" s="4">
        <v>106.1</v>
      </c>
      <c r="W8" s="4">
        <v>105.6</v>
      </c>
      <c r="X8" s="4">
        <v>104.7</v>
      </c>
      <c r="Y8" s="4">
        <v>104.6</v>
      </c>
      <c r="Z8" s="4">
        <v>104</v>
      </c>
      <c r="AA8" s="4">
        <v>104.3</v>
      </c>
      <c r="AB8" s="4">
        <v>104.3</v>
      </c>
      <c r="AC8" s="4">
        <v>104.6</v>
      </c>
      <c r="AD8" s="4">
        <v>106</v>
      </c>
      <c r="AE8" s="9" t="s">
        <v>9</v>
      </c>
      <c r="AF8" s="21" t="s">
        <v>45</v>
      </c>
    </row>
    <row r="9" spans="1:32">
      <c r="A9" s="5" t="s">
        <v>32</v>
      </c>
      <c r="B9" s="6">
        <v>2013</v>
      </c>
      <c r="C9" s="6" t="s">
        <v>35</v>
      </c>
      <c r="D9" s="6">
        <v>113.9</v>
      </c>
      <c r="E9" s="6">
        <v>111.4</v>
      </c>
      <c r="F9" s="6">
        <v>113.2</v>
      </c>
      <c r="G9" s="6">
        <v>104.3</v>
      </c>
      <c r="H9" s="6">
        <v>102.7</v>
      </c>
      <c r="I9" s="6">
        <v>104.9</v>
      </c>
      <c r="J9" s="6">
        <v>103.8</v>
      </c>
      <c r="K9" s="6">
        <v>103.5</v>
      </c>
      <c r="L9" s="6">
        <v>102.6</v>
      </c>
      <c r="M9" s="6">
        <v>102.4</v>
      </c>
      <c r="N9" s="6">
        <v>107</v>
      </c>
      <c r="O9" s="6">
        <v>109.8</v>
      </c>
      <c r="P9" s="6">
        <v>107.3</v>
      </c>
      <c r="Q9" s="6">
        <v>106.8</v>
      </c>
      <c r="R9" s="6">
        <v>107.2</v>
      </c>
      <c r="S9" s="6">
        <v>106</v>
      </c>
      <c r="T9" s="6">
        <v>107</v>
      </c>
      <c r="U9" s="6">
        <v>100.4</v>
      </c>
      <c r="V9" s="6">
        <v>106</v>
      </c>
      <c r="W9" s="6">
        <v>105.7</v>
      </c>
      <c r="X9" s="6">
        <v>105.2</v>
      </c>
      <c r="Y9" s="6">
        <v>105.5</v>
      </c>
      <c r="Z9" s="6">
        <v>103.5</v>
      </c>
      <c r="AA9" s="6">
        <v>103.8</v>
      </c>
      <c r="AB9" s="6">
        <v>104.2</v>
      </c>
      <c r="AC9" s="6">
        <v>104.9</v>
      </c>
      <c r="AD9" s="6">
        <v>105</v>
      </c>
      <c r="AE9" s="10" t="s">
        <v>10</v>
      </c>
      <c r="AF9" s="35" t="s">
        <v>45</v>
      </c>
    </row>
    <row r="10" spans="1:32">
      <c r="A10" s="3" t="s">
        <v>33</v>
      </c>
      <c r="B10" s="4">
        <v>2013</v>
      </c>
      <c r="C10" s="4" t="s">
        <v>35</v>
      </c>
      <c r="D10" s="4">
        <v>111.4</v>
      </c>
      <c r="E10" s="4">
        <v>109.7</v>
      </c>
      <c r="F10" s="4">
        <v>111.2</v>
      </c>
      <c r="G10" s="4">
        <v>105.1</v>
      </c>
      <c r="H10" s="4">
        <v>104.9</v>
      </c>
      <c r="I10" s="4">
        <v>105.3</v>
      </c>
      <c r="J10" s="4">
        <v>102.2</v>
      </c>
      <c r="K10" s="4">
        <v>105</v>
      </c>
      <c r="L10" s="4">
        <v>104.2</v>
      </c>
      <c r="M10" s="4">
        <v>103</v>
      </c>
      <c r="N10" s="4">
        <v>106.2</v>
      </c>
      <c r="O10" s="4">
        <v>108.9</v>
      </c>
      <c r="P10" s="4">
        <v>106.9</v>
      </c>
      <c r="Q10" s="4">
        <v>106.6</v>
      </c>
      <c r="R10" s="4">
        <v>107.4</v>
      </c>
      <c r="S10" s="4">
        <v>106.5</v>
      </c>
      <c r="T10" s="4">
        <v>107.3</v>
      </c>
      <c r="U10" s="4">
        <v>100.4</v>
      </c>
      <c r="V10" s="4">
        <v>106.1</v>
      </c>
      <c r="W10" s="4">
        <v>105.6</v>
      </c>
      <c r="X10" s="4">
        <v>104.9</v>
      </c>
      <c r="Y10" s="4">
        <v>105.1</v>
      </c>
      <c r="Z10" s="4">
        <v>103.7</v>
      </c>
      <c r="AA10" s="4">
        <v>104</v>
      </c>
      <c r="AB10" s="4">
        <v>104.3</v>
      </c>
      <c r="AC10" s="4">
        <v>104.7</v>
      </c>
      <c r="AD10" s="4">
        <v>105.5</v>
      </c>
      <c r="AE10" s="9" t="s">
        <v>11</v>
      </c>
      <c r="AF10" s="21" t="s">
        <v>45</v>
      </c>
    </row>
    <row r="11" spans="1:32">
      <c r="A11" s="5" t="s">
        <v>30</v>
      </c>
      <c r="B11" s="6">
        <v>2013</v>
      </c>
      <c r="C11" s="6" t="s">
        <v>36</v>
      </c>
      <c r="D11" s="6">
        <v>110.2</v>
      </c>
      <c r="E11" s="6">
        <v>109.5</v>
      </c>
      <c r="F11" s="6">
        <v>106.9</v>
      </c>
      <c r="G11" s="6">
        <v>106.3</v>
      </c>
      <c r="H11" s="6">
        <v>105.7</v>
      </c>
      <c r="I11" s="6">
        <v>108.3</v>
      </c>
      <c r="J11" s="6">
        <v>103.4</v>
      </c>
      <c r="K11" s="6">
        <v>105.7</v>
      </c>
      <c r="L11" s="6">
        <v>104.2</v>
      </c>
      <c r="M11" s="6">
        <v>103.2</v>
      </c>
      <c r="N11" s="6">
        <v>106.5</v>
      </c>
      <c r="O11" s="6">
        <v>108.8</v>
      </c>
      <c r="P11" s="6">
        <v>107.1</v>
      </c>
      <c r="Q11" s="6">
        <v>107.1</v>
      </c>
      <c r="R11" s="6">
        <v>108.1</v>
      </c>
      <c r="S11" s="6">
        <v>107.4</v>
      </c>
      <c r="T11" s="6">
        <v>108</v>
      </c>
      <c r="U11" s="6">
        <v>100.45</v>
      </c>
      <c r="V11" s="6">
        <v>106.5</v>
      </c>
      <c r="W11" s="6">
        <v>106.1</v>
      </c>
      <c r="X11" s="6">
        <v>105.1</v>
      </c>
      <c r="Y11" s="6">
        <v>104.4</v>
      </c>
      <c r="Z11" s="6">
        <v>104.5</v>
      </c>
      <c r="AA11" s="6">
        <v>104.8</v>
      </c>
      <c r="AB11" s="6">
        <v>102.7</v>
      </c>
      <c r="AC11" s="6">
        <v>104.6</v>
      </c>
      <c r="AD11" s="6">
        <v>106.4</v>
      </c>
      <c r="AE11" s="10" t="s">
        <v>12</v>
      </c>
      <c r="AF11" s="35" t="s">
        <v>45</v>
      </c>
    </row>
    <row r="12" spans="1:32">
      <c r="A12" s="3" t="s">
        <v>32</v>
      </c>
      <c r="B12" s="4">
        <v>2013</v>
      </c>
      <c r="C12" s="4" t="s">
        <v>36</v>
      </c>
      <c r="D12" s="4">
        <v>114.6</v>
      </c>
      <c r="E12" s="4">
        <v>113.4</v>
      </c>
      <c r="F12" s="4">
        <v>106</v>
      </c>
      <c r="G12" s="4">
        <v>104.7</v>
      </c>
      <c r="H12" s="4">
        <v>102.1</v>
      </c>
      <c r="I12" s="4">
        <v>109.5</v>
      </c>
      <c r="J12" s="4">
        <v>109.7</v>
      </c>
      <c r="K12" s="4">
        <v>104.6</v>
      </c>
      <c r="L12" s="4">
        <v>102</v>
      </c>
      <c r="M12" s="4">
        <v>103.5</v>
      </c>
      <c r="N12" s="4">
        <v>108.2</v>
      </c>
      <c r="O12" s="4">
        <v>110.6</v>
      </c>
      <c r="P12" s="4">
        <v>108.8</v>
      </c>
      <c r="Q12" s="4">
        <v>108.5</v>
      </c>
      <c r="R12" s="4">
        <v>107.9</v>
      </c>
      <c r="S12" s="4">
        <v>106.4</v>
      </c>
      <c r="T12" s="4">
        <v>107.7</v>
      </c>
      <c r="U12" s="4">
        <v>100.5</v>
      </c>
      <c r="V12" s="4">
        <v>106.4</v>
      </c>
      <c r="W12" s="4">
        <v>106.5</v>
      </c>
      <c r="X12" s="4">
        <v>105.7</v>
      </c>
      <c r="Y12" s="4">
        <v>105</v>
      </c>
      <c r="Z12" s="4">
        <v>104</v>
      </c>
      <c r="AA12" s="4">
        <v>105.2</v>
      </c>
      <c r="AB12" s="4">
        <v>103.2</v>
      </c>
      <c r="AC12" s="4">
        <v>105.1</v>
      </c>
      <c r="AD12" s="4">
        <v>105.7</v>
      </c>
      <c r="AE12" s="9" t="s">
        <v>13</v>
      </c>
      <c r="AF12" s="21" t="s">
        <v>48</v>
      </c>
    </row>
    <row r="13" spans="1:32">
      <c r="A13" s="5" t="s">
        <v>33</v>
      </c>
      <c r="B13" s="6">
        <v>2013</v>
      </c>
      <c r="C13" s="6" t="s">
        <v>36</v>
      </c>
      <c r="D13" s="6">
        <v>111.6</v>
      </c>
      <c r="E13" s="6">
        <v>110.9</v>
      </c>
      <c r="F13" s="6">
        <v>106.6</v>
      </c>
      <c r="G13" s="6">
        <v>105.7</v>
      </c>
      <c r="H13" s="6">
        <v>104.4</v>
      </c>
      <c r="I13" s="6">
        <v>108.9</v>
      </c>
      <c r="J13" s="6">
        <v>105.5</v>
      </c>
      <c r="K13" s="6">
        <v>105.3</v>
      </c>
      <c r="L13" s="6">
        <v>103.5</v>
      </c>
      <c r="M13" s="6">
        <v>103.3</v>
      </c>
      <c r="N13" s="6">
        <v>107.2</v>
      </c>
      <c r="O13" s="6">
        <v>109.6</v>
      </c>
      <c r="P13" s="6">
        <v>107.7</v>
      </c>
      <c r="Q13" s="6">
        <v>107.5</v>
      </c>
      <c r="R13" s="6">
        <v>108</v>
      </c>
      <c r="S13" s="6">
        <v>107</v>
      </c>
      <c r="T13" s="6">
        <v>107.9</v>
      </c>
      <c r="U13" s="6">
        <v>100.5</v>
      </c>
      <c r="V13" s="6">
        <v>106.5</v>
      </c>
      <c r="W13" s="6">
        <v>106.3</v>
      </c>
      <c r="X13" s="6">
        <v>105.3</v>
      </c>
      <c r="Y13" s="6">
        <v>104.7</v>
      </c>
      <c r="Z13" s="6">
        <v>104.2</v>
      </c>
      <c r="AA13" s="6">
        <v>105</v>
      </c>
      <c r="AB13" s="6">
        <v>102.9</v>
      </c>
      <c r="AC13" s="6">
        <v>104.8</v>
      </c>
      <c r="AD13" s="6">
        <v>106.1</v>
      </c>
      <c r="AE13" s="10" t="s">
        <v>14</v>
      </c>
      <c r="AF13" s="35" t="s">
        <v>45</v>
      </c>
    </row>
    <row r="14" spans="1:32">
      <c r="A14" s="3" t="s">
        <v>30</v>
      </c>
      <c r="B14" s="4">
        <v>2013</v>
      </c>
      <c r="C14" s="4" t="s">
        <v>37</v>
      </c>
      <c r="D14" s="4">
        <v>110.9</v>
      </c>
      <c r="E14" s="4">
        <v>109.8</v>
      </c>
      <c r="F14" s="4">
        <v>105.9</v>
      </c>
      <c r="G14" s="4">
        <v>107.5</v>
      </c>
      <c r="H14" s="4">
        <v>105.3</v>
      </c>
      <c r="I14" s="4">
        <v>108.1</v>
      </c>
      <c r="J14" s="4">
        <v>107.3</v>
      </c>
      <c r="K14" s="4">
        <v>106.1</v>
      </c>
      <c r="L14" s="4">
        <v>103.7</v>
      </c>
      <c r="M14" s="4">
        <v>104</v>
      </c>
      <c r="N14" s="4">
        <v>107.4</v>
      </c>
      <c r="O14" s="4">
        <v>109.9</v>
      </c>
      <c r="P14" s="4">
        <v>108.1</v>
      </c>
      <c r="Q14" s="4">
        <v>108.1</v>
      </c>
      <c r="R14" s="4">
        <v>108.8</v>
      </c>
      <c r="S14" s="4">
        <v>107.9</v>
      </c>
      <c r="T14" s="4">
        <v>108.6</v>
      </c>
      <c r="U14" s="4">
        <v>103.55000000000001</v>
      </c>
      <c r="V14" s="4">
        <v>107.5</v>
      </c>
      <c r="W14" s="4">
        <v>106.8</v>
      </c>
      <c r="X14" s="4">
        <v>105.7</v>
      </c>
      <c r="Y14" s="4">
        <v>104.1</v>
      </c>
      <c r="Z14" s="4">
        <v>105</v>
      </c>
      <c r="AA14" s="4">
        <v>105.5</v>
      </c>
      <c r="AB14" s="4">
        <v>102.1</v>
      </c>
      <c r="AC14" s="4">
        <v>104.8</v>
      </c>
      <c r="AD14" s="4">
        <v>107.2</v>
      </c>
      <c r="AE14" s="9" t="s">
        <v>15</v>
      </c>
      <c r="AF14" s="21" t="s">
        <v>45</v>
      </c>
    </row>
    <row r="15" spans="1:32">
      <c r="A15" s="5" t="s">
        <v>32</v>
      </c>
      <c r="B15" s="6">
        <v>2013</v>
      </c>
      <c r="C15" s="6" t="s">
        <v>37</v>
      </c>
      <c r="D15" s="6">
        <v>115.4</v>
      </c>
      <c r="E15" s="6">
        <v>114.2</v>
      </c>
      <c r="F15" s="6">
        <v>102.7</v>
      </c>
      <c r="G15" s="6">
        <v>105.5</v>
      </c>
      <c r="H15" s="6">
        <v>101.5</v>
      </c>
      <c r="I15" s="6">
        <v>110.6</v>
      </c>
      <c r="J15" s="6">
        <v>123.7</v>
      </c>
      <c r="K15" s="6">
        <v>105.2</v>
      </c>
      <c r="L15" s="6">
        <v>101.9</v>
      </c>
      <c r="M15" s="6">
        <v>105</v>
      </c>
      <c r="N15" s="6">
        <v>109.1</v>
      </c>
      <c r="O15" s="6">
        <v>111.3</v>
      </c>
      <c r="P15" s="6">
        <v>111.1</v>
      </c>
      <c r="Q15" s="6">
        <v>109.8</v>
      </c>
      <c r="R15" s="6">
        <v>108.5</v>
      </c>
      <c r="S15" s="6">
        <v>106.7</v>
      </c>
      <c r="T15" s="6">
        <v>108.3</v>
      </c>
      <c r="U15" s="6">
        <v>100.5</v>
      </c>
      <c r="V15" s="6">
        <v>107.2</v>
      </c>
      <c r="W15" s="6">
        <v>107.1</v>
      </c>
      <c r="X15" s="6">
        <v>106.2</v>
      </c>
      <c r="Y15" s="6">
        <v>103.9</v>
      </c>
      <c r="Z15" s="6">
        <v>104.6</v>
      </c>
      <c r="AA15" s="6">
        <v>105.7</v>
      </c>
      <c r="AB15" s="6">
        <v>102.6</v>
      </c>
      <c r="AC15" s="6">
        <v>104.9</v>
      </c>
      <c r="AD15" s="6">
        <v>106.6</v>
      </c>
      <c r="AE15" s="10" t="s">
        <v>16</v>
      </c>
      <c r="AF15" s="35" t="s">
        <v>48</v>
      </c>
    </row>
    <row r="16" spans="1:32">
      <c r="A16" s="3" t="s">
        <v>33</v>
      </c>
      <c r="B16" s="4">
        <v>2013</v>
      </c>
      <c r="C16" s="4" t="s">
        <v>37</v>
      </c>
      <c r="D16" s="4">
        <v>112.3</v>
      </c>
      <c r="E16" s="4">
        <v>111.3</v>
      </c>
      <c r="F16" s="4">
        <v>104.7</v>
      </c>
      <c r="G16" s="4">
        <v>106.8</v>
      </c>
      <c r="H16" s="4">
        <v>103.9</v>
      </c>
      <c r="I16" s="4">
        <v>109.3</v>
      </c>
      <c r="J16" s="4">
        <v>112.9</v>
      </c>
      <c r="K16" s="4">
        <v>105.8</v>
      </c>
      <c r="L16" s="4">
        <v>103.1</v>
      </c>
      <c r="M16" s="4">
        <v>104.3</v>
      </c>
      <c r="N16" s="4">
        <v>108.1</v>
      </c>
      <c r="O16" s="4">
        <v>110.5</v>
      </c>
      <c r="P16" s="4">
        <v>109.2</v>
      </c>
      <c r="Q16" s="4">
        <v>108.6</v>
      </c>
      <c r="R16" s="4">
        <v>108.7</v>
      </c>
      <c r="S16" s="4">
        <v>107.4</v>
      </c>
      <c r="T16" s="4">
        <v>108.5</v>
      </c>
      <c r="U16" s="4">
        <v>100.5</v>
      </c>
      <c r="V16" s="4">
        <v>107.4</v>
      </c>
      <c r="W16" s="4">
        <v>106.9</v>
      </c>
      <c r="X16" s="4">
        <v>105.9</v>
      </c>
      <c r="Y16" s="4">
        <v>104</v>
      </c>
      <c r="Z16" s="4">
        <v>104.8</v>
      </c>
      <c r="AA16" s="4">
        <v>105.6</v>
      </c>
      <c r="AB16" s="4">
        <v>102.3</v>
      </c>
      <c r="AC16" s="4">
        <v>104.8</v>
      </c>
      <c r="AD16" s="4">
        <v>106.9</v>
      </c>
      <c r="AE16" s="9" t="s">
        <v>17</v>
      </c>
      <c r="AF16" s="21" t="s">
        <v>17</v>
      </c>
    </row>
    <row r="17" spans="1:32">
      <c r="A17" s="5" t="s">
        <v>30</v>
      </c>
      <c r="B17" s="6">
        <v>2013</v>
      </c>
      <c r="C17" s="6" t="s">
        <v>38</v>
      </c>
      <c r="D17" s="6">
        <v>112.3</v>
      </c>
      <c r="E17" s="6">
        <v>112.1</v>
      </c>
      <c r="F17" s="6">
        <v>108.1</v>
      </c>
      <c r="G17" s="6">
        <v>108.3</v>
      </c>
      <c r="H17" s="6">
        <v>105.9</v>
      </c>
      <c r="I17" s="6">
        <v>109.2</v>
      </c>
      <c r="J17" s="6">
        <v>118</v>
      </c>
      <c r="K17" s="6">
        <v>106.8</v>
      </c>
      <c r="L17" s="6">
        <v>104.1</v>
      </c>
      <c r="M17" s="6">
        <v>105.4</v>
      </c>
      <c r="N17" s="6">
        <v>108.2</v>
      </c>
      <c r="O17" s="6">
        <v>111</v>
      </c>
      <c r="P17" s="6">
        <v>110.6</v>
      </c>
      <c r="Q17" s="6">
        <v>109</v>
      </c>
      <c r="R17" s="6">
        <v>109.7</v>
      </c>
      <c r="S17" s="6">
        <v>108.8</v>
      </c>
      <c r="T17" s="6">
        <v>109.5</v>
      </c>
      <c r="U17" s="6">
        <v>103.55</v>
      </c>
      <c r="V17" s="6">
        <v>108.5</v>
      </c>
      <c r="W17" s="6">
        <v>107.5</v>
      </c>
      <c r="X17" s="6">
        <v>106.3</v>
      </c>
      <c r="Y17" s="6">
        <v>105</v>
      </c>
      <c r="Z17" s="6">
        <v>105.6</v>
      </c>
      <c r="AA17" s="6">
        <v>106.5</v>
      </c>
      <c r="AB17" s="6">
        <v>102.5</v>
      </c>
      <c r="AC17" s="6">
        <v>105.5</v>
      </c>
      <c r="AD17" s="6">
        <v>108.9</v>
      </c>
      <c r="AE17" s="10" t="s">
        <v>18</v>
      </c>
      <c r="AF17" s="35" t="s">
        <v>17</v>
      </c>
    </row>
    <row r="18" spans="1:32">
      <c r="A18" s="3" t="s">
        <v>32</v>
      </c>
      <c r="B18" s="4">
        <v>2013</v>
      </c>
      <c r="C18" s="4" t="s">
        <v>38</v>
      </c>
      <c r="D18" s="4">
        <v>117</v>
      </c>
      <c r="E18" s="4">
        <v>120.1</v>
      </c>
      <c r="F18" s="4">
        <v>112.5</v>
      </c>
      <c r="G18" s="4">
        <v>107.3</v>
      </c>
      <c r="H18" s="4">
        <v>101.3</v>
      </c>
      <c r="I18" s="4">
        <v>112.4</v>
      </c>
      <c r="J18" s="4">
        <v>143.6</v>
      </c>
      <c r="K18" s="4">
        <v>105.4</v>
      </c>
      <c r="L18" s="4">
        <v>101.4</v>
      </c>
      <c r="M18" s="4">
        <v>106.4</v>
      </c>
      <c r="N18" s="4">
        <v>110</v>
      </c>
      <c r="O18" s="4">
        <v>112.2</v>
      </c>
      <c r="P18" s="4">
        <v>115</v>
      </c>
      <c r="Q18" s="4">
        <v>110.9</v>
      </c>
      <c r="R18" s="4">
        <v>109.2</v>
      </c>
      <c r="S18" s="4">
        <v>107.2</v>
      </c>
      <c r="T18" s="4">
        <v>108.9</v>
      </c>
      <c r="U18" s="4">
        <v>106.6</v>
      </c>
      <c r="V18" s="4">
        <v>108</v>
      </c>
      <c r="W18" s="4">
        <v>107.7</v>
      </c>
      <c r="X18" s="4">
        <v>106.5</v>
      </c>
      <c r="Y18" s="4">
        <v>105.2</v>
      </c>
      <c r="Z18" s="4">
        <v>105.2</v>
      </c>
      <c r="AA18" s="4">
        <v>108.1</v>
      </c>
      <c r="AB18" s="4">
        <v>103.3</v>
      </c>
      <c r="AC18" s="4">
        <v>106.1</v>
      </c>
      <c r="AD18" s="4">
        <v>109.7</v>
      </c>
      <c r="AE18" s="9" t="s">
        <v>19</v>
      </c>
      <c r="AF18" s="21" t="s">
        <v>17</v>
      </c>
    </row>
    <row r="19" spans="1:32">
      <c r="A19" s="5" t="s">
        <v>33</v>
      </c>
      <c r="B19" s="6">
        <v>2013</v>
      </c>
      <c r="C19" s="6" t="s">
        <v>38</v>
      </c>
      <c r="D19" s="6">
        <v>113.8</v>
      </c>
      <c r="E19" s="6">
        <v>114.9</v>
      </c>
      <c r="F19" s="6">
        <v>109.8</v>
      </c>
      <c r="G19" s="6">
        <v>107.9</v>
      </c>
      <c r="H19" s="6">
        <v>104.2</v>
      </c>
      <c r="I19" s="6">
        <v>110.7</v>
      </c>
      <c r="J19" s="6">
        <v>126.7</v>
      </c>
      <c r="K19" s="6">
        <v>106.3</v>
      </c>
      <c r="L19" s="6">
        <v>103.2</v>
      </c>
      <c r="M19" s="6">
        <v>105.7</v>
      </c>
      <c r="N19" s="6">
        <v>109</v>
      </c>
      <c r="O19" s="6">
        <v>111.6</v>
      </c>
      <c r="P19" s="6">
        <v>112.2</v>
      </c>
      <c r="Q19" s="6">
        <v>109.5</v>
      </c>
      <c r="R19" s="6">
        <v>109.5</v>
      </c>
      <c r="S19" s="6">
        <v>108.1</v>
      </c>
      <c r="T19" s="6">
        <v>109.3</v>
      </c>
      <c r="U19" s="6">
        <v>106.6</v>
      </c>
      <c r="V19" s="6">
        <v>108.3</v>
      </c>
      <c r="W19" s="6">
        <v>107.6</v>
      </c>
      <c r="X19" s="6">
        <v>106.4</v>
      </c>
      <c r="Y19" s="6">
        <v>105.1</v>
      </c>
      <c r="Z19" s="6">
        <v>105.4</v>
      </c>
      <c r="AA19" s="6">
        <v>107.4</v>
      </c>
      <c r="AB19" s="6">
        <v>102.8</v>
      </c>
      <c r="AC19" s="6">
        <v>105.8</v>
      </c>
      <c r="AD19" s="6">
        <v>109.3</v>
      </c>
      <c r="AE19" s="10" t="s">
        <v>20</v>
      </c>
      <c r="AF19" s="35" t="s">
        <v>114</v>
      </c>
    </row>
    <row r="20" spans="1:32">
      <c r="A20" s="3" t="s">
        <v>30</v>
      </c>
      <c r="B20" s="4">
        <v>2013</v>
      </c>
      <c r="C20" s="4" t="s">
        <v>39</v>
      </c>
      <c r="D20" s="4">
        <v>113.4</v>
      </c>
      <c r="E20" s="4">
        <v>114.9</v>
      </c>
      <c r="F20" s="4">
        <v>110.5</v>
      </c>
      <c r="G20" s="4">
        <v>109.3</v>
      </c>
      <c r="H20" s="4">
        <v>106.2</v>
      </c>
      <c r="I20" s="4">
        <v>110.3</v>
      </c>
      <c r="J20" s="4">
        <v>129.19999999999999</v>
      </c>
      <c r="K20" s="4">
        <v>107.1</v>
      </c>
      <c r="L20" s="4">
        <v>104.3</v>
      </c>
      <c r="M20" s="4">
        <v>106.4</v>
      </c>
      <c r="N20" s="4">
        <v>109.1</v>
      </c>
      <c r="O20" s="4">
        <v>112.1</v>
      </c>
      <c r="P20" s="4">
        <v>113.1</v>
      </c>
      <c r="Q20" s="4">
        <v>109.8</v>
      </c>
      <c r="R20" s="4">
        <v>110.5</v>
      </c>
      <c r="S20" s="4">
        <v>109.5</v>
      </c>
      <c r="T20" s="4">
        <v>110.3</v>
      </c>
      <c r="U20" s="4">
        <v>108.30000000000001</v>
      </c>
      <c r="V20" s="4">
        <v>109.5</v>
      </c>
      <c r="W20" s="4">
        <v>108.3</v>
      </c>
      <c r="X20" s="4">
        <v>106.9</v>
      </c>
      <c r="Y20" s="4">
        <v>106.8</v>
      </c>
      <c r="Z20" s="4">
        <v>106.4</v>
      </c>
      <c r="AA20" s="4">
        <v>107.8</v>
      </c>
      <c r="AB20" s="4">
        <v>102.5</v>
      </c>
      <c r="AC20" s="4">
        <v>106.5</v>
      </c>
      <c r="AD20" s="4">
        <v>110.7</v>
      </c>
      <c r="AE20" s="9" t="s">
        <v>21</v>
      </c>
      <c r="AF20" s="21" t="s">
        <v>114</v>
      </c>
    </row>
    <row r="21" spans="1:32">
      <c r="A21" s="5" t="s">
        <v>32</v>
      </c>
      <c r="B21" s="6">
        <v>2013</v>
      </c>
      <c r="C21" s="6" t="s">
        <v>39</v>
      </c>
      <c r="D21" s="6">
        <v>117.8</v>
      </c>
      <c r="E21" s="6">
        <v>119.2</v>
      </c>
      <c r="F21" s="6">
        <v>114</v>
      </c>
      <c r="G21" s="6">
        <v>108.3</v>
      </c>
      <c r="H21" s="6">
        <v>101.1</v>
      </c>
      <c r="I21" s="6">
        <v>113.2</v>
      </c>
      <c r="J21" s="6">
        <v>160.9</v>
      </c>
      <c r="K21" s="6">
        <v>105.1</v>
      </c>
      <c r="L21" s="6">
        <v>101.3</v>
      </c>
      <c r="M21" s="6">
        <v>107.5</v>
      </c>
      <c r="N21" s="6">
        <v>110.4</v>
      </c>
      <c r="O21" s="6">
        <v>113.1</v>
      </c>
      <c r="P21" s="6">
        <v>117.5</v>
      </c>
      <c r="Q21" s="6">
        <v>111.7</v>
      </c>
      <c r="R21" s="6">
        <v>109.8</v>
      </c>
      <c r="S21" s="6">
        <v>107.8</v>
      </c>
      <c r="T21" s="6">
        <v>109.5</v>
      </c>
      <c r="U21" s="6">
        <v>107.7</v>
      </c>
      <c r="V21" s="6">
        <v>108.6</v>
      </c>
      <c r="W21" s="6">
        <v>108.1</v>
      </c>
      <c r="X21" s="6">
        <v>107.1</v>
      </c>
      <c r="Y21" s="6">
        <v>107.3</v>
      </c>
      <c r="Z21" s="6">
        <v>105.9</v>
      </c>
      <c r="AA21" s="6">
        <v>110.1</v>
      </c>
      <c r="AB21" s="6">
        <v>103.2</v>
      </c>
      <c r="AC21" s="6">
        <v>107.3</v>
      </c>
      <c r="AD21" s="6">
        <v>111.4</v>
      </c>
      <c r="AE21" s="10" t="s">
        <v>22</v>
      </c>
      <c r="AF21" s="35" t="s">
        <v>114</v>
      </c>
    </row>
    <row r="22" spans="1:32">
      <c r="A22" s="3" t="s">
        <v>33</v>
      </c>
      <c r="B22" s="4">
        <v>2013</v>
      </c>
      <c r="C22" s="4" t="s">
        <v>39</v>
      </c>
      <c r="D22" s="4">
        <v>114.8</v>
      </c>
      <c r="E22" s="4">
        <v>116.4</v>
      </c>
      <c r="F22" s="4">
        <v>111.9</v>
      </c>
      <c r="G22" s="4">
        <v>108.9</v>
      </c>
      <c r="H22" s="4">
        <v>104.3</v>
      </c>
      <c r="I22" s="4">
        <v>111.7</v>
      </c>
      <c r="J22" s="4">
        <v>140</v>
      </c>
      <c r="K22" s="4">
        <v>106.4</v>
      </c>
      <c r="L22" s="4">
        <v>103.3</v>
      </c>
      <c r="M22" s="4">
        <v>106.8</v>
      </c>
      <c r="N22" s="4">
        <v>109.6</v>
      </c>
      <c r="O22" s="4">
        <v>112.6</v>
      </c>
      <c r="P22" s="4">
        <v>114.7</v>
      </c>
      <c r="Q22" s="4">
        <v>110.3</v>
      </c>
      <c r="R22" s="4">
        <v>110.2</v>
      </c>
      <c r="S22" s="4">
        <v>108.8</v>
      </c>
      <c r="T22" s="4">
        <v>110</v>
      </c>
      <c r="U22" s="4">
        <v>107.7</v>
      </c>
      <c r="V22" s="4">
        <v>109.2</v>
      </c>
      <c r="W22" s="4">
        <v>108.2</v>
      </c>
      <c r="X22" s="4">
        <v>107</v>
      </c>
      <c r="Y22" s="4">
        <v>107.1</v>
      </c>
      <c r="Z22" s="4">
        <v>106.1</v>
      </c>
      <c r="AA22" s="4">
        <v>109.1</v>
      </c>
      <c r="AB22" s="4">
        <v>102.8</v>
      </c>
      <c r="AC22" s="4">
        <v>106.9</v>
      </c>
      <c r="AD22" s="4">
        <v>111</v>
      </c>
      <c r="AE22" s="9" t="s">
        <v>23</v>
      </c>
      <c r="AF22" s="21" t="s">
        <v>115</v>
      </c>
    </row>
    <row r="23" spans="1:32">
      <c r="A23" s="5" t="s">
        <v>30</v>
      </c>
      <c r="B23" s="6">
        <v>2013</v>
      </c>
      <c r="C23" s="6" t="s">
        <v>40</v>
      </c>
      <c r="D23" s="6">
        <v>114.3</v>
      </c>
      <c r="E23" s="6">
        <v>115.4</v>
      </c>
      <c r="F23" s="6">
        <v>111.1</v>
      </c>
      <c r="G23" s="6">
        <v>110</v>
      </c>
      <c r="H23" s="6">
        <v>106.4</v>
      </c>
      <c r="I23" s="6">
        <v>110.8</v>
      </c>
      <c r="J23" s="6">
        <v>138.9</v>
      </c>
      <c r="K23" s="6">
        <v>107.4</v>
      </c>
      <c r="L23" s="6">
        <v>104.1</v>
      </c>
      <c r="M23" s="6">
        <v>106.9</v>
      </c>
      <c r="N23" s="6">
        <v>109.7</v>
      </c>
      <c r="O23" s="6">
        <v>112.6</v>
      </c>
      <c r="P23" s="6">
        <v>114.9</v>
      </c>
      <c r="Q23" s="6">
        <v>110.7</v>
      </c>
      <c r="R23" s="6">
        <v>111.3</v>
      </c>
      <c r="S23" s="6">
        <v>110.2</v>
      </c>
      <c r="T23" s="6">
        <v>111.1</v>
      </c>
      <c r="U23" s="6">
        <v>108.3</v>
      </c>
      <c r="V23" s="6">
        <v>109.9</v>
      </c>
      <c r="W23" s="6">
        <v>108.7</v>
      </c>
      <c r="X23" s="6">
        <v>107.5</v>
      </c>
      <c r="Y23" s="6">
        <v>107.8</v>
      </c>
      <c r="Z23" s="6">
        <v>106.8</v>
      </c>
      <c r="AA23" s="6">
        <v>108.7</v>
      </c>
      <c r="AB23" s="6">
        <v>105</v>
      </c>
      <c r="AC23" s="6">
        <v>107.5</v>
      </c>
      <c r="AD23" s="6">
        <v>112.1</v>
      </c>
      <c r="AE23" s="10" t="s">
        <v>24</v>
      </c>
      <c r="AF23" s="35" t="s">
        <v>114</v>
      </c>
    </row>
    <row r="24" spans="1:32">
      <c r="A24" s="3" t="s">
        <v>32</v>
      </c>
      <c r="B24" s="4">
        <v>2013</v>
      </c>
      <c r="C24" s="4" t="s">
        <v>40</v>
      </c>
      <c r="D24" s="4">
        <v>118.3</v>
      </c>
      <c r="E24" s="4">
        <v>120.4</v>
      </c>
      <c r="F24" s="4">
        <v>112.7</v>
      </c>
      <c r="G24" s="4">
        <v>108.9</v>
      </c>
      <c r="H24" s="4">
        <v>101.1</v>
      </c>
      <c r="I24" s="4">
        <v>108.7</v>
      </c>
      <c r="J24" s="4">
        <v>177</v>
      </c>
      <c r="K24" s="4">
        <v>104.7</v>
      </c>
      <c r="L24" s="4">
        <v>101</v>
      </c>
      <c r="M24" s="4">
        <v>108.5</v>
      </c>
      <c r="N24" s="4">
        <v>110.9</v>
      </c>
      <c r="O24" s="4">
        <v>114.3</v>
      </c>
      <c r="P24" s="4">
        <v>119.6</v>
      </c>
      <c r="Q24" s="4">
        <v>112.4</v>
      </c>
      <c r="R24" s="4">
        <v>110.6</v>
      </c>
      <c r="S24" s="4">
        <v>108.3</v>
      </c>
      <c r="T24" s="4">
        <v>110.2</v>
      </c>
      <c r="U24" s="4">
        <v>108.9</v>
      </c>
      <c r="V24" s="4">
        <v>109.3</v>
      </c>
      <c r="W24" s="4">
        <v>108.7</v>
      </c>
      <c r="X24" s="4">
        <v>107.6</v>
      </c>
      <c r="Y24" s="4">
        <v>108.1</v>
      </c>
      <c r="Z24" s="4">
        <v>106.5</v>
      </c>
      <c r="AA24" s="4">
        <v>110.8</v>
      </c>
      <c r="AB24" s="4">
        <v>106</v>
      </c>
      <c r="AC24" s="4">
        <v>108.3</v>
      </c>
      <c r="AD24" s="4">
        <v>112.7</v>
      </c>
      <c r="AE24" s="9" t="s">
        <v>25</v>
      </c>
      <c r="AF24" s="21" t="s">
        <v>48</v>
      </c>
    </row>
    <row r="25" spans="1:32">
      <c r="A25" s="5" t="s">
        <v>33</v>
      </c>
      <c r="B25" s="6">
        <v>2013</v>
      </c>
      <c r="C25" s="6" t="s">
        <v>40</v>
      </c>
      <c r="D25" s="6">
        <v>115.6</v>
      </c>
      <c r="E25" s="6">
        <v>117.2</v>
      </c>
      <c r="F25" s="6">
        <v>111.7</v>
      </c>
      <c r="G25" s="6">
        <v>109.6</v>
      </c>
      <c r="H25" s="6">
        <v>104.5</v>
      </c>
      <c r="I25" s="6">
        <v>109.8</v>
      </c>
      <c r="J25" s="6">
        <v>151.80000000000001</v>
      </c>
      <c r="K25" s="6">
        <v>106.5</v>
      </c>
      <c r="L25" s="6">
        <v>103.1</v>
      </c>
      <c r="M25" s="6">
        <v>107.4</v>
      </c>
      <c r="N25" s="6">
        <v>110.2</v>
      </c>
      <c r="O25" s="6">
        <v>113.4</v>
      </c>
      <c r="P25" s="6">
        <v>116.6</v>
      </c>
      <c r="Q25" s="6">
        <v>111.2</v>
      </c>
      <c r="R25" s="6">
        <v>111</v>
      </c>
      <c r="S25" s="6">
        <v>109.4</v>
      </c>
      <c r="T25" s="6">
        <v>110.7</v>
      </c>
      <c r="U25" s="6">
        <v>108.9</v>
      </c>
      <c r="V25" s="6">
        <v>109.7</v>
      </c>
      <c r="W25" s="6">
        <v>108.7</v>
      </c>
      <c r="X25" s="6">
        <v>107.5</v>
      </c>
      <c r="Y25" s="6">
        <v>108</v>
      </c>
      <c r="Z25" s="6">
        <v>106.6</v>
      </c>
      <c r="AA25" s="6">
        <v>109.9</v>
      </c>
      <c r="AB25" s="6">
        <v>105.4</v>
      </c>
      <c r="AC25" s="6">
        <v>107.9</v>
      </c>
      <c r="AD25" s="6">
        <v>112.4</v>
      </c>
      <c r="AE25" s="10" t="s">
        <v>26</v>
      </c>
      <c r="AF25" s="35" t="s">
        <v>114</v>
      </c>
    </row>
    <row r="26" spans="1:32">
      <c r="A26" s="3" t="s">
        <v>30</v>
      </c>
      <c r="B26" s="4">
        <v>2013</v>
      </c>
      <c r="C26" s="4" t="s">
        <v>41</v>
      </c>
      <c r="D26" s="4">
        <v>115.4</v>
      </c>
      <c r="E26" s="4">
        <v>115.7</v>
      </c>
      <c r="F26" s="4">
        <v>111.7</v>
      </c>
      <c r="G26" s="4">
        <v>111</v>
      </c>
      <c r="H26" s="4">
        <v>107.4</v>
      </c>
      <c r="I26" s="4">
        <v>110.9</v>
      </c>
      <c r="J26" s="4">
        <v>154</v>
      </c>
      <c r="K26" s="4">
        <v>108.1</v>
      </c>
      <c r="L26" s="4">
        <v>104.2</v>
      </c>
      <c r="M26" s="4">
        <v>107.9</v>
      </c>
      <c r="N26" s="4">
        <v>110.4</v>
      </c>
      <c r="O26" s="4">
        <v>114</v>
      </c>
      <c r="P26" s="4">
        <v>117.8</v>
      </c>
      <c r="Q26" s="4">
        <v>111.7</v>
      </c>
      <c r="R26" s="4">
        <v>112.7</v>
      </c>
      <c r="S26" s="4">
        <v>111.4</v>
      </c>
      <c r="T26" s="4">
        <v>112.5</v>
      </c>
      <c r="U26" s="4">
        <v>110.1</v>
      </c>
      <c r="V26" s="4">
        <v>111.1</v>
      </c>
      <c r="W26" s="4">
        <v>109.6</v>
      </c>
      <c r="X26" s="4">
        <v>108.3</v>
      </c>
      <c r="Y26" s="4">
        <v>109.3</v>
      </c>
      <c r="Z26" s="4">
        <v>107.7</v>
      </c>
      <c r="AA26" s="4">
        <v>109.8</v>
      </c>
      <c r="AB26" s="4">
        <v>106.7</v>
      </c>
      <c r="AC26" s="4">
        <v>108.7</v>
      </c>
      <c r="AD26" s="4">
        <v>114.2</v>
      </c>
      <c r="AE26" s="9" t="s">
        <v>27</v>
      </c>
      <c r="AF26" s="21" t="s">
        <v>115</v>
      </c>
    </row>
    <row r="27" spans="1:32">
      <c r="A27" s="5" t="s">
        <v>32</v>
      </c>
      <c r="B27" s="6">
        <v>2013</v>
      </c>
      <c r="C27" s="6" t="s">
        <v>41</v>
      </c>
      <c r="D27" s="6">
        <v>118.6</v>
      </c>
      <c r="E27" s="6">
        <v>119.1</v>
      </c>
      <c r="F27" s="6">
        <v>113.2</v>
      </c>
      <c r="G27" s="6">
        <v>109.6</v>
      </c>
      <c r="H27" s="6">
        <v>101.7</v>
      </c>
      <c r="I27" s="6">
        <v>103.2</v>
      </c>
      <c r="J27" s="6">
        <v>174.3</v>
      </c>
      <c r="K27" s="6">
        <v>105.1</v>
      </c>
      <c r="L27" s="6">
        <v>100.8</v>
      </c>
      <c r="M27" s="6">
        <v>109.1</v>
      </c>
      <c r="N27" s="6">
        <v>111.1</v>
      </c>
      <c r="O27" s="6">
        <v>115.4</v>
      </c>
      <c r="P27" s="6">
        <v>119.2</v>
      </c>
      <c r="Q27" s="6">
        <v>112.9</v>
      </c>
      <c r="R27" s="6">
        <v>111.4</v>
      </c>
      <c r="S27" s="6">
        <v>109</v>
      </c>
      <c r="T27" s="6">
        <v>111.1</v>
      </c>
      <c r="U27" s="6">
        <v>109.7</v>
      </c>
      <c r="V27" s="6">
        <v>109.5</v>
      </c>
      <c r="W27" s="6">
        <v>109.6</v>
      </c>
      <c r="X27" s="6">
        <v>107.9</v>
      </c>
      <c r="Y27" s="6">
        <v>110.4</v>
      </c>
      <c r="Z27" s="6">
        <v>107.4</v>
      </c>
      <c r="AA27" s="6">
        <v>111.2</v>
      </c>
      <c r="AB27" s="6">
        <v>106.9</v>
      </c>
      <c r="AC27" s="6">
        <v>109.4</v>
      </c>
      <c r="AD27" s="6">
        <v>113.2</v>
      </c>
      <c r="AE27" s="10" t="s">
        <v>28</v>
      </c>
      <c r="AF27" s="35" t="s">
        <v>49</v>
      </c>
    </row>
    <row r="28" spans="1:32">
      <c r="A28" s="3" t="s">
        <v>33</v>
      </c>
      <c r="B28" s="4">
        <v>2013</v>
      </c>
      <c r="C28" s="4" t="s">
        <v>41</v>
      </c>
      <c r="D28" s="4">
        <v>116.4</v>
      </c>
      <c r="E28" s="4">
        <v>116.9</v>
      </c>
      <c r="F28" s="4">
        <v>112.3</v>
      </c>
      <c r="G28" s="4">
        <v>110.5</v>
      </c>
      <c r="H28" s="4">
        <v>105.3</v>
      </c>
      <c r="I28" s="4">
        <v>107.3</v>
      </c>
      <c r="J28" s="4">
        <v>160.9</v>
      </c>
      <c r="K28" s="4">
        <v>107.1</v>
      </c>
      <c r="L28" s="4">
        <v>103.1</v>
      </c>
      <c r="M28" s="4">
        <v>108.3</v>
      </c>
      <c r="N28" s="4">
        <v>110.7</v>
      </c>
      <c r="O28" s="4">
        <v>114.6</v>
      </c>
      <c r="P28" s="4">
        <v>118.3</v>
      </c>
      <c r="Q28" s="4">
        <v>112</v>
      </c>
      <c r="R28" s="4">
        <v>112.2</v>
      </c>
      <c r="S28" s="4">
        <v>110.4</v>
      </c>
      <c r="T28" s="4">
        <v>111.9</v>
      </c>
      <c r="U28" s="4">
        <v>109.7</v>
      </c>
      <c r="V28" s="4">
        <v>110.5</v>
      </c>
      <c r="W28" s="4">
        <v>109.6</v>
      </c>
      <c r="X28" s="4">
        <v>108.1</v>
      </c>
      <c r="Y28" s="4">
        <v>109.9</v>
      </c>
      <c r="Z28" s="4">
        <v>107.5</v>
      </c>
      <c r="AA28" s="4">
        <v>110.6</v>
      </c>
      <c r="AB28" s="4">
        <v>106.8</v>
      </c>
      <c r="AC28" s="4">
        <v>109</v>
      </c>
      <c r="AD28" s="4">
        <v>113.7</v>
      </c>
      <c r="AE28" s="9" t="s">
        <v>29</v>
      </c>
      <c r="AF28" s="21" t="s">
        <v>49</v>
      </c>
    </row>
    <row r="29" spans="1:32">
      <c r="A29" s="5" t="s">
        <v>30</v>
      </c>
      <c r="B29" s="6">
        <v>2013</v>
      </c>
      <c r="C29" s="6" t="s">
        <v>42</v>
      </c>
      <c r="D29" s="6">
        <v>116.3</v>
      </c>
      <c r="E29" s="6">
        <v>115.4</v>
      </c>
      <c r="F29" s="6">
        <v>112.6</v>
      </c>
      <c r="G29" s="6">
        <v>111.7</v>
      </c>
      <c r="H29" s="6">
        <v>107.7</v>
      </c>
      <c r="I29" s="6">
        <v>113.2</v>
      </c>
      <c r="J29" s="6">
        <v>164.9</v>
      </c>
      <c r="K29" s="6">
        <v>108.3</v>
      </c>
      <c r="L29" s="6">
        <v>103.9</v>
      </c>
      <c r="M29" s="6">
        <v>108.2</v>
      </c>
      <c r="N29" s="6">
        <v>111.1</v>
      </c>
      <c r="O29" s="6">
        <v>114.9</v>
      </c>
      <c r="P29" s="6">
        <v>119.8</v>
      </c>
      <c r="Q29" s="6">
        <v>112.2</v>
      </c>
      <c r="R29" s="6">
        <v>113.6</v>
      </c>
      <c r="S29" s="6">
        <v>112.3</v>
      </c>
      <c r="T29" s="6">
        <v>113.4</v>
      </c>
      <c r="U29" s="6">
        <v>110.1</v>
      </c>
      <c r="V29" s="6">
        <v>111.6</v>
      </c>
      <c r="W29" s="6">
        <v>110.4</v>
      </c>
      <c r="X29" s="6">
        <v>108.9</v>
      </c>
      <c r="Y29" s="6">
        <v>109.3</v>
      </c>
      <c r="Z29" s="6">
        <v>108.3</v>
      </c>
      <c r="AA29" s="6">
        <v>110.2</v>
      </c>
      <c r="AB29" s="6">
        <v>107.5</v>
      </c>
      <c r="AC29" s="6">
        <v>109.1</v>
      </c>
      <c r="AD29" s="6">
        <v>115.5</v>
      </c>
      <c r="AE29" s="22"/>
    </row>
    <row r="30" spans="1:32">
      <c r="A30" s="3" t="s">
        <v>32</v>
      </c>
      <c r="B30" s="4">
        <v>2013</v>
      </c>
      <c r="C30" s="4" t="s">
        <v>42</v>
      </c>
      <c r="D30" s="4">
        <v>118.9</v>
      </c>
      <c r="E30" s="4">
        <v>118.1</v>
      </c>
      <c r="F30" s="4">
        <v>114.5</v>
      </c>
      <c r="G30" s="4">
        <v>110.4</v>
      </c>
      <c r="H30" s="4">
        <v>102.3</v>
      </c>
      <c r="I30" s="4">
        <v>106.2</v>
      </c>
      <c r="J30" s="4">
        <v>183.5</v>
      </c>
      <c r="K30" s="4">
        <v>105.3</v>
      </c>
      <c r="L30" s="4">
        <v>100.2</v>
      </c>
      <c r="M30" s="4">
        <v>109.6</v>
      </c>
      <c r="N30" s="4">
        <v>111.4</v>
      </c>
      <c r="O30" s="4">
        <v>116</v>
      </c>
      <c r="P30" s="4">
        <v>120.8</v>
      </c>
      <c r="Q30" s="4">
        <v>113.5</v>
      </c>
      <c r="R30" s="4">
        <v>112.5</v>
      </c>
      <c r="S30" s="4">
        <v>109.7</v>
      </c>
      <c r="T30" s="4">
        <v>112</v>
      </c>
      <c r="U30" s="4">
        <v>110.5</v>
      </c>
      <c r="V30" s="4">
        <v>109.7</v>
      </c>
      <c r="W30" s="4">
        <v>110.2</v>
      </c>
      <c r="X30" s="4">
        <v>108.2</v>
      </c>
      <c r="Y30" s="4">
        <v>109.7</v>
      </c>
      <c r="Z30" s="4">
        <v>108</v>
      </c>
      <c r="AA30" s="4">
        <v>111.3</v>
      </c>
      <c r="AB30" s="4">
        <v>107.3</v>
      </c>
      <c r="AC30" s="4">
        <v>109.4</v>
      </c>
      <c r="AD30" s="4">
        <v>114</v>
      </c>
    </row>
    <row r="31" spans="1:32">
      <c r="A31" s="5" t="s">
        <v>33</v>
      </c>
      <c r="B31" s="6">
        <v>2013</v>
      </c>
      <c r="C31" s="6" t="s">
        <v>42</v>
      </c>
      <c r="D31" s="6">
        <v>117.1</v>
      </c>
      <c r="E31" s="6">
        <v>116.3</v>
      </c>
      <c r="F31" s="6">
        <v>113.3</v>
      </c>
      <c r="G31" s="6">
        <v>111.2</v>
      </c>
      <c r="H31" s="6">
        <v>105.7</v>
      </c>
      <c r="I31" s="6">
        <v>109.9</v>
      </c>
      <c r="J31" s="6">
        <v>171.2</v>
      </c>
      <c r="K31" s="6">
        <v>107.3</v>
      </c>
      <c r="L31" s="6">
        <v>102.7</v>
      </c>
      <c r="M31" s="6">
        <v>108.7</v>
      </c>
      <c r="N31" s="6">
        <v>111.2</v>
      </c>
      <c r="O31" s="6">
        <v>115.4</v>
      </c>
      <c r="P31" s="6">
        <v>120.2</v>
      </c>
      <c r="Q31" s="6">
        <v>112.5</v>
      </c>
      <c r="R31" s="6">
        <v>113.2</v>
      </c>
      <c r="S31" s="6">
        <v>111.2</v>
      </c>
      <c r="T31" s="6">
        <v>112.8</v>
      </c>
      <c r="U31" s="6">
        <v>110.5</v>
      </c>
      <c r="V31" s="6">
        <v>110.9</v>
      </c>
      <c r="W31" s="6">
        <v>110.3</v>
      </c>
      <c r="X31" s="6">
        <v>108.6</v>
      </c>
      <c r="Y31" s="6">
        <v>109.5</v>
      </c>
      <c r="Z31" s="6">
        <v>108.1</v>
      </c>
      <c r="AA31" s="6">
        <v>110.8</v>
      </c>
      <c r="AB31" s="6">
        <v>107.4</v>
      </c>
      <c r="AC31" s="6">
        <v>109.2</v>
      </c>
      <c r="AD31" s="6">
        <v>114.8</v>
      </c>
    </row>
    <row r="32" spans="1:32">
      <c r="A32" s="3" t="s">
        <v>30</v>
      </c>
      <c r="B32" s="4">
        <v>2013</v>
      </c>
      <c r="C32" s="4" t="s">
        <v>43</v>
      </c>
      <c r="D32" s="4">
        <v>117.3</v>
      </c>
      <c r="E32" s="4">
        <v>114.9</v>
      </c>
      <c r="F32" s="4">
        <v>116.2</v>
      </c>
      <c r="G32" s="4">
        <v>112.8</v>
      </c>
      <c r="H32" s="4">
        <v>108.9</v>
      </c>
      <c r="I32" s="4">
        <v>116.6</v>
      </c>
      <c r="J32" s="4">
        <v>178.1</v>
      </c>
      <c r="K32" s="4">
        <v>109.1</v>
      </c>
      <c r="L32" s="4">
        <v>103.6</v>
      </c>
      <c r="M32" s="4">
        <v>109</v>
      </c>
      <c r="N32" s="4">
        <v>111.8</v>
      </c>
      <c r="O32" s="4">
        <v>116</v>
      </c>
      <c r="P32" s="4">
        <v>122.5</v>
      </c>
      <c r="Q32" s="4">
        <v>112.8</v>
      </c>
      <c r="R32" s="4">
        <v>114.6</v>
      </c>
      <c r="S32" s="4">
        <v>113.1</v>
      </c>
      <c r="T32" s="4">
        <v>114.4</v>
      </c>
      <c r="U32" s="4">
        <v>110.9</v>
      </c>
      <c r="V32" s="4">
        <v>112.6</v>
      </c>
      <c r="W32" s="4">
        <v>111.3</v>
      </c>
      <c r="X32" s="4">
        <v>109.7</v>
      </c>
      <c r="Y32" s="4">
        <v>109.6</v>
      </c>
      <c r="Z32" s="4">
        <v>108.7</v>
      </c>
      <c r="AA32" s="4">
        <v>111</v>
      </c>
      <c r="AB32" s="4">
        <v>108.2</v>
      </c>
      <c r="AC32" s="4">
        <v>109.8</v>
      </c>
      <c r="AD32" s="4">
        <v>117.4</v>
      </c>
    </row>
    <row r="33" spans="1:30">
      <c r="A33" s="5" t="s">
        <v>32</v>
      </c>
      <c r="B33" s="6">
        <v>2013</v>
      </c>
      <c r="C33" s="6" t="s">
        <v>43</v>
      </c>
      <c r="D33" s="6">
        <v>119.8</v>
      </c>
      <c r="E33" s="6">
        <v>116.3</v>
      </c>
      <c r="F33" s="6">
        <v>122.6</v>
      </c>
      <c r="G33" s="6">
        <v>112</v>
      </c>
      <c r="H33" s="6">
        <v>103.2</v>
      </c>
      <c r="I33" s="6">
        <v>110</v>
      </c>
      <c r="J33" s="6">
        <v>192.8</v>
      </c>
      <c r="K33" s="6">
        <v>106.3</v>
      </c>
      <c r="L33" s="6">
        <v>99.5</v>
      </c>
      <c r="M33" s="6">
        <v>110.3</v>
      </c>
      <c r="N33" s="6">
        <v>111.8</v>
      </c>
      <c r="O33" s="6">
        <v>117.1</v>
      </c>
      <c r="P33" s="6">
        <v>122.9</v>
      </c>
      <c r="Q33" s="6">
        <v>114.1</v>
      </c>
      <c r="R33" s="6">
        <v>113.5</v>
      </c>
      <c r="S33" s="6">
        <v>110.3</v>
      </c>
      <c r="T33" s="6">
        <v>113</v>
      </c>
      <c r="U33" s="6">
        <v>111.1</v>
      </c>
      <c r="V33" s="6">
        <v>110</v>
      </c>
      <c r="W33" s="6">
        <v>110.9</v>
      </c>
      <c r="X33" s="6">
        <v>108.6</v>
      </c>
      <c r="Y33" s="6">
        <v>109.5</v>
      </c>
      <c r="Z33" s="6">
        <v>108.5</v>
      </c>
      <c r="AA33" s="6">
        <v>111.3</v>
      </c>
      <c r="AB33" s="6">
        <v>107.9</v>
      </c>
      <c r="AC33" s="6">
        <v>109.6</v>
      </c>
      <c r="AD33" s="6">
        <v>115</v>
      </c>
    </row>
    <row r="34" spans="1:30">
      <c r="A34" s="3" t="s">
        <v>33</v>
      </c>
      <c r="B34" s="4">
        <v>2013</v>
      </c>
      <c r="C34" s="4" t="s">
        <v>43</v>
      </c>
      <c r="D34" s="4">
        <v>118.1</v>
      </c>
      <c r="E34" s="4">
        <v>115.4</v>
      </c>
      <c r="F34" s="4">
        <v>118.7</v>
      </c>
      <c r="G34" s="4">
        <v>112.5</v>
      </c>
      <c r="H34" s="4">
        <v>106.8</v>
      </c>
      <c r="I34" s="4">
        <v>113.5</v>
      </c>
      <c r="J34" s="4">
        <v>183.1</v>
      </c>
      <c r="K34" s="4">
        <v>108.2</v>
      </c>
      <c r="L34" s="4">
        <v>102.2</v>
      </c>
      <c r="M34" s="4">
        <v>109.4</v>
      </c>
      <c r="N34" s="4">
        <v>111.8</v>
      </c>
      <c r="O34" s="4">
        <v>116.5</v>
      </c>
      <c r="P34" s="4">
        <v>122.6</v>
      </c>
      <c r="Q34" s="4">
        <v>113.1</v>
      </c>
      <c r="R34" s="4">
        <v>114.2</v>
      </c>
      <c r="S34" s="4">
        <v>111.9</v>
      </c>
      <c r="T34" s="4">
        <v>113.8</v>
      </c>
      <c r="U34" s="4">
        <v>111.1</v>
      </c>
      <c r="V34" s="4">
        <v>111.6</v>
      </c>
      <c r="W34" s="4">
        <v>111.1</v>
      </c>
      <c r="X34" s="4">
        <v>109.3</v>
      </c>
      <c r="Y34" s="4">
        <v>109.5</v>
      </c>
      <c r="Z34" s="4">
        <v>108.6</v>
      </c>
      <c r="AA34" s="4">
        <v>111.2</v>
      </c>
      <c r="AB34" s="4">
        <v>108.1</v>
      </c>
      <c r="AC34" s="4">
        <v>109.7</v>
      </c>
      <c r="AD34" s="4">
        <v>116.3</v>
      </c>
    </row>
    <row r="35" spans="1:30">
      <c r="A35" s="5" t="s">
        <v>30</v>
      </c>
      <c r="B35" s="6">
        <v>2013</v>
      </c>
      <c r="C35" s="6" t="s">
        <v>44</v>
      </c>
      <c r="D35" s="6">
        <v>118.4</v>
      </c>
      <c r="E35" s="6">
        <v>115.9</v>
      </c>
      <c r="F35" s="6">
        <v>120.4</v>
      </c>
      <c r="G35" s="6">
        <v>113.8</v>
      </c>
      <c r="H35" s="6">
        <v>109.5</v>
      </c>
      <c r="I35" s="6">
        <v>115.5</v>
      </c>
      <c r="J35" s="6">
        <v>145.69999999999999</v>
      </c>
      <c r="K35" s="6">
        <v>109.5</v>
      </c>
      <c r="L35" s="6">
        <v>102.9</v>
      </c>
      <c r="M35" s="6">
        <v>109.8</v>
      </c>
      <c r="N35" s="6">
        <v>112.1</v>
      </c>
      <c r="O35" s="6">
        <v>116.8</v>
      </c>
      <c r="P35" s="6">
        <v>118.7</v>
      </c>
      <c r="Q35" s="6">
        <v>113.6</v>
      </c>
      <c r="R35" s="6">
        <v>115.8</v>
      </c>
      <c r="S35" s="6">
        <v>114</v>
      </c>
      <c r="T35" s="6">
        <v>115.5</v>
      </c>
      <c r="U35" s="6">
        <v>110.9</v>
      </c>
      <c r="V35" s="6">
        <v>112.8</v>
      </c>
      <c r="W35" s="6">
        <v>112.1</v>
      </c>
      <c r="X35" s="6">
        <v>110.1</v>
      </c>
      <c r="Y35" s="6">
        <v>109.9</v>
      </c>
      <c r="Z35" s="6">
        <v>109.2</v>
      </c>
      <c r="AA35" s="6">
        <v>111.6</v>
      </c>
      <c r="AB35" s="6">
        <v>108.1</v>
      </c>
      <c r="AC35" s="6">
        <v>110.1</v>
      </c>
      <c r="AD35" s="6">
        <v>115.5</v>
      </c>
    </row>
    <row r="36" spans="1:30">
      <c r="A36" s="3" t="s">
        <v>32</v>
      </c>
      <c r="B36" s="4">
        <v>2013</v>
      </c>
      <c r="C36" s="4" t="s">
        <v>44</v>
      </c>
      <c r="D36" s="4">
        <v>120.5</v>
      </c>
      <c r="E36" s="4">
        <v>118.1</v>
      </c>
      <c r="F36" s="4">
        <v>128.5</v>
      </c>
      <c r="G36" s="4">
        <v>112.8</v>
      </c>
      <c r="H36" s="4">
        <v>103.4</v>
      </c>
      <c r="I36" s="4">
        <v>110.7</v>
      </c>
      <c r="J36" s="4">
        <v>144.80000000000001</v>
      </c>
      <c r="K36" s="4">
        <v>107.1</v>
      </c>
      <c r="L36" s="4">
        <v>98.6</v>
      </c>
      <c r="M36" s="4">
        <v>111.9</v>
      </c>
      <c r="N36" s="4">
        <v>112.1</v>
      </c>
      <c r="O36" s="4">
        <v>118.1</v>
      </c>
      <c r="P36" s="4">
        <v>117.8</v>
      </c>
      <c r="Q36" s="4">
        <v>115</v>
      </c>
      <c r="R36" s="4">
        <v>114.2</v>
      </c>
      <c r="S36" s="4">
        <v>110.9</v>
      </c>
      <c r="T36" s="4">
        <v>113.7</v>
      </c>
      <c r="U36" s="4">
        <v>110.7</v>
      </c>
      <c r="V36" s="4">
        <v>110.4</v>
      </c>
      <c r="W36" s="4">
        <v>111.3</v>
      </c>
      <c r="X36" s="4">
        <v>109</v>
      </c>
      <c r="Y36" s="4">
        <v>109.7</v>
      </c>
      <c r="Z36" s="4">
        <v>108.9</v>
      </c>
      <c r="AA36" s="4">
        <v>111.4</v>
      </c>
      <c r="AB36" s="4">
        <v>107.7</v>
      </c>
      <c r="AC36" s="4">
        <v>109.8</v>
      </c>
      <c r="AD36" s="4">
        <v>113.3</v>
      </c>
    </row>
    <row r="37" spans="1:30">
      <c r="A37" s="5" t="s">
        <v>33</v>
      </c>
      <c r="B37" s="6">
        <v>2013</v>
      </c>
      <c r="C37" s="6" t="s">
        <v>44</v>
      </c>
      <c r="D37" s="6">
        <v>119.1</v>
      </c>
      <c r="E37" s="6">
        <v>116.7</v>
      </c>
      <c r="F37" s="6">
        <v>123.5</v>
      </c>
      <c r="G37" s="6">
        <v>113.4</v>
      </c>
      <c r="H37" s="6">
        <v>107.3</v>
      </c>
      <c r="I37" s="6">
        <v>113.3</v>
      </c>
      <c r="J37" s="6">
        <v>145.4</v>
      </c>
      <c r="K37" s="6">
        <v>108.7</v>
      </c>
      <c r="L37" s="6">
        <v>101.5</v>
      </c>
      <c r="M37" s="6">
        <v>110.5</v>
      </c>
      <c r="N37" s="6">
        <v>112.1</v>
      </c>
      <c r="O37" s="6">
        <v>117.4</v>
      </c>
      <c r="P37" s="6">
        <v>118.4</v>
      </c>
      <c r="Q37" s="6">
        <v>114</v>
      </c>
      <c r="R37" s="6">
        <v>115.2</v>
      </c>
      <c r="S37" s="6">
        <v>112.7</v>
      </c>
      <c r="T37" s="6">
        <v>114.8</v>
      </c>
      <c r="U37" s="6">
        <v>110.7</v>
      </c>
      <c r="V37" s="6">
        <v>111.9</v>
      </c>
      <c r="W37" s="6">
        <v>111.7</v>
      </c>
      <c r="X37" s="6">
        <v>109.7</v>
      </c>
      <c r="Y37" s="6">
        <v>109.8</v>
      </c>
      <c r="Z37" s="6">
        <v>109</v>
      </c>
      <c r="AA37" s="6">
        <v>111.5</v>
      </c>
      <c r="AB37" s="6">
        <v>107.9</v>
      </c>
      <c r="AC37" s="6">
        <v>110</v>
      </c>
      <c r="AD37" s="6">
        <v>114.5</v>
      </c>
    </row>
    <row r="38" spans="1:30">
      <c r="A38" s="3" t="s">
        <v>30</v>
      </c>
      <c r="B38" s="4">
        <v>2014</v>
      </c>
      <c r="C38" s="4" t="s">
        <v>31</v>
      </c>
      <c r="D38" s="4">
        <v>118.9</v>
      </c>
      <c r="E38" s="4">
        <v>117.1</v>
      </c>
      <c r="F38" s="4">
        <v>120.5</v>
      </c>
      <c r="G38" s="4">
        <v>114.4</v>
      </c>
      <c r="H38" s="4">
        <v>109</v>
      </c>
      <c r="I38" s="4">
        <v>115.5</v>
      </c>
      <c r="J38" s="4">
        <v>123.9</v>
      </c>
      <c r="K38" s="4">
        <v>109.6</v>
      </c>
      <c r="L38" s="4">
        <v>101.8</v>
      </c>
      <c r="M38" s="4">
        <v>110.2</v>
      </c>
      <c r="N38" s="4">
        <v>112.4</v>
      </c>
      <c r="O38" s="4">
        <v>117.3</v>
      </c>
      <c r="P38" s="4">
        <v>116</v>
      </c>
      <c r="Q38" s="4">
        <v>114</v>
      </c>
      <c r="R38" s="4">
        <v>116.5</v>
      </c>
      <c r="S38" s="4">
        <v>114.5</v>
      </c>
      <c r="T38" s="4">
        <v>116.2</v>
      </c>
      <c r="U38" s="4">
        <v>112.05</v>
      </c>
      <c r="V38" s="4">
        <v>113</v>
      </c>
      <c r="W38" s="4">
        <v>112.6</v>
      </c>
      <c r="X38" s="4">
        <v>110.6</v>
      </c>
      <c r="Y38" s="4">
        <v>110.5</v>
      </c>
      <c r="Z38" s="4">
        <v>109.6</v>
      </c>
      <c r="AA38" s="4">
        <v>111.8</v>
      </c>
      <c r="AB38" s="4">
        <v>108.3</v>
      </c>
      <c r="AC38" s="4">
        <v>110.6</v>
      </c>
      <c r="AD38" s="4">
        <v>114.2</v>
      </c>
    </row>
    <row r="39" spans="1:30">
      <c r="A39" s="5" t="s">
        <v>32</v>
      </c>
      <c r="B39" s="6">
        <v>2014</v>
      </c>
      <c r="C39" s="6" t="s">
        <v>31</v>
      </c>
      <c r="D39" s="6">
        <v>121.2</v>
      </c>
      <c r="E39" s="6">
        <v>122</v>
      </c>
      <c r="F39" s="6">
        <v>129.9</v>
      </c>
      <c r="G39" s="6">
        <v>113.6</v>
      </c>
      <c r="H39" s="6">
        <v>102.9</v>
      </c>
      <c r="I39" s="6">
        <v>112.1</v>
      </c>
      <c r="J39" s="6">
        <v>118.9</v>
      </c>
      <c r="K39" s="6">
        <v>107.5</v>
      </c>
      <c r="L39" s="6">
        <v>96.9</v>
      </c>
      <c r="M39" s="6">
        <v>112.7</v>
      </c>
      <c r="N39" s="6">
        <v>112.1</v>
      </c>
      <c r="O39" s="6">
        <v>119</v>
      </c>
      <c r="P39" s="6">
        <v>115.5</v>
      </c>
      <c r="Q39" s="6">
        <v>115.7</v>
      </c>
      <c r="R39" s="6">
        <v>114.8</v>
      </c>
      <c r="S39" s="6">
        <v>111.3</v>
      </c>
      <c r="T39" s="6">
        <v>114.3</v>
      </c>
      <c r="U39" s="6">
        <v>111.6</v>
      </c>
      <c r="V39" s="6">
        <v>111</v>
      </c>
      <c r="W39" s="6">
        <v>111.9</v>
      </c>
      <c r="X39" s="6">
        <v>109.7</v>
      </c>
      <c r="Y39" s="6">
        <v>110.8</v>
      </c>
      <c r="Z39" s="6">
        <v>109.8</v>
      </c>
      <c r="AA39" s="6">
        <v>111.5</v>
      </c>
      <c r="AB39" s="6">
        <v>108</v>
      </c>
      <c r="AC39" s="6">
        <v>110.5</v>
      </c>
      <c r="AD39" s="6">
        <v>112.9</v>
      </c>
    </row>
    <row r="40" spans="1:30">
      <c r="A40" s="3" t="s">
        <v>33</v>
      </c>
      <c r="B40" s="4">
        <v>2014</v>
      </c>
      <c r="C40" s="4" t="s">
        <v>31</v>
      </c>
      <c r="D40" s="4">
        <v>119.6</v>
      </c>
      <c r="E40" s="4">
        <v>118.8</v>
      </c>
      <c r="F40" s="4">
        <v>124.1</v>
      </c>
      <c r="G40" s="4">
        <v>114.1</v>
      </c>
      <c r="H40" s="4">
        <v>106.8</v>
      </c>
      <c r="I40" s="4">
        <v>113.9</v>
      </c>
      <c r="J40" s="4">
        <v>122.2</v>
      </c>
      <c r="K40" s="4">
        <v>108.9</v>
      </c>
      <c r="L40" s="4">
        <v>100.2</v>
      </c>
      <c r="M40" s="4">
        <v>111</v>
      </c>
      <c r="N40" s="4">
        <v>112.3</v>
      </c>
      <c r="O40" s="4">
        <v>118.1</v>
      </c>
      <c r="P40" s="4">
        <v>115.8</v>
      </c>
      <c r="Q40" s="4">
        <v>114.5</v>
      </c>
      <c r="R40" s="4">
        <v>115.8</v>
      </c>
      <c r="S40" s="4">
        <v>113.2</v>
      </c>
      <c r="T40" s="4">
        <v>115.4</v>
      </c>
      <c r="U40" s="4">
        <v>111.6</v>
      </c>
      <c r="V40" s="4">
        <v>112.2</v>
      </c>
      <c r="W40" s="4">
        <v>112.3</v>
      </c>
      <c r="X40" s="4">
        <v>110.3</v>
      </c>
      <c r="Y40" s="4">
        <v>110.7</v>
      </c>
      <c r="Z40" s="4">
        <v>109.7</v>
      </c>
      <c r="AA40" s="4">
        <v>111.6</v>
      </c>
      <c r="AB40" s="4">
        <v>108.2</v>
      </c>
      <c r="AC40" s="4">
        <v>110.6</v>
      </c>
      <c r="AD40" s="4">
        <v>113.6</v>
      </c>
    </row>
    <row r="41" spans="1:30">
      <c r="A41" s="5" t="s">
        <v>30</v>
      </c>
      <c r="B41" s="6">
        <v>2014</v>
      </c>
      <c r="C41" s="6" t="s">
        <v>34</v>
      </c>
      <c r="D41" s="6">
        <v>119.4</v>
      </c>
      <c r="E41" s="6">
        <v>117.7</v>
      </c>
      <c r="F41" s="6">
        <v>121.2</v>
      </c>
      <c r="G41" s="6">
        <v>115</v>
      </c>
      <c r="H41" s="6">
        <v>109</v>
      </c>
      <c r="I41" s="6">
        <v>116.6</v>
      </c>
      <c r="J41" s="6">
        <v>116</v>
      </c>
      <c r="K41" s="6">
        <v>109.8</v>
      </c>
      <c r="L41" s="6">
        <v>101.1</v>
      </c>
      <c r="M41" s="6">
        <v>110.4</v>
      </c>
      <c r="N41" s="6">
        <v>112.9</v>
      </c>
      <c r="O41" s="6">
        <v>117.8</v>
      </c>
      <c r="P41" s="6">
        <v>115.3</v>
      </c>
      <c r="Q41" s="6">
        <v>114.2</v>
      </c>
      <c r="R41" s="6">
        <v>117.1</v>
      </c>
      <c r="S41" s="6">
        <v>114.5</v>
      </c>
      <c r="T41" s="6">
        <v>116.7</v>
      </c>
      <c r="U41" s="6">
        <v>112.05</v>
      </c>
      <c r="V41" s="6">
        <v>113.2</v>
      </c>
      <c r="W41" s="6">
        <v>112.9</v>
      </c>
      <c r="X41" s="6">
        <v>110.9</v>
      </c>
      <c r="Y41" s="6">
        <v>110.8</v>
      </c>
      <c r="Z41" s="6">
        <v>109.9</v>
      </c>
      <c r="AA41" s="6">
        <v>112</v>
      </c>
      <c r="AB41" s="6">
        <v>108.7</v>
      </c>
      <c r="AC41" s="6">
        <v>110.9</v>
      </c>
      <c r="AD41" s="6">
        <v>114</v>
      </c>
    </row>
    <row r="42" spans="1:30">
      <c r="A42" s="3" t="s">
        <v>32</v>
      </c>
      <c r="B42" s="4">
        <v>2014</v>
      </c>
      <c r="C42" s="4" t="s">
        <v>34</v>
      </c>
      <c r="D42" s="4">
        <v>121.9</v>
      </c>
      <c r="E42" s="4">
        <v>122</v>
      </c>
      <c r="F42" s="4">
        <v>124.5</v>
      </c>
      <c r="G42" s="4">
        <v>115.2</v>
      </c>
      <c r="H42" s="4">
        <v>102.5</v>
      </c>
      <c r="I42" s="4">
        <v>114.1</v>
      </c>
      <c r="J42" s="4">
        <v>111.5</v>
      </c>
      <c r="K42" s="4">
        <v>108.2</v>
      </c>
      <c r="L42" s="4">
        <v>95.4</v>
      </c>
      <c r="M42" s="4">
        <v>113.5</v>
      </c>
      <c r="N42" s="4">
        <v>112.1</v>
      </c>
      <c r="O42" s="4">
        <v>119.9</v>
      </c>
      <c r="P42" s="4">
        <v>115.2</v>
      </c>
      <c r="Q42" s="4">
        <v>116.2</v>
      </c>
      <c r="R42" s="4">
        <v>115.3</v>
      </c>
      <c r="S42" s="4">
        <v>111.7</v>
      </c>
      <c r="T42" s="4">
        <v>114.7</v>
      </c>
      <c r="U42" s="4">
        <v>112.5</v>
      </c>
      <c r="V42" s="4">
        <v>111.1</v>
      </c>
      <c r="W42" s="4">
        <v>112.6</v>
      </c>
      <c r="X42" s="4">
        <v>110.4</v>
      </c>
      <c r="Y42" s="4">
        <v>111.3</v>
      </c>
      <c r="Z42" s="4">
        <v>110.3</v>
      </c>
      <c r="AA42" s="4">
        <v>111.6</v>
      </c>
      <c r="AB42" s="4">
        <v>108.7</v>
      </c>
      <c r="AC42" s="4">
        <v>111</v>
      </c>
      <c r="AD42" s="4">
        <v>113.1</v>
      </c>
    </row>
    <row r="43" spans="1:30">
      <c r="A43" s="5" t="s">
        <v>33</v>
      </c>
      <c r="B43" s="6">
        <v>2014</v>
      </c>
      <c r="C43" s="6" t="s">
        <v>34</v>
      </c>
      <c r="D43" s="6">
        <v>120.2</v>
      </c>
      <c r="E43" s="6">
        <v>119.2</v>
      </c>
      <c r="F43" s="6">
        <v>122.5</v>
      </c>
      <c r="G43" s="6">
        <v>115.1</v>
      </c>
      <c r="H43" s="6">
        <v>106.6</v>
      </c>
      <c r="I43" s="6">
        <v>115.4</v>
      </c>
      <c r="J43" s="6">
        <v>114.5</v>
      </c>
      <c r="K43" s="6">
        <v>109.3</v>
      </c>
      <c r="L43" s="6">
        <v>99.2</v>
      </c>
      <c r="M43" s="6">
        <v>111.4</v>
      </c>
      <c r="N43" s="6">
        <v>112.6</v>
      </c>
      <c r="O43" s="6">
        <v>118.8</v>
      </c>
      <c r="P43" s="6">
        <v>115.3</v>
      </c>
      <c r="Q43" s="6">
        <v>114.7</v>
      </c>
      <c r="R43" s="6">
        <v>116.4</v>
      </c>
      <c r="S43" s="6">
        <v>113.3</v>
      </c>
      <c r="T43" s="6">
        <v>115.9</v>
      </c>
      <c r="U43" s="6">
        <v>112.5</v>
      </c>
      <c r="V43" s="6">
        <v>112.4</v>
      </c>
      <c r="W43" s="6">
        <v>112.8</v>
      </c>
      <c r="X43" s="6">
        <v>110.7</v>
      </c>
      <c r="Y43" s="6">
        <v>111.1</v>
      </c>
      <c r="Z43" s="6">
        <v>110.1</v>
      </c>
      <c r="AA43" s="6">
        <v>111.8</v>
      </c>
      <c r="AB43" s="6">
        <v>108.7</v>
      </c>
      <c r="AC43" s="6">
        <v>110.9</v>
      </c>
      <c r="AD43" s="6">
        <v>113.6</v>
      </c>
    </row>
    <row r="44" spans="1:30">
      <c r="A44" s="3" t="s">
        <v>30</v>
      </c>
      <c r="B44" s="4">
        <v>2014</v>
      </c>
      <c r="C44" s="4" t="s">
        <v>35</v>
      </c>
      <c r="D44" s="4">
        <v>120.1</v>
      </c>
      <c r="E44" s="4">
        <v>118.1</v>
      </c>
      <c r="F44" s="4">
        <v>120.7</v>
      </c>
      <c r="G44" s="4">
        <v>116.1</v>
      </c>
      <c r="H44" s="4">
        <v>109.3</v>
      </c>
      <c r="I44" s="4">
        <v>119.6</v>
      </c>
      <c r="J44" s="4">
        <v>117.9</v>
      </c>
      <c r="K44" s="4">
        <v>110.2</v>
      </c>
      <c r="L44" s="4">
        <v>101.2</v>
      </c>
      <c r="M44" s="4">
        <v>110.7</v>
      </c>
      <c r="N44" s="4">
        <v>113</v>
      </c>
      <c r="O44" s="4">
        <v>118.3</v>
      </c>
      <c r="P44" s="4">
        <v>116.2</v>
      </c>
      <c r="Q44" s="4">
        <v>114.6</v>
      </c>
      <c r="R44" s="4">
        <v>117.5</v>
      </c>
      <c r="S44" s="4">
        <v>114.9</v>
      </c>
      <c r="T44" s="4">
        <v>117.2</v>
      </c>
      <c r="U44" s="4">
        <v>113.55</v>
      </c>
      <c r="V44" s="4">
        <v>113.4</v>
      </c>
      <c r="W44" s="4">
        <v>113.4</v>
      </c>
      <c r="X44" s="4">
        <v>111.4</v>
      </c>
      <c r="Y44" s="4">
        <v>111.2</v>
      </c>
      <c r="Z44" s="4">
        <v>110.2</v>
      </c>
      <c r="AA44" s="4">
        <v>112.4</v>
      </c>
      <c r="AB44" s="4">
        <v>108.9</v>
      </c>
      <c r="AC44" s="4">
        <v>111.3</v>
      </c>
      <c r="AD44" s="4">
        <v>114.6</v>
      </c>
    </row>
    <row r="45" spans="1:30">
      <c r="A45" s="5" t="s">
        <v>32</v>
      </c>
      <c r="B45" s="6">
        <v>2014</v>
      </c>
      <c r="C45" s="6" t="s">
        <v>35</v>
      </c>
      <c r="D45" s="6">
        <v>122.1</v>
      </c>
      <c r="E45" s="6">
        <v>121.4</v>
      </c>
      <c r="F45" s="6">
        <v>121.5</v>
      </c>
      <c r="G45" s="6">
        <v>116.2</v>
      </c>
      <c r="H45" s="6">
        <v>102.8</v>
      </c>
      <c r="I45" s="6">
        <v>117.7</v>
      </c>
      <c r="J45" s="6">
        <v>113.3</v>
      </c>
      <c r="K45" s="6">
        <v>108.9</v>
      </c>
      <c r="L45" s="6">
        <v>96.3</v>
      </c>
      <c r="M45" s="6">
        <v>114.1</v>
      </c>
      <c r="N45" s="6">
        <v>112.2</v>
      </c>
      <c r="O45" s="6">
        <v>120.5</v>
      </c>
      <c r="P45" s="6">
        <v>116</v>
      </c>
      <c r="Q45" s="6">
        <v>116.7</v>
      </c>
      <c r="R45" s="6">
        <v>115.8</v>
      </c>
      <c r="S45" s="6">
        <v>112.1</v>
      </c>
      <c r="T45" s="6">
        <v>115.2</v>
      </c>
      <c r="U45" s="6">
        <v>113.2</v>
      </c>
      <c r="V45" s="6">
        <v>110.9</v>
      </c>
      <c r="W45" s="6">
        <v>113</v>
      </c>
      <c r="X45" s="6">
        <v>110.8</v>
      </c>
      <c r="Y45" s="6">
        <v>111.6</v>
      </c>
      <c r="Z45" s="6">
        <v>110.9</v>
      </c>
      <c r="AA45" s="6">
        <v>111.8</v>
      </c>
      <c r="AB45" s="6">
        <v>109.2</v>
      </c>
      <c r="AC45" s="6">
        <v>111.4</v>
      </c>
      <c r="AD45" s="6">
        <v>113.7</v>
      </c>
    </row>
    <row r="46" spans="1:30">
      <c r="A46" s="3" t="s">
        <v>33</v>
      </c>
      <c r="B46" s="4">
        <v>2014</v>
      </c>
      <c r="C46" s="4" t="s">
        <v>35</v>
      </c>
      <c r="D46" s="4">
        <v>120.7</v>
      </c>
      <c r="E46" s="4">
        <v>119.3</v>
      </c>
      <c r="F46" s="4">
        <v>121</v>
      </c>
      <c r="G46" s="4">
        <v>116.1</v>
      </c>
      <c r="H46" s="4">
        <v>106.9</v>
      </c>
      <c r="I46" s="4">
        <v>118.7</v>
      </c>
      <c r="J46" s="4">
        <v>116.3</v>
      </c>
      <c r="K46" s="4">
        <v>109.8</v>
      </c>
      <c r="L46" s="4">
        <v>99.6</v>
      </c>
      <c r="M46" s="4">
        <v>111.8</v>
      </c>
      <c r="N46" s="4">
        <v>112.7</v>
      </c>
      <c r="O46" s="4">
        <v>119.3</v>
      </c>
      <c r="P46" s="4">
        <v>116.1</v>
      </c>
      <c r="Q46" s="4">
        <v>115.2</v>
      </c>
      <c r="R46" s="4">
        <v>116.8</v>
      </c>
      <c r="S46" s="4">
        <v>113.7</v>
      </c>
      <c r="T46" s="4">
        <v>116.4</v>
      </c>
      <c r="U46" s="4">
        <v>113.2</v>
      </c>
      <c r="V46" s="4">
        <v>112.5</v>
      </c>
      <c r="W46" s="4">
        <v>113.2</v>
      </c>
      <c r="X46" s="4">
        <v>111.2</v>
      </c>
      <c r="Y46" s="4">
        <v>111.4</v>
      </c>
      <c r="Z46" s="4">
        <v>110.6</v>
      </c>
      <c r="AA46" s="4">
        <v>112</v>
      </c>
      <c r="AB46" s="4">
        <v>109</v>
      </c>
      <c r="AC46" s="4">
        <v>111.3</v>
      </c>
      <c r="AD46" s="4">
        <v>114.2</v>
      </c>
    </row>
    <row r="47" spans="1:30">
      <c r="A47" s="5" t="s">
        <v>30</v>
      </c>
      <c r="B47" s="6">
        <v>2014</v>
      </c>
      <c r="C47" s="6" t="s">
        <v>36</v>
      </c>
      <c r="D47" s="6">
        <v>120.2</v>
      </c>
      <c r="E47" s="6">
        <v>118.9</v>
      </c>
      <c r="F47" s="6">
        <v>118.1</v>
      </c>
      <c r="G47" s="6">
        <v>117</v>
      </c>
      <c r="H47" s="6">
        <v>109.7</v>
      </c>
      <c r="I47" s="6">
        <v>125.5</v>
      </c>
      <c r="J47" s="6">
        <v>120.5</v>
      </c>
      <c r="K47" s="6">
        <v>111</v>
      </c>
      <c r="L47" s="6">
        <v>102.6</v>
      </c>
      <c r="M47" s="6">
        <v>111.2</v>
      </c>
      <c r="N47" s="6">
        <v>113.5</v>
      </c>
      <c r="O47" s="6">
        <v>118.7</v>
      </c>
      <c r="P47" s="6">
        <v>117.2</v>
      </c>
      <c r="Q47" s="6">
        <v>115.4</v>
      </c>
      <c r="R47" s="6">
        <v>118.1</v>
      </c>
      <c r="S47" s="6">
        <v>116.1</v>
      </c>
      <c r="T47" s="6">
        <v>117.8</v>
      </c>
      <c r="U47" s="6">
        <v>113.55</v>
      </c>
      <c r="V47" s="6">
        <v>113.4</v>
      </c>
      <c r="W47" s="6">
        <v>113.7</v>
      </c>
      <c r="X47" s="6">
        <v>111.8</v>
      </c>
      <c r="Y47" s="6">
        <v>111.2</v>
      </c>
      <c r="Z47" s="6">
        <v>110.5</v>
      </c>
      <c r="AA47" s="6">
        <v>113</v>
      </c>
      <c r="AB47" s="6">
        <v>108.9</v>
      </c>
      <c r="AC47" s="6">
        <v>111.5</v>
      </c>
      <c r="AD47" s="6">
        <v>115.4</v>
      </c>
    </row>
    <row r="48" spans="1:30">
      <c r="A48" s="3" t="s">
        <v>32</v>
      </c>
      <c r="B48" s="4">
        <v>2014</v>
      </c>
      <c r="C48" s="4" t="s">
        <v>36</v>
      </c>
      <c r="D48" s="4">
        <v>122.5</v>
      </c>
      <c r="E48" s="4">
        <v>121.7</v>
      </c>
      <c r="F48" s="4">
        <v>113.3</v>
      </c>
      <c r="G48" s="4">
        <v>117</v>
      </c>
      <c r="H48" s="4">
        <v>103.1</v>
      </c>
      <c r="I48" s="4">
        <v>126.7</v>
      </c>
      <c r="J48" s="4">
        <v>121.2</v>
      </c>
      <c r="K48" s="4">
        <v>111</v>
      </c>
      <c r="L48" s="4">
        <v>100.3</v>
      </c>
      <c r="M48" s="4">
        <v>115.3</v>
      </c>
      <c r="N48" s="4">
        <v>112.7</v>
      </c>
      <c r="O48" s="4">
        <v>121</v>
      </c>
      <c r="P48" s="4">
        <v>118.2</v>
      </c>
      <c r="Q48" s="4">
        <v>117.6</v>
      </c>
      <c r="R48" s="4">
        <v>116.3</v>
      </c>
      <c r="S48" s="4">
        <v>112.5</v>
      </c>
      <c r="T48" s="4">
        <v>115.7</v>
      </c>
      <c r="U48" s="4">
        <v>113.9</v>
      </c>
      <c r="V48" s="4">
        <v>110.9</v>
      </c>
      <c r="W48" s="4">
        <v>113.4</v>
      </c>
      <c r="X48" s="4">
        <v>111</v>
      </c>
      <c r="Y48" s="4">
        <v>111.2</v>
      </c>
      <c r="Z48" s="4">
        <v>111.2</v>
      </c>
      <c r="AA48" s="4">
        <v>112.5</v>
      </c>
      <c r="AB48" s="4">
        <v>109.1</v>
      </c>
      <c r="AC48" s="4">
        <v>111.4</v>
      </c>
      <c r="AD48" s="4">
        <v>114.7</v>
      </c>
    </row>
    <row r="49" spans="1:30">
      <c r="A49" s="5" t="s">
        <v>33</v>
      </c>
      <c r="B49" s="6">
        <v>2014</v>
      </c>
      <c r="C49" s="6" t="s">
        <v>36</v>
      </c>
      <c r="D49" s="6">
        <v>120.9</v>
      </c>
      <c r="E49" s="6">
        <v>119.9</v>
      </c>
      <c r="F49" s="6">
        <v>116.2</v>
      </c>
      <c r="G49" s="6">
        <v>117</v>
      </c>
      <c r="H49" s="6">
        <v>107.3</v>
      </c>
      <c r="I49" s="6">
        <v>126.1</v>
      </c>
      <c r="J49" s="6">
        <v>120.7</v>
      </c>
      <c r="K49" s="6">
        <v>111</v>
      </c>
      <c r="L49" s="6">
        <v>101.8</v>
      </c>
      <c r="M49" s="6">
        <v>112.6</v>
      </c>
      <c r="N49" s="6">
        <v>113.2</v>
      </c>
      <c r="O49" s="6">
        <v>119.8</v>
      </c>
      <c r="P49" s="6">
        <v>117.6</v>
      </c>
      <c r="Q49" s="6">
        <v>116</v>
      </c>
      <c r="R49" s="6">
        <v>117.4</v>
      </c>
      <c r="S49" s="6">
        <v>114.6</v>
      </c>
      <c r="T49" s="6">
        <v>117</v>
      </c>
      <c r="U49" s="6">
        <v>113.9</v>
      </c>
      <c r="V49" s="6">
        <v>112.5</v>
      </c>
      <c r="W49" s="6">
        <v>113.6</v>
      </c>
      <c r="X49" s="6">
        <v>111.5</v>
      </c>
      <c r="Y49" s="6">
        <v>111.2</v>
      </c>
      <c r="Z49" s="6">
        <v>110.9</v>
      </c>
      <c r="AA49" s="6">
        <v>112.7</v>
      </c>
      <c r="AB49" s="6">
        <v>109</v>
      </c>
      <c r="AC49" s="6">
        <v>111.5</v>
      </c>
      <c r="AD49" s="6">
        <v>115.1</v>
      </c>
    </row>
    <row r="50" spans="1:30">
      <c r="A50" s="3" t="s">
        <v>30</v>
      </c>
      <c r="B50" s="4">
        <v>2014</v>
      </c>
      <c r="C50" s="4" t="s">
        <v>37</v>
      </c>
      <c r="D50" s="4">
        <v>120.3</v>
      </c>
      <c r="E50" s="4">
        <v>120.2</v>
      </c>
      <c r="F50" s="4">
        <v>116.9</v>
      </c>
      <c r="G50" s="4">
        <v>118</v>
      </c>
      <c r="H50" s="4">
        <v>110.1</v>
      </c>
      <c r="I50" s="4">
        <v>126.3</v>
      </c>
      <c r="J50" s="4">
        <v>123.9</v>
      </c>
      <c r="K50" s="4">
        <v>111.5</v>
      </c>
      <c r="L50" s="4">
        <v>103.5</v>
      </c>
      <c r="M50" s="4">
        <v>111.6</v>
      </c>
      <c r="N50" s="4">
        <v>114.2</v>
      </c>
      <c r="O50" s="4">
        <v>119.2</v>
      </c>
      <c r="P50" s="4">
        <v>118.2</v>
      </c>
      <c r="Q50" s="4">
        <v>116.3</v>
      </c>
      <c r="R50" s="4">
        <v>118.7</v>
      </c>
      <c r="S50" s="4">
        <v>116.8</v>
      </c>
      <c r="T50" s="4">
        <v>118.5</v>
      </c>
      <c r="U50" s="4">
        <v>114.1</v>
      </c>
      <c r="V50" s="4">
        <v>113.4</v>
      </c>
      <c r="W50" s="4">
        <v>114.1</v>
      </c>
      <c r="X50" s="4">
        <v>112.1</v>
      </c>
      <c r="Y50" s="4">
        <v>111.4</v>
      </c>
      <c r="Z50" s="4">
        <v>110.9</v>
      </c>
      <c r="AA50" s="4">
        <v>113.1</v>
      </c>
      <c r="AB50" s="4">
        <v>108.9</v>
      </c>
      <c r="AC50" s="4">
        <v>111.8</v>
      </c>
      <c r="AD50" s="4">
        <v>116</v>
      </c>
    </row>
    <row r="51" spans="1:30">
      <c r="A51" s="5" t="s">
        <v>32</v>
      </c>
      <c r="B51" s="6">
        <v>2014</v>
      </c>
      <c r="C51" s="6" t="s">
        <v>37</v>
      </c>
      <c r="D51" s="6">
        <v>122.7</v>
      </c>
      <c r="E51" s="6">
        <v>124.1</v>
      </c>
      <c r="F51" s="6">
        <v>114.2</v>
      </c>
      <c r="G51" s="6">
        <v>119.1</v>
      </c>
      <c r="H51" s="6">
        <v>103.5</v>
      </c>
      <c r="I51" s="6">
        <v>129.19999999999999</v>
      </c>
      <c r="J51" s="6">
        <v>127</v>
      </c>
      <c r="K51" s="6">
        <v>112.6</v>
      </c>
      <c r="L51" s="6">
        <v>101.3</v>
      </c>
      <c r="M51" s="6">
        <v>117</v>
      </c>
      <c r="N51" s="6">
        <v>112.9</v>
      </c>
      <c r="O51" s="6">
        <v>121.7</v>
      </c>
      <c r="P51" s="6">
        <v>120</v>
      </c>
      <c r="Q51" s="6">
        <v>118.3</v>
      </c>
      <c r="R51" s="6">
        <v>116.8</v>
      </c>
      <c r="S51" s="6">
        <v>112.9</v>
      </c>
      <c r="T51" s="6">
        <v>116.2</v>
      </c>
      <c r="U51" s="6">
        <v>114.3</v>
      </c>
      <c r="V51" s="6">
        <v>111.1</v>
      </c>
      <c r="W51" s="6">
        <v>114.1</v>
      </c>
      <c r="X51" s="6">
        <v>111.2</v>
      </c>
      <c r="Y51" s="6">
        <v>111.3</v>
      </c>
      <c r="Z51" s="6">
        <v>111.5</v>
      </c>
      <c r="AA51" s="6">
        <v>112.9</v>
      </c>
      <c r="AB51" s="6">
        <v>109.3</v>
      </c>
      <c r="AC51" s="6">
        <v>111.7</v>
      </c>
      <c r="AD51" s="6">
        <v>115.6</v>
      </c>
    </row>
    <row r="52" spans="1:30">
      <c r="A52" s="3" t="s">
        <v>33</v>
      </c>
      <c r="B52" s="4">
        <v>2014</v>
      </c>
      <c r="C52" s="4" t="s">
        <v>37</v>
      </c>
      <c r="D52" s="4">
        <v>121.1</v>
      </c>
      <c r="E52" s="4">
        <v>121.6</v>
      </c>
      <c r="F52" s="4">
        <v>115.9</v>
      </c>
      <c r="G52" s="4">
        <v>118.4</v>
      </c>
      <c r="H52" s="4">
        <v>107.7</v>
      </c>
      <c r="I52" s="4">
        <v>127.7</v>
      </c>
      <c r="J52" s="4">
        <v>125</v>
      </c>
      <c r="K52" s="4">
        <v>111.9</v>
      </c>
      <c r="L52" s="4">
        <v>102.8</v>
      </c>
      <c r="M52" s="4">
        <v>113.4</v>
      </c>
      <c r="N52" s="4">
        <v>113.7</v>
      </c>
      <c r="O52" s="4">
        <v>120.4</v>
      </c>
      <c r="P52" s="4">
        <v>118.9</v>
      </c>
      <c r="Q52" s="4">
        <v>116.8</v>
      </c>
      <c r="R52" s="4">
        <v>118</v>
      </c>
      <c r="S52" s="4">
        <v>115.2</v>
      </c>
      <c r="T52" s="4">
        <v>117.6</v>
      </c>
      <c r="U52" s="4">
        <v>114.3</v>
      </c>
      <c r="V52" s="4">
        <v>112.5</v>
      </c>
      <c r="W52" s="4">
        <v>114.1</v>
      </c>
      <c r="X52" s="4">
        <v>111.8</v>
      </c>
      <c r="Y52" s="4">
        <v>111.3</v>
      </c>
      <c r="Z52" s="4">
        <v>111.2</v>
      </c>
      <c r="AA52" s="4">
        <v>113</v>
      </c>
      <c r="AB52" s="4">
        <v>109.1</v>
      </c>
      <c r="AC52" s="4">
        <v>111.8</v>
      </c>
      <c r="AD52" s="4">
        <v>115.8</v>
      </c>
    </row>
    <row r="53" spans="1:30">
      <c r="A53" s="5" t="s">
        <v>30</v>
      </c>
      <c r="B53" s="6">
        <v>2014</v>
      </c>
      <c r="C53" s="6" t="s">
        <v>38</v>
      </c>
      <c r="D53" s="6">
        <v>120.7</v>
      </c>
      <c r="E53" s="6">
        <v>121.6</v>
      </c>
      <c r="F53" s="6">
        <v>116.1</v>
      </c>
      <c r="G53" s="6">
        <v>119.3</v>
      </c>
      <c r="H53" s="6">
        <v>110.3</v>
      </c>
      <c r="I53" s="6">
        <v>125.8</v>
      </c>
      <c r="J53" s="6">
        <v>129.30000000000001</v>
      </c>
      <c r="K53" s="6">
        <v>112.2</v>
      </c>
      <c r="L53" s="6">
        <v>103.6</v>
      </c>
      <c r="M53" s="6">
        <v>112.3</v>
      </c>
      <c r="N53" s="6">
        <v>114.9</v>
      </c>
      <c r="O53" s="6">
        <v>120.1</v>
      </c>
      <c r="P53" s="6">
        <v>119.5</v>
      </c>
      <c r="Q53" s="6">
        <v>117.3</v>
      </c>
      <c r="R53" s="6">
        <v>119.7</v>
      </c>
      <c r="S53" s="6">
        <v>117.3</v>
      </c>
      <c r="T53" s="6">
        <v>119.3</v>
      </c>
      <c r="U53" s="6">
        <v>114.1</v>
      </c>
      <c r="V53" s="6">
        <v>114.4</v>
      </c>
      <c r="W53" s="6">
        <v>114.9</v>
      </c>
      <c r="X53" s="6">
        <v>112.8</v>
      </c>
      <c r="Y53" s="6">
        <v>112.2</v>
      </c>
      <c r="Z53" s="6">
        <v>111.4</v>
      </c>
      <c r="AA53" s="6">
        <v>114.3</v>
      </c>
      <c r="AB53" s="6">
        <v>108</v>
      </c>
      <c r="AC53" s="6">
        <v>112.3</v>
      </c>
      <c r="AD53" s="6">
        <v>117</v>
      </c>
    </row>
    <row r="54" spans="1:30">
      <c r="A54" s="3" t="s">
        <v>32</v>
      </c>
      <c r="B54" s="4">
        <v>2014</v>
      </c>
      <c r="C54" s="4" t="s">
        <v>38</v>
      </c>
      <c r="D54" s="4">
        <v>123.1</v>
      </c>
      <c r="E54" s="4">
        <v>125.9</v>
      </c>
      <c r="F54" s="4">
        <v>115.4</v>
      </c>
      <c r="G54" s="4">
        <v>120.4</v>
      </c>
      <c r="H54" s="4">
        <v>103.4</v>
      </c>
      <c r="I54" s="4">
        <v>131.19999999999999</v>
      </c>
      <c r="J54" s="4">
        <v>137.5</v>
      </c>
      <c r="K54" s="4">
        <v>112.8</v>
      </c>
      <c r="L54" s="4">
        <v>101.4</v>
      </c>
      <c r="M54" s="4">
        <v>118.3</v>
      </c>
      <c r="N54" s="4">
        <v>113.2</v>
      </c>
      <c r="O54" s="4">
        <v>122.4</v>
      </c>
      <c r="P54" s="4">
        <v>122</v>
      </c>
      <c r="Q54" s="4">
        <v>119</v>
      </c>
      <c r="R54" s="4">
        <v>117.4</v>
      </c>
      <c r="S54" s="4">
        <v>113.2</v>
      </c>
      <c r="T54" s="4">
        <v>116.7</v>
      </c>
      <c r="U54" s="4">
        <v>113.9</v>
      </c>
      <c r="V54" s="4">
        <v>111.2</v>
      </c>
      <c r="W54" s="4">
        <v>114.3</v>
      </c>
      <c r="X54" s="4">
        <v>111.4</v>
      </c>
      <c r="Y54" s="4">
        <v>111.5</v>
      </c>
      <c r="Z54" s="4">
        <v>111.8</v>
      </c>
      <c r="AA54" s="4">
        <v>115.1</v>
      </c>
      <c r="AB54" s="4">
        <v>108.7</v>
      </c>
      <c r="AC54" s="4">
        <v>112.2</v>
      </c>
      <c r="AD54" s="4">
        <v>116.4</v>
      </c>
    </row>
    <row r="55" spans="1:30">
      <c r="A55" s="5" t="s">
        <v>33</v>
      </c>
      <c r="B55" s="6">
        <v>2014</v>
      </c>
      <c r="C55" s="6" t="s">
        <v>38</v>
      </c>
      <c r="D55" s="6">
        <v>121.5</v>
      </c>
      <c r="E55" s="6">
        <v>123.1</v>
      </c>
      <c r="F55" s="6">
        <v>115.8</v>
      </c>
      <c r="G55" s="6">
        <v>119.7</v>
      </c>
      <c r="H55" s="6">
        <v>107.8</v>
      </c>
      <c r="I55" s="6">
        <v>128.30000000000001</v>
      </c>
      <c r="J55" s="6">
        <v>132.1</v>
      </c>
      <c r="K55" s="6">
        <v>112.4</v>
      </c>
      <c r="L55" s="6">
        <v>102.9</v>
      </c>
      <c r="M55" s="6">
        <v>114.3</v>
      </c>
      <c r="N55" s="6">
        <v>114.2</v>
      </c>
      <c r="O55" s="6">
        <v>121.2</v>
      </c>
      <c r="P55" s="6">
        <v>120.4</v>
      </c>
      <c r="Q55" s="6">
        <v>117.8</v>
      </c>
      <c r="R55" s="6">
        <v>118.8</v>
      </c>
      <c r="S55" s="6">
        <v>115.6</v>
      </c>
      <c r="T55" s="6">
        <v>118.3</v>
      </c>
      <c r="U55" s="6">
        <v>113.9</v>
      </c>
      <c r="V55" s="6">
        <v>113.2</v>
      </c>
      <c r="W55" s="6">
        <v>114.6</v>
      </c>
      <c r="X55" s="6">
        <v>112.3</v>
      </c>
      <c r="Y55" s="6">
        <v>111.8</v>
      </c>
      <c r="Z55" s="6">
        <v>111.6</v>
      </c>
      <c r="AA55" s="6">
        <v>114.8</v>
      </c>
      <c r="AB55" s="6">
        <v>108.3</v>
      </c>
      <c r="AC55" s="6">
        <v>112.3</v>
      </c>
      <c r="AD55" s="6">
        <v>116.7</v>
      </c>
    </row>
    <row r="56" spans="1:30">
      <c r="A56" s="3" t="s">
        <v>30</v>
      </c>
      <c r="B56" s="4">
        <v>2014</v>
      </c>
      <c r="C56" s="4" t="s">
        <v>39</v>
      </c>
      <c r="D56" s="4">
        <v>121.7</v>
      </c>
      <c r="E56" s="4">
        <v>122.5</v>
      </c>
      <c r="F56" s="4">
        <v>117.7</v>
      </c>
      <c r="G56" s="4">
        <v>120.6</v>
      </c>
      <c r="H56" s="4">
        <v>110.4</v>
      </c>
      <c r="I56" s="4">
        <v>129.1</v>
      </c>
      <c r="J56" s="4">
        <v>150.1</v>
      </c>
      <c r="K56" s="4">
        <v>113.2</v>
      </c>
      <c r="L56" s="4">
        <v>104.8</v>
      </c>
      <c r="M56" s="4">
        <v>113.3</v>
      </c>
      <c r="N56" s="4">
        <v>115.6</v>
      </c>
      <c r="O56" s="4">
        <v>120.9</v>
      </c>
      <c r="P56" s="4">
        <v>123.3</v>
      </c>
      <c r="Q56" s="4">
        <v>118</v>
      </c>
      <c r="R56" s="4">
        <v>120.7</v>
      </c>
      <c r="S56" s="4">
        <v>118.3</v>
      </c>
      <c r="T56" s="4">
        <v>120.3</v>
      </c>
      <c r="U56" s="4">
        <v>115.15</v>
      </c>
      <c r="V56" s="4">
        <v>115.3</v>
      </c>
      <c r="W56" s="4">
        <v>115.4</v>
      </c>
      <c r="X56" s="4">
        <v>113.4</v>
      </c>
      <c r="Y56" s="4">
        <v>113.2</v>
      </c>
      <c r="Z56" s="4">
        <v>111.8</v>
      </c>
      <c r="AA56" s="4">
        <v>115.5</v>
      </c>
      <c r="AB56" s="4">
        <v>108.8</v>
      </c>
      <c r="AC56" s="4">
        <v>113.1</v>
      </c>
      <c r="AD56" s="4">
        <v>119.5</v>
      </c>
    </row>
    <row r="57" spans="1:30">
      <c r="A57" s="5" t="s">
        <v>32</v>
      </c>
      <c r="B57" s="6">
        <v>2014</v>
      </c>
      <c r="C57" s="6" t="s">
        <v>39</v>
      </c>
      <c r="D57" s="6">
        <v>123.8</v>
      </c>
      <c r="E57" s="6">
        <v>126.4</v>
      </c>
      <c r="F57" s="6">
        <v>118</v>
      </c>
      <c r="G57" s="6">
        <v>121.6</v>
      </c>
      <c r="H57" s="6">
        <v>103.5</v>
      </c>
      <c r="I57" s="6">
        <v>133.69999999999999</v>
      </c>
      <c r="J57" s="6">
        <v>172.4</v>
      </c>
      <c r="K57" s="6">
        <v>113.1</v>
      </c>
      <c r="L57" s="6">
        <v>102.7</v>
      </c>
      <c r="M57" s="6">
        <v>120</v>
      </c>
      <c r="N57" s="6">
        <v>113.8</v>
      </c>
      <c r="O57" s="6">
        <v>123.4</v>
      </c>
      <c r="P57" s="6">
        <v>127.1</v>
      </c>
      <c r="Q57" s="6">
        <v>121</v>
      </c>
      <c r="R57" s="6">
        <v>118</v>
      </c>
      <c r="S57" s="6">
        <v>113.6</v>
      </c>
      <c r="T57" s="6">
        <v>117.4</v>
      </c>
      <c r="U57" s="6">
        <v>114.8</v>
      </c>
      <c r="V57" s="6">
        <v>111.6</v>
      </c>
      <c r="W57" s="6">
        <v>114.9</v>
      </c>
      <c r="X57" s="6">
        <v>111.5</v>
      </c>
      <c r="Y57" s="6">
        <v>113</v>
      </c>
      <c r="Z57" s="6">
        <v>112.4</v>
      </c>
      <c r="AA57" s="6">
        <v>117.8</v>
      </c>
      <c r="AB57" s="6">
        <v>109.7</v>
      </c>
      <c r="AC57" s="6">
        <v>113.5</v>
      </c>
      <c r="AD57" s="6">
        <v>118.9</v>
      </c>
    </row>
    <row r="58" spans="1:30">
      <c r="A58" s="3" t="s">
        <v>33</v>
      </c>
      <c r="B58" s="4">
        <v>2014</v>
      </c>
      <c r="C58" s="4" t="s">
        <v>39</v>
      </c>
      <c r="D58" s="4">
        <v>122.4</v>
      </c>
      <c r="E58" s="4">
        <v>123.9</v>
      </c>
      <c r="F58" s="4">
        <v>117.8</v>
      </c>
      <c r="G58" s="4">
        <v>121</v>
      </c>
      <c r="H58" s="4">
        <v>107.9</v>
      </c>
      <c r="I58" s="4">
        <v>131.19999999999999</v>
      </c>
      <c r="J58" s="4">
        <v>157.69999999999999</v>
      </c>
      <c r="K58" s="4">
        <v>113.2</v>
      </c>
      <c r="L58" s="4">
        <v>104.1</v>
      </c>
      <c r="M58" s="4">
        <v>115.5</v>
      </c>
      <c r="N58" s="4">
        <v>114.8</v>
      </c>
      <c r="O58" s="4">
        <v>122.1</v>
      </c>
      <c r="P58" s="4">
        <v>124.7</v>
      </c>
      <c r="Q58" s="4">
        <v>118.8</v>
      </c>
      <c r="R58" s="4">
        <v>119.6</v>
      </c>
      <c r="S58" s="4">
        <v>116.3</v>
      </c>
      <c r="T58" s="4">
        <v>119.1</v>
      </c>
      <c r="U58" s="4">
        <v>114.8</v>
      </c>
      <c r="V58" s="4">
        <v>113.9</v>
      </c>
      <c r="W58" s="4">
        <v>115.2</v>
      </c>
      <c r="X58" s="4">
        <v>112.7</v>
      </c>
      <c r="Y58" s="4">
        <v>113.1</v>
      </c>
      <c r="Z58" s="4">
        <v>112.1</v>
      </c>
      <c r="AA58" s="4">
        <v>116.8</v>
      </c>
      <c r="AB58" s="4">
        <v>109.2</v>
      </c>
      <c r="AC58" s="4">
        <v>113.3</v>
      </c>
      <c r="AD58" s="4">
        <v>119.2</v>
      </c>
    </row>
    <row r="59" spans="1:30">
      <c r="A59" s="5" t="s">
        <v>30</v>
      </c>
      <c r="B59" s="6">
        <v>2014</v>
      </c>
      <c r="C59" s="6" t="s">
        <v>40</v>
      </c>
      <c r="D59" s="6">
        <v>121.8</v>
      </c>
      <c r="E59" s="6">
        <v>122.8</v>
      </c>
      <c r="F59" s="6">
        <v>117.8</v>
      </c>
      <c r="G59" s="6">
        <v>121.9</v>
      </c>
      <c r="H59" s="6">
        <v>110.6</v>
      </c>
      <c r="I59" s="6">
        <v>129.69999999999999</v>
      </c>
      <c r="J59" s="6">
        <v>161.1</v>
      </c>
      <c r="K59" s="6">
        <v>114.1</v>
      </c>
      <c r="L59" s="6">
        <v>105.1</v>
      </c>
      <c r="M59" s="6">
        <v>114.6</v>
      </c>
      <c r="N59" s="6">
        <v>115.8</v>
      </c>
      <c r="O59" s="6">
        <v>121.7</v>
      </c>
      <c r="P59" s="6">
        <v>125.3</v>
      </c>
      <c r="Q59" s="6">
        <v>118.8</v>
      </c>
      <c r="R59" s="6">
        <v>120.9</v>
      </c>
      <c r="S59" s="6">
        <v>118.8</v>
      </c>
      <c r="T59" s="6">
        <v>120.7</v>
      </c>
      <c r="U59" s="6">
        <v>115.15</v>
      </c>
      <c r="V59" s="6">
        <v>115.4</v>
      </c>
      <c r="W59" s="6">
        <v>115.9</v>
      </c>
      <c r="X59" s="6">
        <v>114</v>
      </c>
      <c r="Y59" s="6">
        <v>113.2</v>
      </c>
      <c r="Z59" s="6">
        <v>112.2</v>
      </c>
      <c r="AA59" s="6">
        <v>116.2</v>
      </c>
      <c r="AB59" s="6">
        <v>109.4</v>
      </c>
      <c r="AC59" s="6">
        <v>113.5</v>
      </c>
      <c r="AD59" s="6">
        <v>120.7</v>
      </c>
    </row>
    <row r="60" spans="1:30">
      <c r="A60" s="3" t="s">
        <v>32</v>
      </c>
      <c r="B60" s="4">
        <v>2014</v>
      </c>
      <c r="C60" s="4" t="s">
        <v>40</v>
      </c>
      <c r="D60" s="4">
        <v>124.8</v>
      </c>
      <c r="E60" s="4">
        <v>127.3</v>
      </c>
      <c r="F60" s="4">
        <v>116.5</v>
      </c>
      <c r="G60" s="4">
        <v>122.2</v>
      </c>
      <c r="H60" s="4">
        <v>103.6</v>
      </c>
      <c r="I60" s="4">
        <v>132.69999999999999</v>
      </c>
      <c r="J60" s="4">
        <v>181.9</v>
      </c>
      <c r="K60" s="4">
        <v>115.2</v>
      </c>
      <c r="L60" s="4">
        <v>102.7</v>
      </c>
      <c r="M60" s="4">
        <v>122.1</v>
      </c>
      <c r="N60" s="4">
        <v>114.4</v>
      </c>
      <c r="O60" s="4">
        <v>124.7</v>
      </c>
      <c r="P60" s="4">
        <v>128.9</v>
      </c>
      <c r="Q60" s="4">
        <v>123</v>
      </c>
      <c r="R60" s="4">
        <v>118.6</v>
      </c>
      <c r="S60" s="4">
        <v>114.1</v>
      </c>
      <c r="T60" s="4">
        <v>117.9</v>
      </c>
      <c r="U60" s="4">
        <v>115.5</v>
      </c>
      <c r="V60" s="4">
        <v>111.8</v>
      </c>
      <c r="W60" s="4">
        <v>115.3</v>
      </c>
      <c r="X60" s="4">
        <v>112.2</v>
      </c>
      <c r="Y60" s="4">
        <v>112.5</v>
      </c>
      <c r="Z60" s="4">
        <v>112.9</v>
      </c>
      <c r="AA60" s="4">
        <v>119.2</v>
      </c>
      <c r="AB60" s="4">
        <v>110.5</v>
      </c>
      <c r="AC60" s="4">
        <v>113.9</v>
      </c>
      <c r="AD60" s="4">
        <v>119.9</v>
      </c>
    </row>
    <row r="61" spans="1:30">
      <c r="A61" s="5" t="s">
        <v>33</v>
      </c>
      <c r="B61" s="6">
        <v>2014</v>
      </c>
      <c r="C61" s="6" t="s">
        <v>40</v>
      </c>
      <c r="D61" s="6">
        <v>122.7</v>
      </c>
      <c r="E61" s="6">
        <v>124.4</v>
      </c>
      <c r="F61" s="6">
        <v>117.3</v>
      </c>
      <c r="G61" s="6">
        <v>122</v>
      </c>
      <c r="H61" s="6">
        <v>108</v>
      </c>
      <c r="I61" s="6">
        <v>131.1</v>
      </c>
      <c r="J61" s="6">
        <v>168.2</v>
      </c>
      <c r="K61" s="6">
        <v>114.5</v>
      </c>
      <c r="L61" s="6">
        <v>104.3</v>
      </c>
      <c r="M61" s="6">
        <v>117.1</v>
      </c>
      <c r="N61" s="6">
        <v>115.2</v>
      </c>
      <c r="O61" s="6">
        <v>123.1</v>
      </c>
      <c r="P61" s="6">
        <v>126.6</v>
      </c>
      <c r="Q61" s="6">
        <v>119.9</v>
      </c>
      <c r="R61" s="6">
        <v>120</v>
      </c>
      <c r="S61" s="6">
        <v>116.8</v>
      </c>
      <c r="T61" s="6">
        <v>119.6</v>
      </c>
      <c r="U61" s="6">
        <v>115.5</v>
      </c>
      <c r="V61" s="6">
        <v>114</v>
      </c>
      <c r="W61" s="6">
        <v>115.6</v>
      </c>
      <c r="X61" s="6">
        <v>113.3</v>
      </c>
      <c r="Y61" s="6">
        <v>112.8</v>
      </c>
      <c r="Z61" s="6">
        <v>112.6</v>
      </c>
      <c r="AA61" s="6">
        <v>118</v>
      </c>
      <c r="AB61" s="6">
        <v>109.9</v>
      </c>
      <c r="AC61" s="6">
        <v>113.7</v>
      </c>
      <c r="AD61" s="6">
        <v>120.3</v>
      </c>
    </row>
    <row r="62" spans="1:30">
      <c r="A62" s="3" t="s">
        <v>30</v>
      </c>
      <c r="B62" s="4">
        <v>2014</v>
      </c>
      <c r="C62" s="4" t="s">
        <v>41</v>
      </c>
      <c r="D62" s="4">
        <v>122.3</v>
      </c>
      <c r="E62" s="4">
        <v>122.4</v>
      </c>
      <c r="F62" s="4">
        <v>117.8</v>
      </c>
      <c r="G62" s="4">
        <v>122.7</v>
      </c>
      <c r="H62" s="4">
        <v>110.4</v>
      </c>
      <c r="I62" s="4">
        <v>129.80000000000001</v>
      </c>
      <c r="J62" s="4">
        <v>158.80000000000001</v>
      </c>
      <c r="K62" s="4">
        <v>115</v>
      </c>
      <c r="L62" s="4">
        <v>104.7</v>
      </c>
      <c r="M62" s="4">
        <v>114.9</v>
      </c>
      <c r="N62" s="4">
        <v>116.5</v>
      </c>
      <c r="O62" s="4">
        <v>122.6</v>
      </c>
      <c r="P62" s="4">
        <v>125.3</v>
      </c>
      <c r="Q62" s="4">
        <v>119.5</v>
      </c>
      <c r="R62" s="4">
        <v>121.7</v>
      </c>
      <c r="S62" s="4">
        <v>119.2</v>
      </c>
      <c r="T62" s="4">
        <v>121.3</v>
      </c>
      <c r="U62" s="4">
        <v>116.4</v>
      </c>
      <c r="V62" s="4">
        <v>115.8</v>
      </c>
      <c r="W62" s="4">
        <v>116.7</v>
      </c>
      <c r="X62" s="4">
        <v>114.5</v>
      </c>
      <c r="Y62" s="4">
        <v>112.8</v>
      </c>
      <c r="Z62" s="4">
        <v>112.6</v>
      </c>
      <c r="AA62" s="4">
        <v>116.6</v>
      </c>
      <c r="AB62" s="4">
        <v>109.1</v>
      </c>
      <c r="AC62" s="4">
        <v>113.7</v>
      </c>
      <c r="AD62" s="4">
        <v>120.9</v>
      </c>
    </row>
    <row r="63" spans="1:30">
      <c r="A63" s="5" t="s">
        <v>32</v>
      </c>
      <c r="B63" s="6">
        <v>2014</v>
      </c>
      <c r="C63" s="6" t="s">
        <v>41</v>
      </c>
      <c r="D63" s="6">
        <v>124.2</v>
      </c>
      <c r="E63" s="6">
        <v>125.4</v>
      </c>
      <c r="F63" s="6">
        <v>116.4</v>
      </c>
      <c r="G63" s="6">
        <v>122.7</v>
      </c>
      <c r="H63" s="6">
        <v>103.5</v>
      </c>
      <c r="I63" s="6">
        <v>124.5</v>
      </c>
      <c r="J63" s="6">
        <v>168.6</v>
      </c>
      <c r="K63" s="6">
        <v>116.9</v>
      </c>
      <c r="L63" s="6">
        <v>101.9</v>
      </c>
      <c r="M63" s="6">
        <v>122.9</v>
      </c>
      <c r="N63" s="6">
        <v>114.8</v>
      </c>
      <c r="O63" s="6">
        <v>125.2</v>
      </c>
      <c r="P63" s="6">
        <v>126.7</v>
      </c>
      <c r="Q63" s="6">
        <v>124.3</v>
      </c>
      <c r="R63" s="6">
        <v>119.2</v>
      </c>
      <c r="S63" s="6">
        <v>114.5</v>
      </c>
      <c r="T63" s="6">
        <v>118.4</v>
      </c>
      <c r="U63" s="6">
        <v>116.1</v>
      </c>
      <c r="V63" s="6">
        <v>111.8</v>
      </c>
      <c r="W63" s="6">
        <v>115.5</v>
      </c>
      <c r="X63" s="6">
        <v>112.3</v>
      </c>
      <c r="Y63" s="6">
        <v>111.2</v>
      </c>
      <c r="Z63" s="6">
        <v>113.4</v>
      </c>
      <c r="AA63" s="6">
        <v>120</v>
      </c>
      <c r="AB63" s="6">
        <v>110</v>
      </c>
      <c r="AC63" s="6">
        <v>113.6</v>
      </c>
      <c r="AD63" s="6">
        <v>119.2</v>
      </c>
    </row>
    <row r="64" spans="1:30">
      <c r="A64" s="3" t="s">
        <v>33</v>
      </c>
      <c r="B64" s="4">
        <v>2014</v>
      </c>
      <c r="C64" s="4" t="s">
        <v>41</v>
      </c>
      <c r="D64" s="4">
        <v>122.9</v>
      </c>
      <c r="E64" s="4">
        <v>123.5</v>
      </c>
      <c r="F64" s="4">
        <v>117.3</v>
      </c>
      <c r="G64" s="4">
        <v>122.7</v>
      </c>
      <c r="H64" s="4">
        <v>107.9</v>
      </c>
      <c r="I64" s="4">
        <v>127.3</v>
      </c>
      <c r="J64" s="4">
        <v>162.1</v>
      </c>
      <c r="K64" s="4">
        <v>115.6</v>
      </c>
      <c r="L64" s="4">
        <v>103.8</v>
      </c>
      <c r="M64" s="4">
        <v>117.6</v>
      </c>
      <c r="N64" s="4">
        <v>115.8</v>
      </c>
      <c r="O64" s="4">
        <v>123.8</v>
      </c>
      <c r="P64" s="4">
        <v>125.8</v>
      </c>
      <c r="Q64" s="4">
        <v>120.8</v>
      </c>
      <c r="R64" s="4">
        <v>120.7</v>
      </c>
      <c r="S64" s="4">
        <v>117.2</v>
      </c>
      <c r="T64" s="4">
        <v>120.1</v>
      </c>
      <c r="U64" s="4">
        <v>116.1</v>
      </c>
      <c r="V64" s="4">
        <v>114.3</v>
      </c>
      <c r="W64" s="4">
        <v>116.1</v>
      </c>
      <c r="X64" s="4">
        <v>113.7</v>
      </c>
      <c r="Y64" s="4">
        <v>112</v>
      </c>
      <c r="Z64" s="4">
        <v>113.1</v>
      </c>
      <c r="AA64" s="4">
        <v>118.6</v>
      </c>
      <c r="AB64" s="4">
        <v>109.5</v>
      </c>
      <c r="AC64" s="4">
        <v>113.7</v>
      </c>
      <c r="AD64" s="4">
        <v>120.1</v>
      </c>
    </row>
    <row r="65" spans="1:30">
      <c r="A65" s="5" t="s">
        <v>30</v>
      </c>
      <c r="B65" s="6">
        <v>2014</v>
      </c>
      <c r="C65" s="6" t="s">
        <v>42</v>
      </c>
      <c r="D65" s="6">
        <v>122.6</v>
      </c>
      <c r="E65" s="6">
        <v>122.5</v>
      </c>
      <c r="F65" s="6">
        <v>118.3</v>
      </c>
      <c r="G65" s="6">
        <v>123.2</v>
      </c>
      <c r="H65" s="6">
        <v>110.5</v>
      </c>
      <c r="I65" s="6">
        <v>128.9</v>
      </c>
      <c r="J65" s="6">
        <v>155.30000000000001</v>
      </c>
      <c r="K65" s="6">
        <v>115.5</v>
      </c>
      <c r="L65" s="6">
        <v>104</v>
      </c>
      <c r="M65" s="6">
        <v>115.3</v>
      </c>
      <c r="N65" s="6">
        <v>116.8</v>
      </c>
      <c r="O65" s="6">
        <v>123.2</v>
      </c>
      <c r="P65" s="6">
        <v>125.1</v>
      </c>
      <c r="Q65" s="6">
        <v>120</v>
      </c>
      <c r="R65" s="6">
        <v>122.7</v>
      </c>
      <c r="S65" s="6">
        <v>120.3</v>
      </c>
      <c r="T65" s="6">
        <v>122.3</v>
      </c>
      <c r="U65" s="6">
        <v>116.4</v>
      </c>
      <c r="V65" s="6">
        <v>116.4</v>
      </c>
      <c r="W65" s="6">
        <v>117.5</v>
      </c>
      <c r="X65" s="6">
        <v>115.3</v>
      </c>
      <c r="Y65" s="6">
        <v>112.6</v>
      </c>
      <c r="Z65" s="6">
        <v>113</v>
      </c>
      <c r="AA65" s="6">
        <v>116.9</v>
      </c>
      <c r="AB65" s="6">
        <v>109.3</v>
      </c>
      <c r="AC65" s="6">
        <v>114</v>
      </c>
      <c r="AD65" s="6">
        <v>121</v>
      </c>
    </row>
    <row r="66" spans="1:30">
      <c r="A66" s="3" t="s">
        <v>32</v>
      </c>
      <c r="B66" s="4">
        <v>2014</v>
      </c>
      <c r="C66" s="4" t="s">
        <v>42</v>
      </c>
      <c r="D66" s="4">
        <v>124.6</v>
      </c>
      <c r="E66" s="4">
        <v>126.1</v>
      </c>
      <c r="F66" s="4">
        <v>117.8</v>
      </c>
      <c r="G66" s="4">
        <v>123.1</v>
      </c>
      <c r="H66" s="4">
        <v>103.5</v>
      </c>
      <c r="I66" s="4">
        <v>123.5</v>
      </c>
      <c r="J66" s="4">
        <v>159.6</v>
      </c>
      <c r="K66" s="4">
        <v>117.4</v>
      </c>
      <c r="L66" s="4">
        <v>101.2</v>
      </c>
      <c r="M66" s="4">
        <v>123.8</v>
      </c>
      <c r="N66" s="4">
        <v>115.2</v>
      </c>
      <c r="O66" s="4">
        <v>125.9</v>
      </c>
      <c r="P66" s="4">
        <v>125.8</v>
      </c>
      <c r="Q66" s="4">
        <v>124.3</v>
      </c>
      <c r="R66" s="4">
        <v>119.6</v>
      </c>
      <c r="S66" s="4">
        <v>114.9</v>
      </c>
      <c r="T66" s="4">
        <v>118.9</v>
      </c>
      <c r="U66" s="4">
        <v>116.7</v>
      </c>
      <c r="V66" s="4">
        <v>112</v>
      </c>
      <c r="W66" s="4">
        <v>115.8</v>
      </c>
      <c r="X66" s="4">
        <v>112.6</v>
      </c>
      <c r="Y66" s="4">
        <v>111</v>
      </c>
      <c r="Z66" s="4">
        <v>113.6</v>
      </c>
      <c r="AA66" s="4">
        <v>120.2</v>
      </c>
      <c r="AB66" s="4">
        <v>110.1</v>
      </c>
      <c r="AC66" s="4">
        <v>113.7</v>
      </c>
      <c r="AD66" s="4">
        <v>119.1</v>
      </c>
    </row>
    <row r="67" spans="1:30">
      <c r="A67" s="5" t="s">
        <v>33</v>
      </c>
      <c r="B67" s="6">
        <v>2014</v>
      </c>
      <c r="C67" s="6" t="s">
        <v>42</v>
      </c>
      <c r="D67" s="6">
        <v>123.2</v>
      </c>
      <c r="E67" s="6">
        <v>123.8</v>
      </c>
      <c r="F67" s="6">
        <v>118.1</v>
      </c>
      <c r="G67" s="6">
        <v>123.2</v>
      </c>
      <c r="H67" s="6">
        <v>107.9</v>
      </c>
      <c r="I67" s="6">
        <v>126.4</v>
      </c>
      <c r="J67" s="6">
        <v>156.80000000000001</v>
      </c>
      <c r="K67" s="6">
        <v>116.1</v>
      </c>
      <c r="L67" s="6">
        <v>103.1</v>
      </c>
      <c r="M67" s="6">
        <v>118.1</v>
      </c>
      <c r="N67" s="6">
        <v>116.1</v>
      </c>
      <c r="O67" s="6">
        <v>124.5</v>
      </c>
      <c r="P67" s="6">
        <v>125.4</v>
      </c>
      <c r="Q67" s="6">
        <v>121.1</v>
      </c>
      <c r="R67" s="6">
        <v>121.5</v>
      </c>
      <c r="S67" s="6">
        <v>118.1</v>
      </c>
      <c r="T67" s="6">
        <v>121</v>
      </c>
      <c r="U67" s="6">
        <v>116.7</v>
      </c>
      <c r="V67" s="6">
        <v>114.7</v>
      </c>
      <c r="W67" s="6">
        <v>116.7</v>
      </c>
      <c r="X67" s="6">
        <v>114.3</v>
      </c>
      <c r="Y67" s="6">
        <v>111.8</v>
      </c>
      <c r="Z67" s="6">
        <v>113.3</v>
      </c>
      <c r="AA67" s="6">
        <v>118.8</v>
      </c>
      <c r="AB67" s="6">
        <v>109.6</v>
      </c>
      <c r="AC67" s="6">
        <v>113.9</v>
      </c>
      <c r="AD67" s="6">
        <v>120.1</v>
      </c>
    </row>
    <row r="68" spans="1:30">
      <c r="A68" s="3" t="s">
        <v>30</v>
      </c>
      <c r="B68" s="4">
        <v>2014</v>
      </c>
      <c r="C68" s="4" t="s">
        <v>43</v>
      </c>
      <c r="D68" s="4">
        <v>122.7</v>
      </c>
      <c r="E68" s="4">
        <v>122.6</v>
      </c>
      <c r="F68" s="4">
        <v>119.9</v>
      </c>
      <c r="G68" s="4">
        <v>124</v>
      </c>
      <c r="H68" s="4">
        <v>110.5</v>
      </c>
      <c r="I68" s="4">
        <v>128.80000000000001</v>
      </c>
      <c r="J68" s="4">
        <v>152</v>
      </c>
      <c r="K68" s="4">
        <v>116.2</v>
      </c>
      <c r="L68" s="4">
        <v>103.3</v>
      </c>
      <c r="M68" s="4">
        <v>115.8</v>
      </c>
      <c r="N68" s="4">
        <v>116.8</v>
      </c>
      <c r="O68" s="4">
        <v>124.5</v>
      </c>
      <c r="P68" s="4">
        <v>124.9</v>
      </c>
      <c r="Q68" s="4">
        <v>120.8</v>
      </c>
      <c r="R68" s="4">
        <v>123.3</v>
      </c>
      <c r="S68" s="4">
        <v>120.5</v>
      </c>
      <c r="T68" s="4">
        <v>122.9</v>
      </c>
      <c r="U68" s="4">
        <v>116.8</v>
      </c>
      <c r="V68" s="4">
        <v>117.3</v>
      </c>
      <c r="W68" s="4">
        <v>118.1</v>
      </c>
      <c r="X68" s="4">
        <v>115.9</v>
      </c>
      <c r="Y68" s="4">
        <v>112</v>
      </c>
      <c r="Z68" s="4">
        <v>113.3</v>
      </c>
      <c r="AA68" s="4">
        <v>117.2</v>
      </c>
      <c r="AB68" s="4">
        <v>108.8</v>
      </c>
      <c r="AC68" s="4">
        <v>114.1</v>
      </c>
      <c r="AD68" s="4">
        <v>121.1</v>
      </c>
    </row>
    <row r="69" spans="1:30">
      <c r="A69" s="5" t="s">
        <v>32</v>
      </c>
      <c r="B69" s="6">
        <v>2014</v>
      </c>
      <c r="C69" s="6" t="s">
        <v>43</v>
      </c>
      <c r="D69" s="6">
        <v>124.5</v>
      </c>
      <c r="E69" s="6">
        <v>125.6</v>
      </c>
      <c r="F69" s="6">
        <v>122.7</v>
      </c>
      <c r="G69" s="6">
        <v>124.6</v>
      </c>
      <c r="H69" s="6">
        <v>103.2</v>
      </c>
      <c r="I69" s="6">
        <v>122.2</v>
      </c>
      <c r="J69" s="6">
        <v>153.19999999999999</v>
      </c>
      <c r="K69" s="6">
        <v>119.3</v>
      </c>
      <c r="L69" s="6">
        <v>99.8</v>
      </c>
      <c r="M69" s="6">
        <v>124.6</v>
      </c>
      <c r="N69" s="6">
        <v>115.8</v>
      </c>
      <c r="O69" s="6">
        <v>126.9</v>
      </c>
      <c r="P69" s="6">
        <v>125.4</v>
      </c>
      <c r="Q69" s="6">
        <v>125.8</v>
      </c>
      <c r="R69" s="6">
        <v>120.3</v>
      </c>
      <c r="S69" s="6">
        <v>115.4</v>
      </c>
      <c r="T69" s="6">
        <v>119.5</v>
      </c>
      <c r="U69" s="6">
        <v>117.1</v>
      </c>
      <c r="V69" s="6">
        <v>112.6</v>
      </c>
      <c r="W69" s="6">
        <v>116.4</v>
      </c>
      <c r="X69" s="6">
        <v>113</v>
      </c>
      <c r="Y69" s="6">
        <v>109.7</v>
      </c>
      <c r="Z69" s="6">
        <v>114</v>
      </c>
      <c r="AA69" s="6">
        <v>120.3</v>
      </c>
      <c r="AB69" s="6">
        <v>109.6</v>
      </c>
      <c r="AC69" s="6">
        <v>113.4</v>
      </c>
      <c r="AD69" s="6">
        <v>119</v>
      </c>
    </row>
    <row r="70" spans="1:30">
      <c r="A70" s="3" t="s">
        <v>33</v>
      </c>
      <c r="B70" s="4">
        <v>2014</v>
      </c>
      <c r="C70" s="4" t="s">
        <v>43</v>
      </c>
      <c r="D70" s="4">
        <v>123.3</v>
      </c>
      <c r="E70" s="4">
        <v>123.7</v>
      </c>
      <c r="F70" s="4">
        <v>121</v>
      </c>
      <c r="G70" s="4">
        <v>124.2</v>
      </c>
      <c r="H70" s="4">
        <v>107.8</v>
      </c>
      <c r="I70" s="4">
        <v>125.7</v>
      </c>
      <c r="J70" s="4">
        <v>152.4</v>
      </c>
      <c r="K70" s="4">
        <v>117.2</v>
      </c>
      <c r="L70" s="4">
        <v>102.1</v>
      </c>
      <c r="M70" s="4">
        <v>118.7</v>
      </c>
      <c r="N70" s="4">
        <v>116.4</v>
      </c>
      <c r="O70" s="4">
        <v>125.6</v>
      </c>
      <c r="P70" s="4">
        <v>125.1</v>
      </c>
      <c r="Q70" s="4">
        <v>122.1</v>
      </c>
      <c r="R70" s="4">
        <v>122.1</v>
      </c>
      <c r="S70" s="4">
        <v>118.4</v>
      </c>
      <c r="T70" s="4">
        <v>121.6</v>
      </c>
      <c r="U70" s="4">
        <v>117.1</v>
      </c>
      <c r="V70" s="4">
        <v>115.5</v>
      </c>
      <c r="W70" s="4">
        <v>117.3</v>
      </c>
      <c r="X70" s="4">
        <v>114.8</v>
      </c>
      <c r="Y70" s="4">
        <v>110.8</v>
      </c>
      <c r="Z70" s="4">
        <v>113.7</v>
      </c>
      <c r="AA70" s="4">
        <v>119</v>
      </c>
      <c r="AB70" s="4">
        <v>109.1</v>
      </c>
      <c r="AC70" s="4">
        <v>113.8</v>
      </c>
      <c r="AD70" s="4">
        <v>120.1</v>
      </c>
    </row>
    <row r="71" spans="1:30">
      <c r="A71" s="5" t="s">
        <v>30</v>
      </c>
      <c r="B71" s="6">
        <v>2014</v>
      </c>
      <c r="C71" s="6" t="s">
        <v>44</v>
      </c>
      <c r="D71" s="6">
        <v>122.4</v>
      </c>
      <c r="E71" s="6">
        <v>122.4</v>
      </c>
      <c r="F71" s="6">
        <v>121.8</v>
      </c>
      <c r="G71" s="6">
        <v>124.2</v>
      </c>
      <c r="H71" s="6">
        <v>110.2</v>
      </c>
      <c r="I71" s="6">
        <v>128.6</v>
      </c>
      <c r="J71" s="6">
        <v>140.30000000000001</v>
      </c>
      <c r="K71" s="6">
        <v>116.3</v>
      </c>
      <c r="L71" s="6">
        <v>102</v>
      </c>
      <c r="M71" s="6">
        <v>116</v>
      </c>
      <c r="N71" s="6">
        <v>117.3</v>
      </c>
      <c r="O71" s="6">
        <v>124.8</v>
      </c>
      <c r="P71" s="6">
        <v>123.3</v>
      </c>
      <c r="Q71" s="6">
        <v>121.7</v>
      </c>
      <c r="R71" s="6">
        <v>123.8</v>
      </c>
      <c r="S71" s="6">
        <v>120.6</v>
      </c>
      <c r="T71" s="6">
        <v>123.3</v>
      </c>
      <c r="U71" s="6">
        <v>116.8</v>
      </c>
      <c r="V71" s="6">
        <v>117.4</v>
      </c>
      <c r="W71" s="6">
        <v>118.2</v>
      </c>
      <c r="X71" s="6">
        <v>116.2</v>
      </c>
      <c r="Y71" s="6">
        <v>111.5</v>
      </c>
      <c r="Z71" s="6">
        <v>113.3</v>
      </c>
      <c r="AA71" s="6">
        <v>117.7</v>
      </c>
      <c r="AB71" s="6">
        <v>109.4</v>
      </c>
      <c r="AC71" s="6">
        <v>114.2</v>
      </c>
      <c r="AD71" s="6">
        <v>120.3</v>
      </c>
    </row>
    <row r="72" spans="1:30">
      <c r="A72" s="3" t="s">
        <v>32</v>
      </c>
      <c r="B72" s="4">
        <v>2014</v>
      </c>
      <c r="C72" s="4" t="s">
        <v>44</v>
      </c>
      <c r="D72" s="4">
        <v>124</v>
      </c>
      <c r="E72" s="4">
        <v>124.7</v>
      </c>
      <c r="F72" s="4">
        <v>126.3</v>
      </c>
      <c r="G72" s="4">
        <v>124.9</v>
      </c>
      <c r="H72" s="4">
        <v>103</v>
      </c>
      <c r="I72" s="4">
        <v>122.3</v>
      </c>
      <c r="J72" s="4">
        <v>141</v>
      </c>
      <c r="K72" s="4">
        <v>120.1</v>
      </c>
      <c r="L72" s="4">
        <v>97.8</v>
      </c>
      <c r="M72" s="4">
        <v>125.4</v>
      </c>
      <c r="N72" s="4">
        <v>116.1</v>
      </c>
      <c r="O72" s="4">
        <v>127.6</v>
      </c>
      <c r="P72" s="4">
        <v>124</v>
      </c>
      <c r="Q72" s="4">
        <v>126.4</v>
      </c>
      <c r="R72" s="4">
        <v>120.7</v>
      </c>
      <c r="S72" s="4">
        <v>115.8</v>
      </c>
      <c r="T72" s="4">
        <v>120</v>
      </c>
      <c r="U72" s="4">
        <v>116.5</v>
      </c>
      <c r="V72" s="4">
        <v>113</v>
      </c>
      <c r="W72" s="4">
        <v>116.8</v>
      </c>
      <c r="X72" s="4">
        <v>113.2</v>
      </c>
      <c r="Y72" s="4">
        <v>108.8</v>
      </c>
      <c r="Z72" s="4">
        <v>114.3</v>
      </c>
      <c r="AA72" s="4">
        <v>120.7</v>
      </c>
      <c r="AB72" s="4">
        <v>110.4</v>
      </c>
      <c r="AC72" s="4">
        <v>113.4</v>
      </c>
      <c r="AD72" s="4">
        <v>118.4</v>
      </c>
    </row>
    <row r="73" spans="1:30">
      <c r="A73" s="5" t="s">
        <v>33</v>
      </c>
      <c r="B73" s="6">
        <v>2014</v>
      </c>
      <c r="C73" s="6" t="s">
        <v>44</v>
      </c>
      <c r="D73" s="6">
        <v>122.9</v>
      </c>
      <c r="E73" s="6">
        <v>123.2</v>
      </c>
      <c r="F73" s="6">
        <v>123.5</v>
      </c>
      <c r="G73" s="6">
        <v>124.5</v>
      </c>
      <c r="H73" s="6">
        <v>107.6</v>
      </c>
      <c r="I73" s="6">
        <v>125.7</v>
      </c>
      <c r="J73" s="6">
        <v>140.5</v>
      </c>
      <c r="K73" s="6">
        <v>117.6</v>
      </c>
      <c r="L73" s="6">
        <v>100.6</v>
      </c>
      <c r="M73" s="6">
        <v>119.1</v>
      </c>
      <c r="N73" s="6">
        <v>116.8</v>
      </c>
      <c r="O73" s="6">
        <v>126.1</v>
      </c>
      <c r="P73" s="6">
        <v>123.6</v>
      </c>
      <c r="Q73" s="6">
        <v>123</v>
      </c>
      <c r="R73" s="6">
        <v>122.6</v>
      </c>
      <c r="S73" s="6">
        <v>118.6</v>
      </c>
      <c r="T73" s="6">
        <v>122</v>
      </c>
      <c r="U73" s="6">
        <v>116.5</v>
      </c>
      <c r="V73" s="6">
        <v>115.7</v>
      </c>
      <c r="W73" s="6">
        <v>117.5</v>
      </c>
      <c r="X73" s="6">
        <v>115.1</v>
      </c>
      <c r="Y73" s="6">
        <v>110.1</v>
      </c>
      <c r="Z73" s="6">
        <v>113.9</v>
      </c>
      <c r="AA73" s="6">
        <v>119.5</v>
      </c>
      <c r="AB73" s="6">
        <v>109.8</v>
      </c>
      <c r="AC73" s="6">
        <v>113.8</v>
      </c>
      <c r="AD73" s="6">
        <v>119.4</v>
      </c>
    </row>
    <row r="74" spans="1:30">
      <c r="A74" s="3" t="s">
        <v>30</v>
      </c>
      <c r="B74" s="4">
        <v>2015</v>
      </c>
      <c r="C74" s="4" t="s">
        <v>31</v>
      </c>
      <c r="D74" s="4">
        <v>123.1</v>
      </c>
      <c r="E74" s="4">
        <v>123.1</v>
      </c>
      <c r="F74" s="4">
        <v>122.1</v>
      </c>
      <c r="G74" s="4">
        <v>124.9</v>
      </c>
      <c r="H74" s="4">
        <v>111</v>
      </c>
      <c r="I74" s="4">
        <v>130.4</v>
      </c>
      <c r="J74" s="4">
        <v>132.30000000000001</v>
      </c>
      <c r="K74" s="4">
        <v>117.2</v>
      </c>
      <c r="L74" s="4">
        <v>100.5</v>
      </c>
      <c r="M74" s="4">
        <v>117.2</v>
      </c>
      <c r="N74" s="4">
        <v>117.9</v>
      </c>
      <c r="O74" s="4">
        <v>125.6</v>
      </c>
      <c r="P74" s="4">
        <v>122.8</v>
      </c>
      <c r="Q74" s="4">
        <v>122.7</v>
      </c>
      <c r="R74" s="4">
        <v>124.4</v>
      </c>
      <c r="S74" s="4">
        <v>121.6</v>
      </c>
      <c r="T74" s="4">
        <v>124</v>
      </c>
      <c r="U74" s="4">
        <v>117.7</v>
      </c>
      <c r="V74" s="4">
        <v>118.4</v>
      </c>
      <c r="W74" s="4">
        <v>118.9</v>
      </c>
      <c r="X74" s="4">
        <v>116.6</v>
      </c>
      <c r="Y74" s="4">
        <v>111</v>
      </c>
      <c r="Z74" s="4">
        <v>114</v>
      </c>
      <c r="AA74" s="4">
        <v>118.2</v>
      </c>
      <c r="AB74" s="4">
        <v>110.2</v>
      </c>
      <c r="AC74" s="4">
        <v>114.5</v>
      </c>
      <c r="AD74" s="4">
        <v>120.3</v>
      </c>
    </row>
    <row r="75" spans="1:30">
      <c r="A75" s="5" t="s">
        <v>32</v>
      </c>
      <c r="B75" s="6">
        <v>2015</v>
      </c>
      <c r="C75" s="6" t="s">
        <v>31</v>
      </c>
      <c r="D75" s="6">
        <v>124</v>
      </c>
      <c r="E75" s="6">
        <v>125.5</v>
      </c>
      <c r="F75" s="6">
        <v>126.6</v>
      </c>
      <c r="G75" s="6">
        <v>125.2</v>
      </c>
      <c r="H75" s="6">
        <v>104.3</v>
      </c>
      <c r="I75" s="6">
        <v>121.3</v>
      </c>
      <c r="J75" s="6">
        <v>134.4</v>
      </c>
      <c r="K75" s="6">
        <v>122.9</v>
      </c>
      <c r="L75" s="6">
        <v>96.1</v>
      </c>
      <c r="M75" s="6">
        <v>126.6</v>
      </c>
      <c r="N75" s="6">
        <v>116.5</v>
      </c>
      <c r="O75" s="6">
        <v>128</v>
      </c>
      <c r="P75" s="6">
        <v>123.5</v>
      </c>
      <c r="Q75" s="6">
        <v>127.4</v>
      </c>
      <c r="R75" s="6">
        <v>121</v>
      </c>
      <c r="S75" s="6">
        <v>116.1</v>
      </c>
      <c r="T75" s="6">
        <v>120.2</v>
      </c>
      <c r="U75" s="6">
        <v>117.3</v>
      </c>
      <c r="V75" s="6">
        <v>113.4</v>
      </c>
      <c r="W75" s="6">
        <v>117.2</v>
      </c>
      <c r="X75" s="6">
        <v>113.7</v>
      </c>
      <c r="Y75" s="6">
        <v>107.9</v>
      </c>
      <c r="Z75" s="6">
        <v>114.6</v>
      </c>
      <c r="AA75" s="6">
        <v>120.8</v>
      </c>
      <c r="AB75" s="6">
        <v>111.4</v>
      </c>
      <c r="AC75" s="6">
        <v>113.4</v>
      </c>
      <c r="AD75" s="6">
        <v>118.5</v>
      </c>
    </row>
    <row r="76" spans="1:30">
      <c r="A76" s="3" t="s">
        <v>33</v>
      </c>
      <c r="B76" s="4">
        <v>2015</v>
      </c>
      <c r="C76" s="4" t="s">
        <v>31</v>
      </c>
      <c r="D76" s="4">
        <v>123.4</v>
      </c>
      <c r="E76" s="4">
        <v>123.9</v>
      </c>
      <c r="F76" s="4">
        <v>123.8</v>
      </c>
      <c r="G76" s="4">
        <v>125</v>
      </c>
      <c r="H76" s="4">
        <v>108.5</v>
      </c>
      <c r="I76" s="4">
        <v>126.2</v>
      </c>
      <c r="J76" s="4">
        <v>133</v>
      </c>
      <c r="K76" s="4">
        <v>119.1</v>
      </c>
      <c r="L76" s="4">
        <v>99</v>
      </c>
      <c r="M76" s="4">
        <v>120.3</v>
      </c>
      <c r="N76" s="4">
        <v>117.3</v>
      </c>
      <c r="O76" s="4">
        <v>126.7</v>
      </c>
      <c r="P76" s="4">
        <v>123.1</v>
      </c>
      <c r="Q76" s="4">
        <v>124</v>
      </c>
      <c r="R76" s="4">
        <v>123.1</v>
      </c>
      <c r="S76" s="4">
        <v>119.3</v>
      </c>
      <c r="T76" s="4">
        <v>122.5</v>
      </c>
      <c r="U76" s="4">
        <v>117.3</v>
      </c>
      <c r="V76" s="4">
        <v>116.5</v>
      </c>
      <c r="W76" s="4">
        <v>118.1</v>
      </c>
      <c r="X76" s="4">
        <v>115.5</v>
      </c>
      <c r="Y76" s="4">
        <v>109.4</v>
      </c>
      <c r="Z76" s="4">
        <v>114.3</v>
      </c>
      <c r="AA76" s="4">
        <v>119.7</v>
      </c>
      <c r="AB76" s="4">
        <v>110.7</v>
      </c>
      <c r="AC76" s="4">
        <v>114</v>
      </c>
      <c r="AD76" s="4">
        <v>119.5</v>
      </c>
    </row>
    <row r="77" spans="1:30">
      <c r="A77" s="5" t="s">
        <v>30</v>
      </c>
      <c r="B77" s="6">
        <v>2015</v>
      </c>
      <c r="C77" s="6" t="s">
        <v>34</v>
      </c>
      <c r="D77" s="6">
        <v>123.4</v>
      </c>
      <c r="E77" s="6">
        <v>124.4</v>
      </c>
      <c r="F77" s="6">
        <v>122.1</v>
      </c>
      <c r="G77" s="6">
        <v>125.8</v>
      </c>
      <c r="H77" s="6">
        <v>111.5</v>
      </c>
      <c r="I77" s="6">
        <v>129.4</v>
      </c>
      <c r="J77" s="6">
        <v>128.19999999999999</v>
      </c>
      <c r="K77" s="6">
        <v>118.8</v>
      </c>
      <c r="L77" s="6">
        <v>100</v>
      </c>
      <c r="M77" s="6">
        <v>118.6</v>
      </c>
      <c r="N77" s="6">
        <v>118.8</v>
      </c>
      <c r="O77" s="6">
        <v>126.8</v>
      </c>
      <c r="P77" s="6">
        <v>122.8</v>
      </c>
      <c r="Q77" s="6">
        <v>124.2</v>
      </c>
      <c r="R77" s="6">
        <v>125.4</v>
      </c>
      <c r="S77" s="6">
        <v>122.7</v>
      </c>
      <c r="T77" s="6">
        <v>125</v>
      </c>
      <c r="U77" s="6">
        <v>117.7</v>
      </c>
      <c r="V77" s="6">
        <v>120</v>
      </c>
      <c r="W77" s="6">
        <v>119.6</v>
      </c>
      <c r="X77" s="6">
        <v>117.7</v>
      </c>
      <c r="Y77" s="6">
        <v>110.9</v>
      </c>
      <c r="Z77" s="6">
        <v>114.8</v>
      </c>
      <c r="AA77" s="6">
        <v>118.7</v>
      </c>
      <c r="AB77" s="6">
        <v>110.8</v>
      </c>
      <c r="AC77" s="6">
        <v>115</v>
      </c>
      <c r="AD77" s="6">
        <v>120.6</v>
      </c>
    </row>
    <row r="78" spans="1:30">
      <c r="A78" s="3" t="s">
        <v>32</v>
      </c>
      <c r="B78" s="4">
        <v>2015</v>
      </c>
      <c r="C78" s="4" t="s">
        <v>34</v>
      </c>
      <c r="D78" s="4">
        <v>124.3</v>
      </c>
      <c r="E78" s="4">
        <v>126.5</v>
      </c>
      <c r="F78" s="4">
        <v>119.5</v>
      </c>
      <c r="G78" s="4">
        <v>125.6</v>
      </c>
      <c r="H78" s="4">
        <v>104.9</v>
      </c>
      <c r="I78" s="4">
        <v>121.6</v>
      </c>
      <c r="J78" s="4">
        <v>131.80000000000001</v>
      </c>
      <c r="K78" s="4">
        <v>125.1</v>
      </c>
      <c r="L78" s="4">
        <v>95</v>
      </c>
      <c r="M78" s="4">
        <v>127.7</v>
      </c>
      <c r="N78" s="4">
        <v>116.8</v>
      </c>
      <c r="O78" s="4">
        <v>128.6</v>
      </c>
      <c r="P78" s="4">
        <v>123.7</v>
      </c>
      <c r="Q78" s="4">
        <v>128.1</v>
      </c>
      <c r="R78" s="4">
        <v>121.3</v>
      </c>
      <c r="S78" s="4">
        <v>116.5</v>
      </c>
      <c r="T78" s="4">
        <v>120.6</v>
      </c>
      <c r="U78" s="4">
        <v>118.1</v>
      </c>
      <c r="V78" s="4">
        <v>114</v>
      </c>
      <c r="W78" s="4">
        <v>117.7</v>
      </c>
      <c r="X78" s="4">
        <v>114.1</v>
      </c>
      <c r="Y78" s="4">
        <v>106.8</v>
      </c>
      <c r="Z78" s="4">
        <v>114.9</v>
      </c>
      <c r="AA78" s="4">
        <v>120.4</v>
      </c>
      <c r="AB78" s="4">
        <v>111.7</v>
      </c>
      <c r="AC78" s="4">
        <v>113.2</v>
      </c>
      <c r="AD78" s="4">
        <v>118.7</v>
      </c>
    </row>
    <row r="79" spans="1:30">
      <c r="A79" s="5" t="s">
        <v>33</v>
      </c>
      <c r="B79" s="6">
        <v>2015</v>
      </c>
      <c r="C79" s="6" t="s">
        <v>34</v>
      </c>
      <c r="D79" s="6">
        <v>123.7</v>
      </c>
      <c r="E79" s="6">
        <v>125.1</v>
      </c>
      <c r="F79" s="6">
        <v>121.1</v>
      </c>
      <c r="G79" s="6">
        <v>125.7</v>
      </c>
      <c r="H79" s="6">
        <v>109.1</v>
      </c>
      <c r="I79" s="6">
        <v>125.8</v>
      </c>
      <c r="J79" s="6">
        <v>129.4</v>
      </c>
      <c r="K79" s="6">
        <v>120.9</v>
      </c>
      <c r="L79" s="6">
        <v>98.3</v>
      </c>
      <c r="M79" s="6">
        <v>121.6</v>
      </c>
      <c r="N79" s="6">
        <v>118</v>
      </c>
      <c r="O79" s="6">
        <v>127.6</v>
      </c>
      <c r="P79" s="6">
        <v>123.1</v>
      </c>
      <c r="Q79" s="6">
        <v>125.2</v>
      </c>
      <c r="R79" s="6">
        <v>123.8</v>
      </c>
      <c r="S79" s="6">
        <v>120.1</v>
      </c>
      <c r="T79" s="6">
        <v>123.3</v>
      </c>
      <c r="U79" s="6">
        <v>118.1</v>
      </c>
      <c r="V79" s="6">
        <v>117.7</v>
      </c>
      <c r="W79" s="6">
        <v>118.7</v>
      </c>
      <c r="X79" s="6">
        <v>116.3</v>
      </c>
      <c r="Y79" s="6">
        <v>108.7</v>
      </c>
      <c r="Z79" s="6">
        <v>114.9</v>
      </c>
      <c r="AA79" s="6">
        <v>119.7</v>
      </c>
      <c r="AB79" s="6">
        <v>111.2</v>
      </c>
      <c r="AC79" s="6">
        <v>114.1</v>
      </c>
      <c r="AD79" s="6">
        <v>119.7</v>
      </c>
    </row>
    <row r="80" spans="1:30">
      <c r="A80" s="3" t="s">
        <v>30</v>
      </c>
      <c r="B80" s="4">
        <v>2015</v>
      </c>
      <c r="C80" s="4" t="s">
        <v>35</v>
      </c>
      <c r="D80" s="4">
        <v>123.3</v>
      </c>
      <c r="E80" s="4">
        <v>124.7</v>
      </c>
      <c r="F80" s="4">
        <v>118.9</v>
      </c>
      <c r="G80" s="4">
        <v>126</v>
      </c>
      <c r="H80" s="4">
        <v>111.8</v>
      </c>
      <c r="I80" s="4">
        <v>130.9</v>
      </c>
      <c r="J80" s="4">
        <v>128</v>
      </c>
      <c r="K80" s="4">
        <v>119.9</v>
      </c>
      <c r="L80" s="4">
        <v>98.9</v>
      </c>
      <c r="M80" s="4">
        <v>119.4</v>
      </c>
      <c r="N80" s="4">
        <v>118.9</v>
      </c>
      <c r="O80" s="4">
        <v>127.7</v>
      </c>
      <c r="P80" s="4">
        <v>123.1</v>
      </c>
      <c r="Q80" s="4">
        <v>124.7</v>
      </c>
      <c r="R80" s="4">
        <v>126</v>
      </c>
      <c r="S80" s="4">
        <v>122.9</v>
      </c>
      <c r="T80" s="4">
        <v>125.5</v>
      </c>
      <c r="U80" s="4">
        <v>118.9</v>
      </c>
      <c r="V80" s="4">
        <v>120.6</v>
      </c>
      <c r="W80" s="4">
        <v>120.2</v>
      </c>
      <c r="X80" s="4">
        <v>118.2</v>
      </c>
      <c r="Y80" s="4">
        <v>111.6</v>
      </c>
      <c r="Z80" s="4">
        <v>115.5</v>
      </c>
      <c r="AA80" s="4">
        <v>119.4</v>
      </c>
      <c r="AB80" s="4">
        <v>110.8</v>
      </c>
      <c r="AC80" s="4">
        <v>115.5</v>
      </c>
      <c r="AD80" s="4">
        <v>121.1</v>
      </c>
    </row>
    <row r="81" spans="1:30">
      <c r="A81" s="5" t="s">
        <v>32</v>
      </c>
      <c r="B81" s="6">
        <v>2015</v>
      </c>
      <c r="C81" s="6" t="s">
        <v>35</v>
      </c>
      <c r="D81" s="6">
        <v>124</v>
      </c>
      <c r="E81" s="6">
        <v>126.7</v>
      </c>
      <c r="F81" s="6">
        <v>113.5</v>
      </c>
      <c r="G81" s="6">
        <v>125.9</v>
      </c>
      <c r="H81" s="6">
        <v>104.8</v>
      </c>
      <c r="I81" s="6">
        <v>123.8</v>
      </c>
      <c r="J81" s="6">
        <v>131.4</v>
      </c>
      <c r="K81" s="6">
        <v>127.2</v>
      </c>
      <c r="L81" s="6">
        <v>93.2</v>
      </c>
      <c r="M81" s="6">
        <v>127.4</v>
      </c>
      <c r="N81" s="6">
        <v>117</v>
      </c>
      <c r="O81" s="6">
        <v>129.19999999999999</v>
      </c>
      <c r="P81" s="6">
        <v>123.9</v>
      </c>
      <c r="Q81" s="6">
        <v>128.80000000000001</v>
      </c>
      <c r="R81" s="6">
        <v>121.7</v>
      </c>
      <c r="S81" s="6">
        <v>116.9</v>
      </c>
      <c r="T81" s="6">
        <v>120.9</v>
      </c>
      <c r="U81" s="6">
        <v>118.6</v>
      </c>
      <c r="V81" s="6">
        <v>114.4</v>
      </c>
      <c r="W81" s="6">
        <v>118</v>
      </c>
      <c r="X81" s="6">
        <v>114.3</v>
      </c>
      <c r="Y81" s="6">
        <v>108.4</v>
      </c>
      <c r="Z81" s="6">
        <v>115.4</v>
      </c>
      <c r="AA81" s="6">
        <v>120.6</v>
      </c>
      <c r="AB81" s="6">
        <v>111.3</v>
      </c>
      <c r="AC81" s="6">
        <v>113.8</v>
      </c>
      <c r="AD81" s="6">
        <v>119.1</v>
      </c>
    </row>
    <row r="82" spans="1:30">
      <c r="A82" s="3" t="s">
        <v>33</v>
      </c>
      <c r="B82" s="4">
        <v>2015</v>
      </c>
      <c r="C82" s="4" t="s">
        <v>35</v>
      </c>
      <c r="D82" s="4">
        <v>123.5</v>
      </c>
      <c r="E82" s="4">
        <v>125.4</v>
      </c>
      <c r="F82" s="4">
        <v>116.8</v>
      </c>
      <c r="G82" s="4">
        <v>126</v>
      </c>
      <c r="H82" s="4">
        <v>109.2</v>
      </c>
      <c r="I82" s="4">
        <v>127.6</v>
      </c>
      <c r="J82" s="4">
        <v>129.19999999999999</v>
      </c>
      <c r="K82" s="4">
        <v>122.4</v>
      </c>
      <c r="L82" s="4">
        <v>97</v>
      </c>
      <c r="M82" s="4">
        <v>122.1</v>
      </c>
      <c r="N82" s="4">
        <v>118.1</v>
      </c>
      <c r="O82" s="4">
        <v>128.4</v>
      </c>
      <c r="P82" s="4">
        <v>123.4</v>
      </c>
      <c r="Q82" s="4">
        <v>125.8</v>
      </c>
      <c r="R82" s="4">
        <v>124.3</v>
      </c>
      <c r="S82" s="4">
        <v>120.4</v>
      </c>
      <c r="T82" s="4">
        <v>123.7</v>
      </c>
      <c r="U82" s="4">
        <v>118.6</v>
      </c>
      <c r="V82" s="4">
        <v>118.3</v>
      </c>
      <c r="W82" s="4">
        <v>119.2</v>
      </c>
      <c r="X82" s="4">
        <v>116.7</v>
      </c>
      <c r="Y82" s="4">
        <v>109.9</v>
      </c>
      <c r="Z82" s="4">
        <v>115.4</v>
      </c>
      <c r="AA82" s="4">
        <v>120.1</v>
      </c>
      <c r="AB82" s="4">
        <v>111</v>
      </c>
      <c r="AC82" s="4">
        <v>114.7</v>
      </c>
      <c r="AD82" s="4">
        <v>120.2</v>
      </c>
    </row>
    <row r="83" spans="1:30">
      <c r="A83" s="5" t="s">
        <v>30</v>
      </c>
      <c r="B83" s="6">
        <v>2015</v>
      </c>
      <c r="C83" s="6" t="s">
        <v>36</v>
      </c>
      <c r="D83" s="6">
        <v>123.3</v>
      </c>
      <c r="E83" s="6">
        <v>125.5</v>
      </c>
      <c r="F83" s="6">
        <v>117.2</v>
      </c>
      <c r="G83" s="6">
        <v>126.8</v>
      </c>
      <c r="H83" s="6">
        <v>111.9</v>
      </c>
      <c r="I83" s="6">
        <v>134.19999999999999</v>
      </c>
      <c r="J83" s="6">
        <v>127.5</v>
      </c>
      <c r="K83" s="6">
        <v>121.5</v>
      </c>
      <c r="L83" s="6">
        <v>97.8</v>
      </c>
      <c r="M83" s="6">
        <v>119.8</v>
      </c>
      <c r="N83" s="6">
        <v>119.4</v>
      </c>
      <c r="O83" s="6">
        <v>128.69999999999999</v>
      </c>
      <c r="P83" s="6">
        <v>123.6</v>
      </c>
      <c r="Q83" s="6">
        <v>125.7</v>
      </c>
      <c r="R83" s="6">
        <v>126.4</v>
      </c>
      <c r="S83" s="6">
        <v>123.3</v>
      </c>
      <c r="T83" s="6">
        <v>126</v>
      </c>
      <c r="U83" s="6">
        <v>118.9</v>
      </c>
      <c r="V83" s="6">
        <v>121.2</v>
      </c>
      <c r="W83" s="6">
        <v>120.9</v>
      </c>
      <c r="X83" s="6">
        <v>118.6</v>
      </c>
      <c r="Y83" s="6">
        <v>111.9</v>
      </c>
      <c r="Z83" s="6">
        <v>116.2</v>
      </c>
      <c r="AA83" s="6">
        <v>119.9</v>
      </c>
      <c r="AB83" s="6">
        <v>111.6</v>
      </c>
      <c r="AC83" s="6">
        <v>116</v>
      </c>
      <c r="AD83" s="6">
        <v>121.5</v>
      </c>
    </row>
    <row r="84" spans="1:30">
      <c r="A84" s="3" t="s">
        <v>32</v>
      </c>
      <c r="B84" s="4">
        <v>2015</v>
      </c>
      <c r="C84" s="4" t="s">
        <v>36</v>
      </c>
      <c r="D84" s="4">
        <v>123.8</v>
      </c>
      <c r="E84" s="4">
        <v>128.19999999999999</v>
      </c>
      <c r="F84" s="4">
        <v>110</v>
      </c>
      <c r="G84" s="4">
        <v>126.3</v>
      </c>
      <c r="H84" s="4">
        <v>104.5</v>
      </c>
      <c r="I84" s="4">
        <v>130.6</v>
      </c>
      <c r="J84" s="4">
        <v>130.80000000000001</v>
      </c>
      <c r="K84" s="4">
        <v>131.30000000000001</v>
      </c>
      <c r="L84" s="4">
        <v>91.6</v>
      </c>
      <c r="M84" s="4">
        <v>127.7</v>
      </c>
      <c r="N84" s="4">
        <v>117.2</v>
      </c>
      <c r="O84" s="4">
        <v>129.5</v>
      </c>
      <c r="P84" s="4">
        <v>124.6</v>
      </c>
      <c r="Q84" s="4">
        <v>130.1</v>
      </c>
      <c r="R84" s="4">
        <v>122.1</v>
      </c>
      <c r="S84" s="4">
        <v>117.2</v>
      </c>
      <c r="T84" s="4">
        <v>121.3</v>
      </c>
      <c r="U84" s="4">
        <v>119.2</v>
      </c>
      <c r="V84" s="4">
        <v>114.7</v>
      </c>
      <c r="W84" s="4">
        <v>118.4</v>
      </c>
      <c r="X84" s="4">
        <v>114.6</v>
      </c>
      <c r="Y84" s="4">
        <v>108.4</v>
      </c>
      <c r="Z84" s="4">
        <v>115.6</v>
      </c>
      <c r="AA84" s="4">
        <v>121.7</v>
      </c>
      <c r="AB84" s="4">
        <v>111.8</v>
      </c>
      <c r="AC84" s="4">
        <v>114.2</v>
      </c>
      <c r="AD84" s="4">
        <v>119.7</v>
      </c>
    </row>
    <row r="85" spans="1:30">
      <c r="A85" s="5" t="s">
        <v>33</v>
      </c>
      <c r="B85" s="6">
        <v>2015</v>
      </c>
      <c r="C85" s="6" t="s">
        <v>36</v>
      </c>
      <c r="D85" s="6">
        <v>123.5</v>
      </c>
      <c r="E85" s="6">
        <v>126.4</v>
      </c>
      <c r="F85" s="6">
        <v>114.4</v>
      </c>
      <c r="G85" s="6">
        <v>126.6</v>
      </c>
      <c r="H85" s="6">
        <v>109.2</v>
      </c>
      <c r="I85" s="6">
        <v>132.5</v>
      </c>
      <c r="J85" s="6">
        <v>128.6</v>
      </c>
      <c r="K85" s="6">
        <v>124.8</v>
      </c>
      <c r="L85" s="6">
        <v>95.7</v>
      </c>
      <c r="M85" s="6">
        <v>122.4</v>
      </c>
      <c r="N85" s="6">
        <v>118.5</v>
      </c>
      <c r="O85" s="6">
        <v>129.1</v>
      </c>
      <c r="P85" s="6">
        <v>124</v>
      </c>
      <c r="Q85" s="6">
        <v>126.9</v>
      </c>
      <c r="R85" s="6">
        <v>124.7</v>
      </c>
      <c r="S85" s="6">
        <v>120.8</v>
      </c>
      <c r="T85" s="6">
        <v>124.1</v>
      </c>
      <c r="U85" s="6">
        <v>119.2</v>
      </c>
      <c r="V85" s="6">
        <v>118.7</v>
      </c>
      <c r="W85" s="6">
        <v>119.7</v>
      </c>
      <c r="X85" s="6">
        <v>117.1</v>
      </c>
      <c r="Y85" s="6">
        <v>110.1</v>
      </c>
      <c r="Z85" s="6">
        <v>115.9</v>
      </c>
      <c r="AA85" s="6">
        <v>121</v>
      </c>
      <c r="AB85" s="6">
        <v>111.7</v>
      </c>
      <c r="AC85" s="6">
        <v>115.1</v>
      </c>
      <c r="AD85" s="6">
        <v>120.7</v>
      </c>
    </row>
    <row r="86" spans="1:30">
      <c r="A86" s="3" t="s">
        <v>30</v>
      </c>
      <c r="B86" s="4">
        <v>2015</v>
      </c>
      <c r="C86" s="4" t="s">
        <v>37</v>
      </c>
      <c r="D86" s="4">
        <v>123.5</v>
      </c>
      <c r="E86" s="4">
        <v>127.1</v>
      </c>
      <c r="F86" s="4">
        <v>117.3</v>
      </c>
      <c r="G86" s="4">
        <v>127.7</v>
      </c>
      <c r="H86" s="4">
        <v>112.5</v>
      </c>
      <c r="I86" s="4">
        <v>134.1</v>
      </c>
      <c r="J86" s="4">
        <v>128.5</v>
      </c>
      <c r="K86" s="4">
        <v>124.3</v>
      </c>
      <c r="L86" s="4">
        <v>97.6</v>
      </c>
      <c r="M86" s="4">
        <v>120.7</v>
      </c>
      <c r="N86" s="4">
        <v>120.2</v>
      </c>
      <c r="O86" s="4">
        <v>129.80000000000001</v>
      </c>
      <c r="P86" s="4">
        <v>124.4</v>
      </c>
      <c r="Q86" s="4">
        <v>126.7</v>
      </c>
      <c r="R86" s="4">
        <v>127.3</v>
      </c>
      <c r="S86" s="4">
        <v>124.1</v>
      </c>
      <c r="T86" s="4">
        <v>126.8</v>
      </c>
      <c r="U86" s="4">
        <v>119.3</v>
      </c>
      <c r="V86" s="4">
        <v>121.9</v>
      </c>
      <c r="W86" s="4">
        <v>121.5</v>
      </c>
      <c r="X86" s="4">
        <v>119.4</v>
      </c>
      <c r="Y86" s="4">
        <v>113.3</v>
      </c>
      <c r="Z86" s="4">
        <v>116.7</v>
      </c>
      <c r="AA86" s="4">
        <v>120.5</v>
      </c>
      <c r="AB86" s="4">
        <v>112.3</v>
      </c>
      <c r="AC86" s="4">
        <v>116.9</v>
      </c>
      <c r="AD86" s="4">
        <v>122.4</v>
      </c>
    </row>
    <row r="87" spans="1:30">
      <c r="A87" s="5" t="s">
        <v>32</v>
      </c>
      <c r="B87" s="6">
        <v>2015</v>
      </c>
      <c r="C87" s="6" t="s">
        <v>37</v>
      </c>
      <c r="D87" s="6">
        <v>123.8</v>
      </c>
      <c r="E87" s="6">
        <v>129.69999999999999</v>
      </c>
      <c r="F87" s="6">
        <v>111.3</v>
      </c>
      <c r="G87" s="6">
        <v>126.6</v>
      </c>
      <c r="H87" s="6">
        <v>105.2</v>
      </c>
      <c r="I87" s="6">
        <v>130.80000000000001</v>
      </c>
      <c r="J87" s="6">
        <v>135.6</v>
      </c>
      <c r="K87" s="6">
        <v>142.6</v>
      </c>
      <c r="L87" s="6">
        <v>90.8</v>
      </c>
      <c r="M87" s="6">
        <v>128.80000000000001</v>
      </c>
      <c r="N87" s="6">
        <v>117.7</v>
      </c>
      <c r="O87" s="6">
        <v>129.9</v>
      </c>
      <c r="P87" s="6">
        <v>126.1</v>
      </c>
      <c r="Q87" s="6">
        <v>131.30000000000001</v>
      </c>
      <c r="R87" s="6">
        <v>122.4</v>
      </c>
      <c r="S87" s="6">
        <v>117.4</v>
      </c>
      <c r="T87" s="6">
        <v>121.6</v>
      </c>
      <c r="U87" s="6">
        <v>119.6</v>
      </c>
      <c r="V87" s="6">
        <v>114.9</v>
      </c>
      <c r="W87" s="6">
        <v>118.7</v>
      </c>
      <c r="X87" s="6">
        <v>114.9</v>
      </c>
      <c r="Y87" s="6">
        <v>110.8</v>
      </c>
      <c r="Z87" s="6">
        <v>116</v>
      </c>
      <c r="AA87" s="6">
        <v>122</v>
      </c>
      <c r="AB87" s="6">
        <v>112.4</v>
      </c>
      <c r="AC87" s="6">
        <v>115.2</v>
      </c>
      <c r="AD87" s="6">
        <v>120.7</v>
      </c>
    </row>
    <row r="88" spans="1:30">
      <c r="A88" s="3" t="s">
        <v>33</v>
      </c>
      <c r="B88" s="4">
        <v>2015</v>
      </c>
      <c r="C88" s="4" t="s">
        <v>37</v>
      </c>
      <c r="D88" s="4">
        <v>123.6</v>
      </c>
      <c r="E88" s="4">
        <v>128</v>
      </c>
      <c r="F88" s="4">
        <v>115</v>
      </c>
      <c r="G88" s="4">
        <v>127.3</v>
      </c>
      <c r="H88" s="4">
        <v>109.8</v>
      </c>
      <c r="I88" s="4">
        <v>132.6</v>
      </c>
      <c r="J88" s="4">
        <v>130.9</v>
      </c>
      <c r="K88" s="4">
        <v>130.5</v>
      </c>
      <c r="L88" s="4">
        <v>95.3</v>
      </c>
      <c r="M88" s="4">
        <v>123.4</v>
      </c>
      <c r="N88" s="4">
        <v>119.2</v>
      </c>
      <c r="O88" s="4">
        <v>129.80000000000001</v>
      </c>
      <c r="P88" s="4">
        <v>125</v>
      </c>
      <c r="Q88" s="4">
        <v>127.9</v>
      </c>
      <c r="R88" s="4">
        <v>125.4</v>
      </c>
      <c r="S88" s="4">
        <v>121.3</v>
      </c>
      <c r="T88" s="4">
        <v>124.7</v>
      </c>
      <c r="U88" s="4">
        <v>119.6</v>
      </c>
      <c r="V88" s="4">
        <v>119.2</v>
      </c>
      <c r="W88" s="4">
        <v>120.2</v>
      </c>
      <c r="X88" s="4">
        <v>117.7</v>
      </c>
      <c r="Y88" s="4">
        <v>112</v>
      </c>
      <c r="Z88" s="4">
        <v>116.3</v>
      </c>
      <c r="AA88" s="4">
        <v>121.4</v>
      </c>
      <c r="AB88" s="4">
        <v>112.3</v>
      </c>
      <c r="AC88" s="4">
        <v>116.1</v>
      </c>
      <c r="AD88" s="4">
        <v>121.6</v>
      </c>
    </row>
    <row r="89" spans="1:30">
      <c r="A89" s="5" t="s">
        <v>30</v>
      </c>
      <c r="B89" s="6">
        <v>2015</v>
      </c>
      <c r="C89" s="6" t="s">
        <v>38</v>
      </c>
      <c r="D89" s="6">
        <v>124.1</v>
      </c>
      <c r="E89" s="6">
        <v>130.4</v>
      </c>
      <c r="F89" s="6">
        <v>122.1</v>
      </c>
      <c r="G89" s="6">
        <v>128.69999999999999</v>
      </c>
      <c r="H89" s="6">
        <v>114.1</v>
      </c>
      <c r="I89" s="6">
        <v>133.19999999999999</v>
      </c>
      <c r="J89" s="6">
        <v>135.19999999999999</v>
      </c>
      <c r="K89" s="6">
        <v>131.9</v>
      </c>
      <c r="L89" s="6">
        <v>96.3</v>
      </c>
      <c r="M89" s="6">
        <v>123</v>
      </c>
      <c r="N89" s="6">
        <v>121.1</v>
      </c>
      <c r="O89" s="6">
        <v>131.19999999999999</v>
      </c>
      <c r="P89" s="6">
        <v>126.6</v>
      </c>
      <c r="Q89" s="6">
        <v>128.19999999999999</v>
      </c>
      <c r="R89" s="6">
        <v>128.4</v>
      </c>
      <c r="S89" s="6">
        <v>125.1</v>
      </c>
      <c r="T89" s="6">
        <v>128</v>
      </c>
      <c r="U89" s="6">
        <v>119.3</v>
      </c>
      <c r="V89" s="6">
        <v>122.6</v>
      </c>
      <c r="W89" s="6">
        <v>122.8</v>
      </c>
      <c r="X89" s="6">
        <v>120.4</v>
      </c>
      <c r="Y89" s="6">
        <v>114.2</v>
      </c>
      <c r="Z89" s="6">
        <v>117.9</v>
      </c>
      <c r="AA89" s="6">
        <v>122</v>
      </c>
      <c r="AB89" s="6">
        <v>113</v>
      </c>
      <c r="AC89" s="6">
        <v>117.9</v>
      </c>
      <c r="AD89" s="6">
        <v>124.1</v>
      </c>
    </row>
    <row r="90" spans="1:30">
      <c r="A90" s="3" t="s">
        <v>32</v>
      </c>
      <c r="B90" s="4">
        <v>2015</v>
      </c>
      <c r="C90" s="4" t="s">
        <v>38</v>
      </c>
      <c r="D90" s="4">
        <v>123.6</v>
      </c>
      <c r="E90" s="4">
        <v>134.4</v>
      </c>
      <c r="F90" s="4">
        <v>120.9</v>
      </c>
      <c r="G90" s="4">
        <v>127.3</v>
      </c>
      <c r="H90" s="4">
        <v>106</v>
      </c>
      <c r="I90" s="4">
        <v>132.30000000000001</v>
      </c>
      <c r="J90" s="4">
        <v>146.69999999999999</v>
      </c>
      <c r="K90" s="4">
        <v>148.1</v>
      </c>
      <c r="L90" s="4">
        <v>89.8</v>
      </c>
      <c r="M90" s="4">
        <v>130.5</v>
      </c>
      <c r="N90" s="4">
        <v>118</v>
      </c>
      <c r="O90" s="4">
        <v>130.5</v>
      </c>
      <c r="P90" s="4">
        <v>128.5</v>
      </c>
      <c r="Q90" s="4">
        <v>132.1</v>
      </c>
      <c r="R90" s="4">
        <v>123.2</v>
      </c>
      <c r="S90" s="4">
        <v>117.6</v>
      </c>
      <c r="T90" s="4">
        <v>122.3</v>
      </c>
      <c r="U90" s="4">
        <v>119</v>
      </c>
      <c r="V90" s="4">
        <v>115.1</v>
      </c>
      <c r="W90" s="4">
        <v>119.2</v>
      </c>
      <c r="X90" s="4">
        <v>115.4</v>
      </c>
      <c r="Y90" s="4">
        <v>111.7</v>
      </c>
      <c r="Z90" s="4">
        <v>116.2</v>
      </c>
      <c r="AA90" s="4">
        <v>123.8</v>
      </c>
      <c r="AB90" s="4">
        <v>112.5</v>
      </c>
      <c r="AC90" s="4">
        <v>116</v>
      </c>
      <c r="AD90" s="4">
        <v>121.7</v>
      </c>
    </row>
    <row r="91" spans="1:30">
      <c r="A91" s="5" t="s">
        <v>33</v>
      </c>
      <c r="B91" s="6">
        <v>2015</v>
      </c>
      <c r="C91" s="6" t="s">
        <v>38</v>
      </c>
      <c r="D91" s="6">
        <v>123.9</v>
      </c>
      <c r="E91" s="6">
        <v>131.80000000000001</v>
      </c>
      <c r="F91" s="6">
        <v>121.6</v>
      </c>
      <c r="G91" s="6">
        <v>128.19999999999999</v>
      </c>
      <c r="H91" s="6">
        <v>111.1</v>
      </c>
      <c r="I91" s="6">
        <v>132.80000000000001</v>
      </c>
      <c r="J91" s="6">
        <v>139.1</v>
      </c>
      <c r="K91" s="6">
        <v>137.4</v>
      </c>
      <c r="L91" s="6">
        <v>94.1</v>
      </c>
      <c r="M91" s="6">
        <v>125.5</v>
      </c>
      <c r="N91" s="6">
        <v>119.8</v>
      </c>
      <c r="O91" s="6">
        <v>130.9</v>
      </c>
      <c r="P91" s="6">
        <v>127.3</v>
      </c>
      <c r="Q91" s="6">
        <v>129.19999999999999</v>
      </c>
      <c r="R91" s="6">
        <v>126.4</v>
      </c>
      <c r="S91" s="6">
        <v>122</v>
      </c>
      <c r="T91" s="6">
        <v>125.7</v>
      </c>
      <c r="U91" s="6">
        <v>119</v>
      </c>
      <c r="V91" s="6">
        <v>119.8</v>
      </c>
      <c r="W91" s="6">
        <v>121.1</v>
      </c>
      <c r="X91" s="6">
        <v>118.5</v>
      </c>
      <c r="Y91" s="6">
        <v>112.9</v>
      </c>
      <c r="Z91" s="6">
        <v>116.9</v>
      </c>
      <c r="AA91" s="6">
        <v>123.1</v>
      </c>
      <c r="AB91" s="6">
        <v>112.8</v>
      </c>
      <c r="AC91" s="6">
        <v>117</v>
      </c>
      <c r="AD91" s="6">
        <v>123</v>
      </c>
    </row>
    <row r="92" spans="1:30">
      <c r="A92" s="3" t="s">
        <v>30</v>
      </c>
      <c r="B92" s="4">
        <v>2015</v>
      </c>
      <c r="C92" s="4" t="s">
        <v>39</v>
      </c>
      <c r="D92" s="4">
        <v>124</v>
      </c>
      <c r="E92" s="4">
        <v>131.5</v>
      </c>
      <c r="F92" s="4">
        <v>122</v>
      </c>
      <c r="G92" s="4">
        <v>128.69999999999999</v>
      </c>
      <c r="H92" s="4">
        <v>113.5</v>
      </c>
      <c r="I92" s="4">
        <v>133.30000000000001</v>
      </c>
      <c r="J92" s="4">
        <v>140.80000000000001</v>
      </c>
      <c r="K92" s="4">
        <v>133.80000000000001</v>
      </c>
      <c r="L92" s="4">
        <v>94.1</v>
      </c>
      <c r="M92" s="4">
        <v>123.4</v>
      </c>
      <c r="N92" s="4">
        <v>121</v>
      </c>
      <c r="O92" s="4">
        <v>131.69999999999999</v>
      </c>
      <c r="P92" s="4">
        <v>127.5</v>
      </c>
      <c r="Q92" s="4">
        <v>129.4</v>
      </c>
      <c r="R92" s="4">
        <v>128.80000000000001</v>
      </c>
      <c r="S92" s="4">
        <v>125.5</v>
      </c>
      <c r="T92" s="4">
        <v>128.30000000000001</v>
      </c>
      <c r="U92" s="4">
        <v>120.4</v>
      </c>
      <c r="V92" s="4">
        <v>123</v>
      </c>
      <c r="W92" s="4">
        <v>123</v>
      </c>
      <c r="X92" s="4">
        <v>120.8</v>
      </c>
      <c r="Y92" s="4">
        <v>114.1</v>
      </c>
      <c r="Z92" s="4">
        <v>118</v>
      </c>
      <c r="AA92" s="4">
        <v>122.9</v>
      </c>
      <c r="AB92" s="4">
        <v>112.7</v>
      </c>
      <c r="AC92" s="4">
        <v>118.1</v>
      </c>
      <c r="AD92" s="4">
        <v>124.7</v>
      </c>
    </row>
    <row r="93" spans="1:30">
      <c r="A93" s="5" t="s">
        <v>32</v>
      </c>
      <c r="B93" s="6">
        <v>2015</v>
      </c>
      <c r="C93" s="6" t="s">
        <v>39</v>
      </c>
      <c r="D93" s="6">
        <v>123.2</v>
      </c>
      <c r="E93" s="6">
        <v>134.30000000000001</v>
      </c>
      <c r="F93" s="6">
        <v>119.5</v>
      </c>
      <c r="G93" s="6">
        <v>127.7</v>
      </c>
      <c r="H93" s="6">
        <v>106.3</v>
      </c>
      <c r="I93" s="6">
        <v>132.80000000000001</v>
      </c>
      <c r="J93" s="6">
        <v>153.5</v>
      </c>
      <c r="K93" s="6">
        <v>149.5</v>
      </c>
      <c r="L93" s="6">
        <v>85.7</v>
      </c>
      <c r="M93" s="6">
        <v>131.5</v>
      </c>
      <c r="N93" s="6">
        <v>118.3</v>
      </c>
      <c r="O93" s="6">
        <v>131.1</v>
      </c>
      <c r="P93" s="6">
        <v>129.5</v>
      </c>
      <c r="Q93" s="6">
        <v>133.1</v>
      </c>
      <c r="R93" s="6">
        <v>123.5</v>
      </c>
      <c r="S93" s="6">
        <v>117.9</v>
      </c>
      <c r="T93" s="6">
        <v>122.7</v>
      </c>
      <c r="U93" s="6">
        <v>119.9</v>
      </c>
      <c r="V93" s="6">
        <v>115.3</v>
      </c>
      <c r="W93" s="6">
        <v>119.5</v>
      </c>
      <c r="X93" s="6">
        <v>116</v>
      </c>
      <c r="Y93" s="6">
        <v>111.5</v>
      </c>
      <c r="Z93" s="6">
        <v>116.6</v>
      </c>
      <c r="AA93" s="6">
        <v>125.4</v>
      </c>
      <c r="AB93" s="6">
        <v>111.7</v>
      </c>
      <c r="AC93" s="6">
        <v>116.3</v>
      </c>
      <c r="AD93" s="6">
        <v>122.4</v>
      </c>
    </row>
    <row r="94" spans="1:30">
      <c r="A94" s="3" t="s">
        <v>33</v>
      </c>
      <c r="B94" s="4">
        <v>2015</v>
      </c>
      <c r="C94" s="4" t="s">
        <v>39</v>
      </c>
      <c r="D94" s="4">
        <v>123.7</v>
      </c>
      <c r="E94" s="4">
        <v>132.5</v>
      </c>
      <c r="F94" s="4">
        <v>121</v>
      </c>
      <c r="G94" s="4">
        <v>128.30000000000001</v>
      </c>
      <c r="H94" s="4">
        <v>110.9</v>
      </c>
      <c r="I94" s="4">
        <v>133.1</v>
      </c>
      <c r="J94" s="4">
        <v>145.1</v>
      </c>
      <c r="K94" s="4">
        <v>139.1</v>
      </c>
      <c r="L94" s="4">
        <v>91.3</v>
      </c>
      <c r="M94" s="4">
        <v>126.1</v>
      </c>
      <c r="N94" s="4">
        <v>119.9</v>
      </c>
      <c r="O94" s="4">
        <v>131.4</v>
      </c>
      <c r="P94" s="4">
        <v>128.19999999999999</v>
      </c>
      <c r="Q94" s="4">
        <v>130.4</v>
      </c>
      <c r="R94" s="4">
        <v>126.7</v>
      </c>
      <c r="S94" s="4">
        <v>122.3</v>
      </c>
      <c r="T94" s="4">
        <v>126.1</v>
      </c>
      <c r="U94" s="4">
        <v>119.9</v>
      </c>
      <c r="V94" s="4">
        <v>120.1</v>
      </c>
      <c r="W94" s="4">
        <v>121.3</v>
      </c>
      <c r="X94" s="4">
        <v>119</v>
      </c>
      <c r="Y94" s="4">
        <v>112.7</v>
      </c>
      <c r="Z94" s="4">
        <v>117.2</v>
      </c>
      <c r="AA94" s="4">
        <v>124.4</v>
      </c>
      <c r="AB94" s="4">
        <v>112.3</v>
      </c>
      <c r="AC94" s="4">
        <v>117.2</v>
      </c>
      <c r="AD94" s="4">
        <v>123.6</v>
      </c>
    </row>
    <row r="95" spans="1:30">
      <c r="A95" s="5" t="s">
        <v>30</v>
      </c>
      <c r="B95" s="6">
        <v>2015</v>
      </c>
      <c r="C95" s="6" t="s">
        <v>40</v>
      </c>
      <c r="D95" s="6">
        <v>124.7</v>
      </c>
      <c r="E95" s="6">
        <v>131.30000000000001</v>
      </c>
      <c r="F95" s="6">
        <v>121.3</v>
      </c>
      <c r="G95" s="6">
        <v>128.80000000000001</v>
      </c>
      <c r="H95" s="6">
        <v>114</v>
      </c>
      <c r="I95" s="6">
        <v>134.19999999999999</v>
      </c>
      <c r="J95" s="6">
        <v>153.6</v>
      </c>
      <c r="K95" s="6">
        <v>137.9</v>
      </c>
      <c r="L95" s="6">
        <v>93.1</v>
      </c>
      <c r="M95" s="6">
        <v>123.9</v>
      </c>
      <c r="N95" s="6">
        <v>121.5</v>
      </c>
      <c r="O95" s="6">
        <v>132.5</v>
      </c>
      <c r="P95" s="6">
        <v>129.80000000000001</v>
      </c>
      <c r="Q95" s="6">
        <v>130.1</v>
      </c>
      <c r="R95" s="6">
        <v>129.5</v>
      </c>
      <c r="S95" s="6">
        <v>126.3</v>
      </c>
      <c r="T95" s="6">
        <v>129</v>
      </c>
      <c r="U95" s="6">
        <v>120.4</v>
      </c>
      <c r="V95" s="6">
        <v>123.8</v>
      </c>
      <c r="W95" s="6">
        <v>123.7</v>
      </c>
      <c r="X95" s="6">
        <v>121.1</v>
      </c>
      <c r="Y95" s="6">
        <v>113.6</v>
      </c>
      <c r="Z95" s="6">
        <v>118.5</v>
      </c>
      <c r="AA95" s="6">
        <v>123.6</v>
      </c>
      <c r="AB95" s="6">
        <v>112.5</v>
      </c>
      <c r="AC95" s="6">
        <v>118.2</v>
      </c>
      <c r="AD95" s="6">
        <v>126.1</v>
      </c>
    </row>
    <row r="96" spans="1:30">
      <c r="A96" s="3" t="s">
        <v>32</v>
      </c>
      <c r="B96" s="4">
        <v>2015</v>
      </c>
      <c r="C96" s="4" t="s">
        <v>40</v>
      </c>
      <c r="D96" s="4">
        <v>123.1</v>
      </c>
      <c r="E96" s="4">
        <v>131.69999999999999</v>
      </c>
      <c r="F96" s="4">
        <v>118.1</v>
      </c>
      <c r="G96" s="4">
        <v>128</v>
      </c>
      <c r="H96" s="4">
        <v>106.8</v>
      </c>
      <c r="I96" s="4">
        <v>130.1</v>
      </c>
      <c r="J96" s="4">
        <v>165.5</v>
      </c>
      <c r="K96" s="4">
        <v>156</v>
      </c>
      <c r="L96" s="4">
        <v>85.3</v>
      </c>
      <c r="M96" s="4">
        <v>132.69999999999999</v>
      </c>
      <c r="N96" s="4">
        <v>118.8</v>
      </c>
      <c r="O96" s="4">
        <v>131.69999999999999</v>
      </c>
      <c r="P96" s="4">
        <v>131.1</v>
      </c>
      <c r="Q96" s="4">
        <v>134.19999999999999</v>
      </c>
      <c r="R96" s="4">
        <v>123.7</v>
      </c>
      <c r="S96" s="4">
        <v>118.2</v>
      </c>
      <c r="T96" s="4">
        <v>122.9</v>
      </c>
      <c r="U96" s="4">
        <v>120.9</v>
      </c>
      <c r="V96" s="4">
        <v>115.3</v>
      </c>
      <c r="W96" s="4">
        <v>120</v>
      </c>
      <c r="X96" s="4">
        <v>116.6</v>
      </c>
      <c r="Y96" s="4">
        <v>109.9</v>
      </c>
      <c r="Z96" s="4">
        <v>117.2</v>
      </c>
      <c r="AA96" s="4">
        <v>126.2</v>
      </c>
      <c r="AB96" s="4">
        <v>112</v>
      </c>
      <c r="AC96" s="4">
        <v>116.2</v>
      </c>
      <c r="AD96" s="4">
        <v>123.2</v>
      </c>
    </row>
    <row r="97" spans="1:30">
      <c r="A97" s="5" t="s">
        <v>33</v>
      </c>
      <c r="B97" s="6">
        <v>2015</v>
      </c>
      <c r="C97" s="6" t="s">
        <v>40</v>
      </c>
      <c r="D97" s="6">
        <v>124.2</v>
      </c>
      <c r="E97" s="6">
        <v>131.4</v>
      </c>
      <c r="F97" s="6">
        <v>120.1</v>
      </c>
      <c r="G97" s="6">
        <v>128.5</v>
      </c>
      <c r="H97" s="6">
        <v>111.4</v>
      </c>
      <c r="I97" s="6">
        <v>132.30000000000001</v>
      </c>
      <c r="J97" s="6">
        <v>157.6</v>
      </c>
      <c r="K97" s="6">
        <v>144</v>
      </c>
      <c r="L97" s="6">
        <v>90.5</v>
      </c>
      <c r="M97" s="6">
        <v>126.8</v>
      </c>
      <c r="N97" s="6">
        <v>120.4</v>
      </c>
      <c r="O97" s="6">
        <v>132.1</v>
      </c>
      <c r="P97" s="6">
        <v>130.30000000000001</v>
      </c>
      <c r="Q97" s="6">
        <v>131.19999999999999</v>
      </c>
      <c r="R97" s="6">
        <v>127.2</v>
      </c>
      <c r="S97" s="6">
        <v>122.9</v>
      </c>
      <c r="T97" s="6">
        <v>126.6</v>
      </c>
      <c r="U97" s="6">
        <v>120.9</v>
      </c>
      <c r="V97" s="6">
        <v>120.6</v>
      </c>
      <c r="W97" s="6">
        <v>122</v>
      </c>
      <c r="X97" s="6">
        <v>119.4</v>
      </c>
      <c r="Y97" s="6">
        <v>111.7</v>
      </c>
      <c r="Z97" s="6">
        <v>117.8</v>
      </c>
      <c r="AA97" s="6">
        <v>125.1</v>
      </c>
      <c r="AB97" s="6">
        <v>112.3</v>
      </c>
      <c r="AC97" s="6">
        <v>117.2</v>
      </c>
      <c r="AD97" s="6">
        <v>124.8</v>
      </c>
    </row>
    <row r="98" spans="1:30">
      <c r="A98" s="3" t="s">
        <v>30</v>
      </c>
      <c r="B98" s="4">
        <v>2015</v>
      </c>
      <c r="C98" s="4" t="s">
        <v>41</v>
      </c>
      <c r="D98" s="4">
        <v>125.1</v>
      </c>
      <c r="E98" s="4">
        <v>131.1</v>
      </c>
      <c r="F98" s="4">
        <v>120.7</v>
      </c>
      <c r="G98" s="4">
        <v>129.19999999999999</v>
      </c>
      <c r="H98" s="4">
        <v>114.7</v>
      </c>
      <c r="I98" s="4">
        <v>132.30000000000001</v>
      </c>
      <c r="J98" s="4">
        <v>158.9</v>
      </c>
      <c r="K98" s="4">
        <v>142.1</v>
      </c>
      <c r="L98" s="4">
        <v>92.5</v>
      </c>
      <c r="M98" s="4">
        <v>125.4</v>
      </c>
      <c r="N98" s="4">
        <v>121.9</v>
      </c>
      <c r="O98" s="4">
        <v>132.69999999999999</v>
      </c>
      <c r="P98" s="4">
        <v>131</v>
      </c>
      <c r="Q98" s="4">
        <v>131</v>
      </c>
      <c r="R98" s="4">
        <v>130.4</v>
      </c>
      <c r="S98" s="4">
        <v>126.8</v>
      </c>
      <c r="T98" s="4">
        <v>129.9</v>
      </c>
      <c r="U98" s="4">
        <v>122</v>
      </c>
      <c r="V98" s="4">
        <v>123.7</v>
      </c>
      <c r="W98" s="4">
        <v>124.5</v>
      </c>
      <c r="X98" s="4">
        <v>121.4</v>
      </c>
      <c r="Y98" s="4">
        <v>113.8</v>
      </c>
      <c r="Z98" s="4">
        <v>119.6</v>
      </c>
      <c r="AA98" s="4">
        <v>124.5</v>
      </c>
      <c r="AB98" s="4">
        <v>113.7</v>
      </c>
      <c r="AC98" s="4">
        <v>118.8</v>
      </c>
      <c r="AD98" s="4">
        <v>127</v>
      </c>
    </row>
    <row r="99" spans="1:30">
      <c r="A99" s="5" t="s">
        <v>32</v>
      </c>
      <c r="B99" s="6">
        <v>2015</v>
      </c>
      <c r="C99" s="6" t="s">
        <v>41</v>
      </c>
      <c r="D99" s="6">
        <v>123.4</v>
      </c>
      <c r="E99" s="6">
        <v>129</v>
      </c>
      <c r="F99" s="6">
        <v>115.6</v>
      </c>
      <c r="G99" s="6">
        <v>128.30000000000001</v>
      </c>
      <c r="H99" s="6">
        <v>107</v>
      </c>
      <c r="I99" s="6">
        <v>124</v>
      </c>
      <c r="J99" s="6">
        <v>168.5</v>
      </c>
      <c r="K99" s="6">
        <v>165.4</v>
      </c>
      <c r="L99" s="6">
        <v>86.3</v>
      </c>
      <c r="M99" s="6">
        <v>134.4</v>
      </c>
      <c r="N99" s="6">
        <v>119.1</v>
      </c>
      <c r="O99" s="6">
        <v>132.30000000000001</v>
      </c>
      <c r="P99" s="6">
        <v>131.5</v>
      </c>
      <c r="Q99" s="6">
        <v>134.69999999999999</v>
      </c>
      <c r="R99" s="6">
        <v>124</v>
      </c>
      <c r="S99" s="6">
        <v>118.6</v>
      </c>
      <c r="T99" s="6">
        <v>123.2</v>
      </c>
      <c r="U99" s="6">
        <v>121.6</v>
      </c>
      <c r="V99" s="6">
        <v>115.1</v>
      </c>
      <c r="W99" s="6">
        <v>120.4</v>
      </c>
      <c r="X99" s="6">
        <v>117.1</v>
      </c>
      <c r="Y99" s="6">
        <v>109.1</v>
      </c>
      <c r="Z99" s="6">
        <v>117.3</v>
      </c>
      <c r="AA99" s="6">
        <v>126.5</v>
      </c>
      <c r="AB99" s="6">
        <v>112.9</v>
      </c>
      <c r="AC99" s="6">
        <v>116.2</v>
      </c>
      <c r="AD99" s="6">
        <v>123.5</v>
      </c>
    </row>
    <row r="100" spans="1:30">
      <c r="A100" s="3" t="s">
        <v>33</v>
      </c>
      <c r="B100" s="4">
        <v>2015</v>
      </c>
      <c r="C100" s="4" t="s">
        <v>41</v>
      </c>
      <c r="D100" s="4">
        <v>124.6</v>
      </c>
      <c r="E100" s="4">
        <v>130.4</v>
      </c>
      <c r="F100" s="4">
        <v>118.7</v>
      </c>
      <c r="G100" s="4">
        <v>128.9</v>
      </c>
      <c r="H100" s="4">
        <v>111.9</v>
      </c>
      <c r="I100" s="4">
        <v>128.4</v>
      </c>
      <c r="J100" s="4">
        <v>162.19999999999999</v>
      </c>
      <c r="K100" s="4">
        <v>150</v>
      </c>
      <c r="L100" s="4">
        <v>90.4</v>
      </c>
      <c r="M100" s="4">
        <v>128.4</v>
      </c>
      <c r="N100" s="4">
        <v>120.7</v>
      </c>
      <c r="O100" s="4">
        <v>132.5</v>
      </c>
      <c r="P100" s="4">
        <v>131.19999999999999</v>
      </c>
      <c r="Q100" s="4">
        <v>132</v>
      </c>
      <c r="R100" s="4">
        <v>127.9</v>
      </c>
      <c r="S100" s="4">
        <v>123.4</v>
      </c>
      <c r="T100" s="4">
        <v>127.2</v>
      </c>
      <c r="U100" s="4">
        <v>121.6</v>
      </c>
      <c r="V100" s="4">
        <v>120.4</v>
      </c>
      <c r="W100" s="4">
        <v>122.6</v>
      </c>
      <c r="X100" s="4">
        <v>119.8</v>
      </c>
      <c r="Y100" s="4">
        <v>111.3</v>
      </c>
      <c r="Z100" s="4">
        <v>118.3</v>
      </c>
      <c r="AA100" s="4">
        <v>125.7</v>
      </c>
      <c r="AB100" s="4">
        <v>113.4</v>
      </c>
      <c r="AC100" s="4">
        <v>117.5</v>
      </c>
      <c r="AD100" s="4">
        <v>125.4</v>
      </c>
    </row>
    <row r="101" spans="1:30">
      <c r="A101" s="5" t="s">
        <v>30</v>
      </c>
      <c r="B101" s="6">
        <v>2015</v>
      </c>
      <c r="C101" s="6" t="s">
        <v>42</v>
      </c>
      <c r="D101" s="6">
        <v>125.6</v>
      </c>
      <c r="E101" s="6">
        <v>130.4</v>
      </c>
      <c r="F101" s="6">
        <v>120.8</v>
      </c>
      <c r="G101" s="6">
        <v>129.4</v>
      </c>
      <c r="H101" s="6">
        <v>115.8</v>
      </c>
      <c r="I101" s="6">
        <v>133.19999999999999</v>
      </c>
      <c r="J101" s="6">
        <v>157.69999999999999</v>
      </c>
      <c r="K101" s="6">
        <v>154.19999999999999</v>
      </c>
      <c r="L101" s="6">
        <v>93.7</v>
      </c>
      <c r="M101" s="6">
        <v>126.6</v>
      </c>
      <c r="N101" s="6">
        <v>122.3</v>
      </c>
      <c r="O101" s="6">
        <v>133.1</v>
      </c>
      <c r="P101" s="6">
        <v>131.80000000000001</v>
      </c>
      <c r="Q101" s="6">
        <v>131.5</v>
      </c>
      <c r="R101" s="6">
        <v>131.1</v>
      </c>
      <c r="S101" s="6">
        <v>127.3</v>
      </c>
      <c r="T101" s="6">
        <v>130.6</v>
      </c>
      <c r="U101" s="6">
        <v>122</v>
      </c>
      <c r="V101" s="6">
        <v>124.4</v>
      </c>
      <c r="W101" s="6">
        <v>125.1</v>
      </c>
      <c r="X101" s="6">
        <v>122</v>
      </c>
      <c r="Y101" s="6">
        <v>113.8</v>
      </c>
      <c r="Z101" s="6">
        <v>120.1</v>
      </c>
      <c r="AA101" s="6">
        <v>125.1</v>
      </c>
      <c r="AB101" s="6">
        <v>114.2</v>
      </c>
      <c r="AC101" s="6">
        <v>119.2</v>
      </c>
      <c r="AD101" s="6">
        <v>127.7</v>
      </c>
    </row>
    <row r="102" spans="1:30">
      <c r="A102" s="3" t="s">
        <v>32</v>
      </c>
      <c r="B102" s="4">
        <v>2015</v>
      </c>
      <c r="C102" s="4" t="s">
        <v>42</v>
      </c>
      <c r="D102" s="4">
        <v>123.6</v>
      </c>
      <c r="E102" s="4">
        <v>128.6</v>
      </c>
      <c r="F102" s="4">
        <v>115.9</v>
      </c>
      <c r="G102" s="4">
        <v>128.5</v>
      </c>
      <c r="H102" s="4">
        <v>109</v>
      </c>
      <c r="I102" s="4">
        <v>124.1</v>
      </c>
      <c r="J102" s="4">
        <v>165.8</v>
      </c>
      <c r="K102" s="4">
        <v>187.2</v>
      </c>
      <c r="L102" s="4">
        <v>89.4</v>
      </c>
      <c r="M102" s="4">
        <v>135.80000000000001</v>
      </c>
      <c r="N102" s="4">
        <v>119.4</v>
      </c>
      <c r="O102" s="4">
        <v>132.9</v>
      </c>
      <c r="P102" s="4">
        <v>132.6</v>
      </c>
      <c r="Q102" s="4">
        <v>135.30000000000001</v>
      </c>
      <c r="R102" s="4">
        <v>124.4</v>
      </c>
      <c r="S102" s="4">
        <v>118.8</v>
      </c>
      <c r="T102" s="4">
        <v>123.6</v>
      </c>
      <c r="U102" s="4">
        <v>122.4</v>
      </c>
      <c r="V102" s="4">
        <v>114.9</v>
      </c>
      <c r="W102" s="4">
        <v>120.7</v>
      </c>
      <c r="X102" s="4">
        <v>117.7</v>
      </c>
      <c r="Y102" s="4">
        <v>109.3</v>
      </c>
      <c r="Z102" s="4">
        <v>117.7</v>
      </c>
      <c r="AA102" s="4">
        <v>126.5</v>
      </c>
      <c r="AB102" s="4">
        <v>113.5</v>
      </c>
      <c r="AC102" s="4">
        <v>116.5</v>
      </c>
      <c r="AD102" s="4">
        <v>124.2</v>
      </c>
    </row>
    <row r="103" spans="1:30">
      <c r="A103" s="5" t="s">
        <v>33</v>
      </c>
      <c r="B103" s="6">
        <v>2015</v>
      </c>
      <c r="C103" s="6" t="s">
        <v>42</v>
      </c>
      <c r="D103" s="6">
        <v>125</v>
      </c>
      <c r="E103" s="6">
        <v>129.80000000000001</v>
      </c>
      <c r="F103" s="6">
        <v>118.9</v>
      </c>
      <c r="G103" s="6">
        <v>129.1</v>
      </c>
      <c r="H103" s="6">
        <v>113.3</v>
      </c>
      <c r="I103" s="6">
        <v>129</v>
      </c>
      <c r="J103" s="6">
        <v>160.4</v>
      </c>
      <c r="K103" s="6">
        <v>165.3</v>
      </c>
      <c r="L103" s="6">
        <v>92.3</v>
      </c>
      <c r="M103" s="6">
        <v>129.69999999999999</v>
      </c>
      <c r="N103" s="6">
        <v>121.1</v>
      </c>
      <c r="O103" s="6">
        <v>133</v>
      </c>
      <c r="P103" s="6">
        <v>132.1</v>
      </c>
      <c r="Q103" s="6">
        <v>132.5</v>
      </c>
      <c r="R103" s="6">
        <v>128.5</v>
      </c>
      <c r="S103" s="6">
        <v>123.8</v>
      </c>
      <c r="T103" s="6">
        <v>127.8</v>
      </c>
      <c r="U103" s="6">
        <v>122.4</v>
      </c>
      <c r="V103" s="6">
        <v>120.8</v>
      </c>
      <c r="W103" s="6">
        <v>123</v>
      </c>
      <c r="X103" s="6">
        <v>120.4</v>
      </c>
      <c r="Y103" s="6">
        <v>111.4</v>
      </c>
      <c r="Z103" s="6">
        <v>118.7</v>
      </c>
      <c r="AA103" s="6">
        <v>125.9</v>
      </c>
      <c r="AB103" s="6">
        <v>113.9</v>
      </c>
      <c r="AC103" s="6">
        <v>117.9</v>
      </c>
      <c r="AD103" s="6">
        <v>126.1</v>
      </c>
    </row>
    <row r="104" spans="1:30">
      <c r="A104" s="3" t="s">
        <v>30</v>
      </c>
      <c r="B104" s="4">
        <v>2015</v>
      </c>
      <c r="C104" s="4" t="s">
        <v>43</v>
      </c>
      <c r="D104" s="4">
        <v>126.1</v>
      </c>
      <c r="E104" s="4">
        <v>130.6</v>
      </c>
      <c r="F104" s="4">
        <v>121.7</v>
      </c>
      <c r="G104" s="4">
        <v>129.5</v>
      </c>
      <c r="H104" s="4">
        <v>117.8</v>
      </c>
      <c r="I104" s="4">
        <v>132.1</v>
      </c>
      <c r="J104" s="4">
        <v>155.19999999999999</v>
      </c>
      <c r="K104" s="4">
        <v>160.80000000000001</v>
      </c>
      <c r="L104" s="4">
        <v>94.5</v>
      </c>
      <c r="M104" s="4">
        <v>128.30000000000001</v>
      </c>
      <c r="N104" s="4">
        <v>123.1</v>
      </c>
      <c r="O104" s="4">
        <v>134.19999999999999</v>
      </c>
      <c r="P104" s="4">
        <v>132.4</v>
      </c>
      <c r="Q104" s="4">
        <v>132.19999999999999</v>
      </c>
      <c r="R104" s="4">
        <v>132.1</v>
      </c>
      <c r="S104" s="4">
        <v>128.19999999999999</v>
      </c>
      <c r="T104" s="4">
        <v>131.5</v>
      </c>
      <c r="U104" s="4">
        <v>122.65</v>
      </c>
      <c r="V104" s="4">
        <v>125.6</v>
      </c>
      <c r="W104" s="4">
        <v>125.6</v>
      </c>
      <c r="X104" s="4">
        <v>122.6</v>
      </c>
      <c r="Y104" s="4">
        <v>114</v>
      </c>
      <c r="Z104" s="4">
        <v>120.9</v>
      </c>
      <c r="AA104" s="4">
        <v>125.8</v>
      </c>
      <c r="AB104" s="4">
        <v>114.2</v>
      </c>
      <c r="AC104" s="4">
        <v>119.6</v>
      </c>
      <c r="AD104" s="4">
        <v>128.30000000000001</v>
      </c>
    </row>
    <row r="105" spans="1:30">
      <c r="A105" s="5" t="s">
        <v>32</v>
      </c>
      <c r="B105" s="6">
        <v>2015</v>
      </c>
      <c r="C105" s="6" t="s">
        <v>43</v>
      </c>
      <c r="D105" s="6">
        <v>124</v>
      </c>
      <c r="E105" s="6">
        <v>129.80000000000001</v>
      </c>
      <c r="F105" s="6">
        <v>121.5</v>
      </c>
      <c r="G105" s="6">
        <v>128.6</v>
      </c>
      <c r="H105" s="6">
        <v>110</v>
      </c>
      <c r="I105" s="6">
        <v>123.7</v>
      </c>
      <c r="J105" s="6">
        <v>164.6</v>
      </c>
      <c r="K105" s="6">
        <v>191.6</v>
      </c>
      <c r="L105" s="6">
        <v>90.8</v>
      </c>
      <c r="M105" s="6">
        <v>137.1</v>
      </c>
      <c r="N105" s="6">
        <v>119.8</v>
      </c>
      <c r="O105" s="6">
        <v>133.69999999999999</v>
      </c>
      <c r="P105" s="6">
        <v>133.30000000000001</v>
      </c>
      <c r="Q105" s="6">
        <v>137.6</v>
      </c>
      <c r="R105" s="6">
        <v>125</v>
      </c>
      <c r="S105" s="6">
        <v>119.3</v>
      </c>
      <c r="T105" s="6">
        <v>124.2</v>
      </c>
      <c r="U105" s="6">
        <v>122.9</v>
      </c>
      <c r="V105" s="6">
        <v>115.1</v>
      </c>
      <c r="W105" s="6">
        <v>121</v>
      </c>
      <c r="X105" s="6">
        <v>118.1</v>
      </c>
      <c r="Y105" s="6">
        <v>109.3</v>
      </c>
      <c r="Z105" s="6">
        <v>117.9</v>
      </c>
      <c r="AA105" s="6">
        <v>126.6</v>
      </c>
      <c r="AB105" s="6">
        <v>113.3</v>
      </c>
      <c r="AC105" s="6">
        <v>116.6</v>
      </c>
      <c r="AD105" s="6">
        <v>124.6</v>
      </c>
    </row>
    <row r="106" spans="1:30">
      <c r="A106" s="3" t="s">
        <v>33</v>
      </c>
      <c r="B106" s="4">
        <v>2015</v>
      </c>
      <c r="C106" s="4" t="s">
        <v>43</v>
      </c>
      <c r="D106" s="4">
        <v>125.4</v>
      </c>
      <c r="E106" s="4">
        <v>130.30000000000001</v>
      </c>
      <c r="F106" s="4">
        <v>121.6</v>
      </c>
      <c r="G106" s="4">
        <v>129.19999999999999</v>
      </c>
      <c r="H106" s="4">
        <v>114.9</v>
      </c>
      <c r="I106" s="4">
        <v>128.19999999999999</v>
      </c>
      <c r="J106" s="4">
        <v>158.4</v>
      </c>
      <c r="K106" s="4">
        <v>171.2</v>
      </c>
      <c r="L106" s="4">
        <v>93.3</v>
      </c>
      <c r="M106" s="4">
        <v>131.19999999999999</v>
      </c>
      <c r="N106" s="4">
        <v>121.7</v>
      </c>
      <c r="O106" s="4">
        <v>134</v>
      </c>
      <c r="P106" s="4">
        <v>132.69999999999999</v>
      </c>
      <c r="Q106" s="4">
        <v>133.6</v>
      </c>
      <c r="R106" s="4">
        <v>129.30000000000001</v>
      </c>
      <c r="S106" s="4">
        <v>124.5</v>
      </c>
      <c r="T106" s="4">
        <v>128.6</v>
      </c>
      <c r="U106" s="4">
        <v>122.9</v>
      </c>
      <c r="V106" s="4">
        <v>121.6</v>
      </c>
      <c r="W106" s="4">
        <v>123.4</v>
      </c>
      <c r="X106" s="4">
        <v>120.9</v>
      </c>
      <c r="Y106" s="4">
        <v>111.5</v>
      </c>
      <c r="Z106" s="4">
        <v>119.2</v>
      </c>
      <c r="AA106" s="4">
        <v>126.3</v>
      </c>
      <c r="AB106" s="4">
        <v>113.8</v>
      </c>
      <c r="AC106" s="4">
        <v>118.1</v>
      </c>
      <c r="AD106" s="4">
        <v>126.6</v>
      </c>
    </row>
    <row r="107" spans="1:30">
      <c r="A107" s="5" t="s">
        <v>30</v>
      </c>
      <c r="B107" s="6">
        <v>2015</v>
      </c>
      <c r="C107" s="6" t="s">
        <v>44</v>
      </c>
      <c r="D107" s="6">
        <v>126.3</v>
      </c>
      <c r="E107" s="6">
        <v>131.30000000000001</v>
      </c>
      <c r="F107" s="6">
        <v>123.3</v>
      </c>
      <c r="G107" s="6">
        <v>129.80000000000001</v>
      </c>
      <c r="H107" s="6">
        <v>118.3</v>
      </c>
      <c r="I107" s="6">
        <v>131.6</v>
      </c>
      <c r="J107" s="6">
        <v>145.5</v>
      </c>
      <c r="K107" s="6">
        <v>162.1</v>
      </c>
      <c r="L107" s="6">
        <v>95.4</v>
      </c>
      <c r="M107" s="6">
        <v>128.9</v>
      </c>
      <c r="N107" s="6">
        <v>123.3</v>
      </c>
      <c r="O107" s="6">
        <v>135.1</v>
      </c>
      <c r="P107" s="6">
        <v>131.4</v>
      </c>
      <c r="Q107" s="6">
        <v>133.1</v>
      </c>
      <c r="R107" s="6">
        <v>132.5</v>
      </c>
      <c r="S107" s="6">
        <v>128.5</v>
      </c>
      <c r="T107" s="6">
        <v>131.9</v>
      </c>
      <c r="U107" s="6">
        <v>122.65</v>
      </c>
      <c r="V107" s="6">
        <v>125.7</v>
      </c>
      <c r="W107" s="6">
        <v>126</v>
      </c>
      <c r="X107" s="6">
        <v>123.1</v>
      </c>
      <c r="Y107" s="6">
        <v>114</v>
      </c>
      <c r="Z107" s="6">
        <v>121.6</v>
      </c>
      <c r="AA107" s="6">
        <v>125.6</v>
      </c>
      <c r="AB107" s="6">
        <v>114.1</v>
      </c>
      <c r="AC107" s="6">
        <v>119.8</v>
      </c>
      <c r="AD107" s="6">
        <v>127.9</v>
      </c>
    </row>
    <row r="108" spans="1:30">
      <c r="A108" s="3" t="s">
        <v>32</v>
      </c>
      <c r="B108" s="4">
        <v>2015</v>
      </c>
      <c r="C108" s="4" t="s">
        <v>44</v>
      </c>
      <c r="D108" s="4">
        <v>124.3</v>
      </c>
      <c r="E108" s="4">
        <v>131.69999999999999</v>
      </c>
      <c r="F108" s="4">
        <v>127.1</v>
      </c>
      <c r="G108" s="4">
        <v>128.6</v>
      </c>
      <c r="H108" s="4">
        <v>110</v>
      </c>
      <c r="I108" s="4">
        <v>120.8</v>
      </c>
      <c r="J108" s="4">
        <v>149</v>
      </c>
      <c r="K108" s="4">
        <v>190.1</v>
      </c>
      <c r="L108" s="4">
        <v>92.7</v>
      </c>
      <c r="M108" s="4">
        <v>138.6</v>
      </c>
      <c r="N108" s="4">
        <v>120.2</v>
      </c>
      <c r="O108" s="4">
        <v>134.19999999999999</v>
      </c>
      <c r="P108" s="4">
        <v>131.5</v>
      </c>
      <c r="Q108" s="4">
        <v>138.19999999999999</v>
      </c>
      <c r="R108" s="4">
        <v>125.4</v>
      </c>
      <c r="S108" s="4">
        <v>119.5</v>
      </c>
      <c r="T108" s="4">
        <v>124.5</v>
      </c>
      <c r="U108" s="4">
        <v>122.4</v>
      </c>
      <c r="V108" s="4">
        <v>116</v>
      </c>
      <c r="W108" s="4">
        <v>121</v>
      </c>
      <c r="X108" s="4">
        <v>118.6</v>
      </c>
      <c r="Y108" s="4">
        <v>109.3</v>
      </c>
      <c r="Z108" s="4">
        <v>118.1</v>
      </c>
      <c r="AA108" s="4">
        <v>126.6</v>
      </c>
      <c r="AB108" s="4">
        <v>113.2</v>
      </c>
      <c r="AC108" s="4">
        <v>116.7</v>
      </c>
      <c r="AD108" s="4">
        <v>124</v>
      </c>
    </row>
    <row r="109" spans="1:30">
      <c r="A109" s="5" t="s">
        <v>33</v>
      </c>
      <c r="B109" s="6">
        <v>2015</v>
      </c>
      <c r="C109" s="6" t="s">
        <v>44</v>
      </c>
      <c r="D109" s="6">
        <v>125.7</v>
      </c>
      <c r="E109" s="6">
        <v>131.4</v>
      </c>
      <c r="F109" s="6">
        <v>124.8</v>
      </c>
      <c r="G109" s="6">
        <v>129.4</v>
      </c>
      <c r="H109" s="6">
        <v>115.3</v>
      </c>
      <c r="I109" s="6">
        <v>126.6</v>
      </c>
      <c r="J109" s="6">
        <v>146.69999999999999</v>
      </c>
      <c r="K109" s="6">
        <v>171.5</v>
      </c>
      <c r="L109" s="6">
        <v>94.5</v>
      </c>
      <c r="M109" s="6">
        <v>132.1</v>
      </c>
      <c r="N109" s="6">
        <v>122</v>
      </c>
      <c r="O109" s="6">
        <v>134.69999999999999</v>
      </c>
      <c r="P109" s="6">
        <v>131.4</v>
      </c>
      <c r="Q109" s="6">
        <v>134.5</v>
      </c>
      <c r="R109" s="6">
        <v>129.69999999999999</v>
      </c>
      <c r="S109" s="6">
        <v>124.8</v>
      </c>
      <c r="T109" s="6">
        <v>129</v>
      </c>
      <c r="U109" s="6">
        <v>122.4</v>
      </c>
      <c r="V109" s="6">
        <v>122</v>
      </c>
      <c r="W109" s="6">
        <v>123.6</v>
      </c>
      <c r="X109" s="6">
        <v>121.4</v>
      </c>
      <c r="Y109" s="6">
        <v>111.5</v>
      </c>
      <c r="Z109" s="6">
        <v>119.6</v>
      </c>
      <c r="AA109" s="6">
        <v>126.2</v>
      </c>
      <c r="AB109" s="6">
        <v>113.7</v>
      </c>
      <c r="AC109" s="6">
        <v>118.3</v>
      </c>
      <c r="AD109" s="6">
        <v>126.1</v>
      </c>
    </row>
    <row r="110" spans="1:30">
      <c r="A110" s="3" t="s">
        <v>30</v>
      </c>
      <c r="B110" s="4">
        <v>2016</v>
      </c>
      <c r="C110" s="4" t="s">
        <v>31</v>
      </c>
      <c r="D110" s="4">
        <v>126.8</v>
      </c>
      <c r="E110" s="4">
        <v>133.19999999999999</v>
      </c>
      <c r="F110" s="4">
        <v>126.5</v>
      </c>
      <c r="G110" s="4">
        <v>130.30000000000001</v>
      </c>
      <c r="H110" s="4">
        <v>118.9</v>
      </c>
      <c r="I110" s="4">
        <v>131.6</v>
      </c>
      <c r="J110" s="4">
        <v>140.1</v>
      </c>
      <c r="K110" s="4">
        <v>163.80000000000001</v>
      </c>
      <c r="L110" s="4">
        <v>97.7</v>
      </c>
      <c r="M110" s="4">
        <v>129.6</v>
      </c>
      <c r="N110" s="4">
        <v>124.3</v>
      </c>
      <c r="O110" s="4">
        <v>135.9</v>
      </c>
      <c r="P110" s="4">
        <v>131.4</v>
      </c>
      <c r="Q110" s="4">
        <v>133.6</v>
      </c>
      <c r="R110" s="4">
        <v>133.19999999999999</v>
      </c>
      <c r="S110" s="4">
        <v>128.9</v>
      </c>
      <c r="T110" s="4">
        <v>132.6</v>
      </c>
      <c r="U110" s="4">
        <v>123.9</v>
      </c>
      <c r="V110" s="4">
        <v>126.2</v>
      </c>
      <c r="W110" s="4">
        <v>126.6</v>
      </c>
      <c r="X110" s="4">
        <v>123.7</v>
      </c>
      <c r="Y110" s="4">
        <v>113.6</v>
      </c>
      <c r="Z110" s="4">
        <v>121.4</v>
      </c>
      <c r="AA110" s="4">
        <v>126.2</v>
      </c>
      <c r="AB110" s="4">
        <v>114.9</v>
      </c>
      <c r="AC110" s="4">
        <v>120.1</v>
      </c>
      <c r="AD110" s="4">
        <v>128.1</v>
      </c>
    </row>
    <row r="111" spans="1:30">
      <c r="A111" s="5" t="s">
        <v>32</v>
      </c>
      <c r="B111" s="6">
        <v>2016</v>
      </c>
      <c r="C111" s="6" t="s">
        <v>31</v>
      </c>
      <c r="D111" s="6">
        <v>124.7</v>
      </c>
      <c r="E111" s="6">
        <v>135.9</v>
      </c>
      <c r="F111" s="6">
        <v>132</v>
      </c>
      <c r="G111" s="6">
        <v>129.19999999999999</v>
      </c>
      <c r="H111" s="6">
        <v>109.7</v>
      </c>
      <c r="I111" s="6">
        <v>119</v>
      </c>
      <c r="J111" s="6">
        <v>144.1</v>
      </c>
      <c r="K111" s="6">
        <v>184.2</v>
      </c>
      <c r="L111" s="6">
        <v>96.7</v>
      </c>
      <c r="M111" s="6">
        <v>139.5</v>
      </c>
      <c r="N111" s="6">
        <v>120.5</v>
      </c>
      <c r="O111" s="6">
        <v>134.69999999999999</v>
      </c>
      <c r="P111" s="6">
        <v>131.19999999999999</v>
      </c>
      <c r="Q111" s="6">
        <v>139.5</v>
      </c>
      <c r="R111" s="6">
        <v>125.8</v>
      </c>
      <c r="S111" s="6">
        <v>119.8</v>
      </c>
      <c r="T111" s="6">
        <v>124.9</v>
      </c>
      <c r="U111" s="6">
        <v>123.4</v>
      </c>
      <c r="V111" s="6">
        <v>116.9</v>
      </c>
      <c r="W111" s="6">
        <v>121.6</v>
      </c>
      <c r="X111" s="6">
        <v>119.1</v>
      </c>
      <c r="Y111" s="6">
        <v>108.9</v>
      </c>
      <c r="Z111" s="6">
        <v>118.5</v>
      </c>
      <c r="AA111" s="6">
        <v>126.4</v>
      </c>
      <c r="AB111" s="6">
        <v>114</v>
      </c>
      <c r="AC111" s="6">
        <v>116.8</v>
      </c>
      <c r="AD111" s="6">
        <v>124.2</v>
      </c>
    </row>
    <row r="112" spans="1:30">
      <c r="A112" s="3" t="s">
        <v>33</v>
      </c>
      <c r="B112" s="4">
        <v>2016</v>
      </c>
      <c r="C112" s="4" t="s">
        <v>31</v>
      </c>
      <c r="D112" s="4">
        <v>126.1</v>
      </c>
      <c r="E112" s="4">
        <v>134.1</v>
      </c>
      <c r="F112" s="4">
        <v>128.6</v>
      </c>
      <c r="G112" s="4">
        <v>129.9</v>
      </c>
      <c r="H112" s="4">
        <v>115.5</v>
      </c>
      <c r="I112" s="4">
        <v>125.7</v>
      </c>
      <c r="J112" s="4">
        <v>141.5</v>
      </c>
      <c r="K112" s="4">
        <v>170.7</v>
      </c>
      <c r="L112" s="4">
        <v>97.4</v>
      </c>
      <c r="M112" s="4">
        <v>132.9</v>
      </c>
      <c r="N112" s="4">
        <v>122.7</v>
      </c>
      <c r="O112" s="4">
        <v>135.30000000000001</v>
      </c>
      <c r="P112" s="4">
        <v>131.30000000000001</v>
      </c>
      <c r="Q112" s="4">
        <v>135.19999999999999</v>
      </c>
      <c r="R112" s="4">
        <v>130.30000000000001</v>
      </c>
      <c r="S112" s="4">
        <v>125.1</v>
      </c>
      <c r="T112" s="4">
        <v>129.5</v>
      </c>
      <c r="U112" s="4">
        <v>123.4</v>
      </c>
      <c r="V112" s="4">
        <v>122.7</v>
      </c>
      <c r="W112" s="4">
        <v>124.2</v>
      </c>
      <c r="X112" s="4">
        <v>122</v>
      </c>
      <c r="Y112" s="4">
        <v>111.1</v>
      </c>
      <c r="Z112" s="4">
        <v>119.8</v>
      </c>
      <c r="AA112" s="4">
        <v>126.3</v>
      </c>
      <c r="AB112" s="4">
        <v>114.5</v>
      </c>
      <c r="AC112" s="4">
        <v>118.5</v>
      </c>
      <c r="AD112" s="4">
        <v>126.3</v>
      </c>
    </row>
    <row r="113" spans="1:30">
      <c r="A113" s="5" t="s">
        <v>30</v>
      </c>
      <c r="B113" s="6">
        <v>2016</v>
      </c>
      <c r="C113" s="6" t="s">
        <v>34</v>
      </c>
      <c r="D113" s="6">
        <v>127.1</v>
      </c>
      <c r="E113" s="6">
        <v>133.69999999999999</v>
      </c>
      <c r="F113" s="6">
        <v>127.7</v>
      </c>
      <c r="G113" s="6">
        <v>130.69999999999999</v>
      </c>
      <c r="H113" s="6">
        <v>118.5</v>
      </c>
      <c r="I113" s="6">
        <v>130.4</v>
      </c>
      <c r="J113" s="6">
        <v>130.9</v>
      </c>
      <c r="K113" s="6">
        <v>162.80000000000001</v>
      </c>
      <c r="L113" s="6">
        <v>98.7</v>
      </c>
      <c r="M113" s="6">
        <v>130.6</v>
      </c>
      <c r="N113" s="6">
        <v>124.8</v>
      </c>
      <c r="O113" s="6">
        <v>136.4</v>
      </c>
      <c r="P113" s="6">
        <v>130.30000000000001</v>
      </c>
      <c r="Q113" s="6">
        <v>134.4</v>
      </c>
      <c r="R113" s="6">
        <v>133.9</v>
      </c>
      <c r="S113" s="6">
        <v>129.80000000000001</v>
      </c>
      <c r="T113" s="6">
        <v>133.4</v>
      </c>
      <c r="U113" s="6">
        <v>123.9</v>
      </c>
      <c r="V113" s="6">
        <v>127.5</v>
      </c>
      <c r="W113" s="6">
        <v>127.1</v>
      </c>
      <c r="X113" s="6">
        <v>124.3</v>
      </c>
      <c r="Y113" s="6">
        <v>113.9</v>
      </c>
      <c r="Z113" s="6">
        <v>122.3</v>
      </c>
      <c r="AA113" s="6">
        <v>127.1</v>
      </c>
      <c r="AB113" s="6">
        <v>116.8</v>
      </c>
      <c r="AC113" s="6">
        <v>120.9</v>
      </c>
      <c r="AD113" s="6">
        <v>127.9</v>
      </c>
    </row>
    <row r="114" spans="1:30">
      <c r="A114" s="3" t="s">
        <v>32</v>
      </c>
      <c r="B114" s="4">
        <v>2016</v>
      </c>
      <c r="C114" s="4" t="s">
        <v>34</v>
      </c>
      <c r="D114" s="4">
        <v>124.8</v>
      </c>
      <c r="E114" s="4">
        <v>135.1</v>
      </c>
      <c r="F114" s="4">
        <v>130.30000000000001</v>
      </c>
      <c r="G114" s="4">
        <v>129.6</v>
      </c>
      <c r="H114" s="4">
        <v>108.4</v>
      </c>
      <c r="I114" s="4">
        <v>118.6</v>
      </c>
      <c r="J114" s="4">
        <v>129.19999999999999</v>
      </c>
      <c r="K114" s="4">
        <v>176.4</v>
      </c>
      <c r="L114" s="4">
        <v>99.1</v>
      </c>
      <c r="M114" s="4">
        <v>139.69999999999999</v>
      </c>
      <c r="N114" s="4">
        <v>120.6</v>
      </c>
      <c r="O114" s="4">
        <v>135.19999999999999</v>
      </c>
      <c r="P114" s="4">
        <v>129.1</v>
      </c>
      <c r="Q114" s="4">
        <v>140</v>
      </c>
      <c r="R114" s="4">
        <v>126.2</v>
      </c>
      <c r="S114" s="4">
        <v>120.1</v>
      </c>
      <c r="T114" s="4">
        <v>125.3</v>
      </c>
      <c r="U114" s="4">
        <v>124.4</v>
      </c>
      <c r="V114" s="4">
        <v>116</v>
      </c>
      <c r="W114" s="4">
        <v>121.8</v>
      </c>
      <c r="X114" s="4">
        <v>119.5</v>
      </c>
      <c r="Y114" s="4">
        <v>109.1</v>
      </c>
      <c r="Z114" s="4">
        <v>118.8</v>
      </c>
      <c r="AA114" s="4">
        <v>126.3</v>
      </c>
      <c r="AB114" s="4">
        <v>116.2</v>
      </c>
      <c r="AC114" s="4">
        <v>117.2</v>
      </c>
      <c r="AD114" s="4">
        <v>123.8</v>
      </c>
    </row>
    <row r="115" spans="1:30">
      <c r="A115" s="5" t="s">
        <v>33</v>
      </c>
      <c r="B115" s="6">
        <v>2016</v>
      </c>
      <c r="C115" s="6" t="s">
        <v>34</v>
      </c>
      <c r="D115" s="6">
        <v>126.4</v>
      </c>
      <c r="E115" s="6">
        <v>134.19999999999999</v>
      </c>
      <c r="F115" s="6">
        <v>128.69999999999999</v>
      </c>
      <c r="G115" s="6">
        <v>130.30000000000001</v>
      </c>
      <c r="H115" s="6">
        <v>114.8</v>
      </c>
      <c r="I115" s="6">
        <v>124.9</v>
      </c>
      <c r="J115" s="6">
        <v>130.30000000000001</v>
      </c>
      <c r="K115" s="6">
        <v>167.4</v>
      </c>
      <c r="L115" s="6">
        <v>98.8</v>
      </c>
      <c r="M115" s="6">
        <v>133.6</v>
      </c>
      <c r="N115" s="6">
        <v>123</v>
      </c>
      <c r="O115" s="6">
        <v>135.80000000000001</v>
      </c>
      <c r="P115" s="6">
        <v>129.9</v>
      </c>
      <c r="Q115" s="6">
        <v>135.9</v>
      </c>
      <c r="R115" s="6">
        <v>130.9</v>
      </c>
      <c r="S115" s="6">
        <v>125.8</v>
      </c>
      <c r="T115" s="6">
        <v>130.19999999999999</v>
      </c>
      <c r="U115" s="6">
        <v>124.4</v>
      </c>
      <c r="V115" s="6">
        <v>123.1</v>
      </c>
      <c r="W115" s="6">
        <v>124.6</v>
      </c>
      <c r="X115" s="6">
        <v>122.5</v>
      </c>
      <c r="Y115" s="6">
        <v>111.4</v>
      </c>
      <c r="Z115" s="6">
        <v>120.3</v>
      </c>
      <c r="AA115" s="6">
        <v>126.6</v>
      </c>
      <c r="AB115" s="6">
        <v>116.6</v>
      </c>
      <c r="AC115" s="6">
        <v>119.1</v>
      </c>
      <c r="AD115" s="6">
        <v>126</v>
      </c>
    </row>
    <row r="116" spans="1:30">
      <c r="A116" s="3" t="s">
        <v>30</v>
      </c>
      <c r="B116" s="4">
        <v>2016</v>
      </c>
      <c r="C116" s="4" t="s">
        <v>35</v>
      </c>
      <c r="D116" s="4">
        <v>127.3</v>
      </c>
      <c r="E116" s="4">
        <v>134.4</v>
      </c>
      <c r="F116" s="4">
        <v>125.1</v>
      </c>
      <c r="G116" s="4">
        <v>130.5</v>
      </c>
      <c r="H116" s="4">
        <v>118.3</v>
      </c>
      <c r="I116" s="4">
        <v>131.69999999999999</v>
      </c>
      <c r="J116" s="4">
        <v>130.69999999999999</v>
      </c>
      <c r="K116" s="4">
        <v>161.19999999999999</v>
      </c>
      <c r="L116" s="4">
        <v>100.4</v>
      </c>
      <c r="M116" s="4">
        <v>130.80000000000001</v>
      </c>
      <c r="N116" s="4">
        <v>124.9</v>
      </c>
      <c r="O116" s="4">
        <v>137</v>
      </c>
      <c r="P116" s="4">
        <v>130.4</v>
      </c>
      <c r="Q116" s="4">
        <v>135</v>
      </c>
      <c r="R116" s="4">
        <v>134.4</v>
      </c>
      <c r="S116" s="4">
        <v>130.19999999999999</v>
      </c>
      <c r="T116" s="4">
        <v>133.80000000000001</v>
      </c>
      <c r="U116" s="4">
        <v>125.25</v>
      </c>
      <c r="V116" s="4">
        <v>127</v>
      </c>
      <c r="W116" s="4">
        <v>127.7</v>
      </c>
      <c r="X116" s="4">
        <v>124.8</v>
      </c>
      <c r="Y116" s="4">
        <v>113.6</v>
      </c>
      <c r="Z116" s="4">
        <v>122.5</v>
      </c>
      <c r="AA116" s="4">
        <v>127.5</v>
      </c>
      <c r="AB116" s="4">
        <v>117.4</v>
      </c>
      <c r="AC116" s="4">
        <v>121.1</v>
      </c>
      <c r="AD116" s="4">
        <v>128</v>
      </c>
    </row>
    <row r="117" spans="1:30">
      <c r="A117" s="5" t="s">
        <v>32</v>
      </c>
      <c r="B117" s="6">
        <v>2016</v>
      </c>
      <c r="C117" s="6" t="s">
        <v>35</v>
      </c>
      <c r="D117" s="6">
        <v>124.8</v>
      </c>
      <c r="E117" s="6">
        <v>136.30000000000001</v>
      </c>
      <c r="F117" s="6">
        <v>123.7</v>
      </c>
      <c r="G117" s="6">
        <v>129.69999999999999</v>
      </c>
      <c r="H117" s="6">
        <v>107.9</v>
      </c>
      <c r="I117" s="6">
        <v>119.9</v>
      </c>
      <c r="J117" s="6">
        <v>128.1</v>
      </c>
      <c r="K117" s="6">
        <v>170.3</v>
      </c>
      <c r="L117" s="6">
        <v>101.8</v>
      </c>
      <c r="M117" s="6">
        <v>140.1</v>
      </c>
      <c r="N117" s="6">
        <v>120.7</v>
      </c>
      <c r="O117" s="6">
        <v>135.4</v>
      </c>
      <c r="P117" s="6">
        <v>128.9</v>
      </c>
      <c r="Q117" s="6">
        <v>140.6</v>
      </c>
      <c r="R117" s="6">
        <v>126.4</v>
      </c>
      <c r="S117" s="6">
        <v>120.3</v>
      </c>
      <c r="T117" s="6">
        <v>125.5</v>
      </c>
      <c r="U117" s="6">
        <v>124.9</v>
      </c>
      <c r="V117" s="6">
        <v>114.8</v>
      </c>
      <c r="W117" s="6">
        <v>122.3</v>
      </c>
      <c r="X117" s="6">
        <v>119.7</v>
      </c>
      <c r="Y117" s="6">
        <v>108.5</v>
      </c>
      <c r="Z117" s="6">
        <v>119.1</v>
      </c>
      <c r="AA117" s="6">
        <v>126.4</v>
      </c>
      <c r="AB117" s="6">
        <v>117.1</v>
      </c>
      <c r="AC117" s="6">
        <v>117.3</v>
      </c>
      <c r="AD117" s="6">
        <v>123.8</v>
      </c>
    </row>
    <row r="118" spans="1:30">
      <c r="A118" s="3" t="s">
        <v>33</v>
      </c>
      <c r="B118" s="4">
        <v>2016</v>
      </c>
      <c r="C118" s="4" t="s">
        <v>35</v>
      </c>
      <c r="D118" s="4">
        <v>126.5</v>
      </c>
      <c r="E118" s="4">
        <v>135.1</v>
      </c>
      <c r="F118" s="4">
        <v>124.6</v>
      </c>
      <c r="G118" s="4">
        <v>130.19999999999999</v>
      </c>
      <c r="H118" s="4">
        <v>114.5</v>
      </c>
      <c r="I118" s="4">
        <v>126.2</v>
      </c>
      <c r="J118" s="4">
        <v>129.80000000000001</v>
      </c>
      <c r="K118" s="4">
        <v>164.3</v>
      </c>
      <c r="L118" s="4">
        <v>100.9</v>
      </c>
      <c r="M118" s="4">
        <v>133.9</v>
      </c>
      <c r="N118" s="4">
        <v>123.1</v>
      </c>
      <c r="O118" s="4">
        <v>136.30000000000001</v>
      </c>
      <c r="P118" s="4">
        <v>129.80000000000001</v>
      </c>
      <c r="Q118" s="4">
        <v>136.5</v>
      </c>
      <c r="R118" s="4">
        <v>131.30000000000001</v>
      </c>
      <c r="S118" s="4">
        <v>126.1</v>
      </c>
      <c r="T118" s="4">
        <v>130.5</v>
      </c>
      <c r="U118" s="4">
        <v>124.9</v>
      </c>
      <c r="V118" s="4">
        <v>122.4</v>
      </c>
      <c r="W118" s="4">
        <v>125.1</v>
      </c>
      <c r="X118" s="4">
        <v>122.9</v>
      </c>
      <c r="Y118" s="4">
        <v>110.9</v>
      </c>
      <c r="Z118" s="4">
        <v>120.6</v>
      </c>
      <c r="AA118" s="4">
        <v>126.9</v>
      </c>
      <c r="AB118" s="4">
        <v>117.3</v>
      </c>
      <c r="AC118" s="4">
        <v>119.3</v>
      </c>
      <c r="AD118" s="4">
        <v>126</v>
      </c>
    </row>
    <row r="119" spans="1:30">
      <c r="A119" s="5" t="s">
        <v>30</v>
      </c>
      <c r="B119" s="6">
        <v>2016</v>
      </c>
      <c r="C119" s="6" t="s">
        <v>36</v>
      </c>
      <c r="D119" s="6">
        <v>127.4</v>
      </c>
      <c r="E119" s="6">
        <v>135.4</v>
      </c>
      <c r="F119" s="6">
        <v>123.4</v>
      </c>
      <c r="G119" s="6">
        <v>131.30000000000001</v>
      </c>
      <c r="H119" s="6">
        <v>118.2</v>
      </c>
      <c r="I119" s="6">
        <v>138.1</v>
      </c>
      <c r="J119" s="6">
        <v>134.1</v>
      </c>
      <c r="K119" s="6">
        <v>162.69999999999999</v>
      </c>
      <c r="L119" s="6">
        <v>105</v>
      </c>
      <c r="M119" s="6">
        <v>131.4</v>
      </c>
      <c r="N119" s="6">
        <v>125.4</v>
      </c>
      <c r="O119" s="6">
        <v>137.4</v>
      </c>
      <c r="P119" s="6">
        <v>131.80000000000001</v>
      </c>
      <c r="Q119" s="6">
        <v>135.5</v>
      </c>
      <c r="R119" s="6">
        <v>135</v>
      </c>
      <c r="S119" s="6">
        <v>130.6</v>
      </c>
      <c r="T119" s="6">
        <v>134.4</v>
      </c>
      <c r="U119" s="6">
        <v>125.5</v>
      </c>
      <c r="V119" s="6">
        <v>127</v>
      </c>
      <c r="W119" s="6">
        <v>128</v>
      </c>
      <c r="X119" s="6">
        <v>125.2</v>
      </c>
      <c r="Y119" s="6">
        <v>114.4</v>
      </c>
      <c r="Z119" s="6">
        <v>123.2</v>
      </c>
      <c r="AA119" s="6">
        <v>127.9</v>
      </c>
      <c r="AB119" s="6">
        <v>118.4</v>
      </c>
      <c r="AC119" s="6">
        <v>121.7</v>
      </c>
      <c r="AD119" s="6">
        <v>129</v>
      </c>
    </row>
    <row r="120" spans="1:30">
      <c r="A120" s="3" t="s">
        <v>32</v>
      </c>
      <c r="B120" s="4">
        <v>2016</v>
      </c>
      <c r="C120" s="4" t="s">
        <v>36</v>
      </c>
      <c r="D120" s="4">
        <v>124.9</v>
      </c>
      <c r="E120" s="4">
        <v>139.30000000000001</v>
      </c>
      <c r="F120" s="4">
        <v>119.9</v>
      </c>
      <c r="G120" s="4">
        <v>130.19999999999999</v>
      </c>
      <c r="H120" s="4">
        <v>108.9</v>
      </c>
      <c r="I120" s="4">
        <v>131.1</v>
      </c>
      <c r="J120" s="4">
        <v>136.80000000000001</v>
      </c>
      <c r="K120" s="4">
        <v>176.9</v>
      </c>
      <c r="L120" s="4">
        <v>109.1</v>
      </c>
      <c r="M120" s="4">
        <v>140.4</v>
      </c>
      <c r="N120" s="4">
        <v>121.1</v>
      </c>
      <c r="O120" s="4">
        <v>135.9</v>
      </c>
      <c r="P120" s="4">
        <v>131.80000000000001</v>
      </c>
      <c r="Q120" s="4">
        <v>141.5</v>
      </c>
      <c r="R120" s="4">
        <v>126.8</v>
      </c>
      <c r="S120" s="4">
        <v>120.5</v>
      </c>
      <c r="T120" s="4">
        <v>125.8</v>
      </c>
      <c r="U120" s="4">
        <v>125.6</v>
      </c>
      <c r="V120" s="4">
        <v>114.6</v>
      </c>
      <c r="W120" s="4">
        <v>122.8</v>
      </c>
      <c r="X120" s="4">
        <v>120</v>
      </c>
      <c r="Y120" s="4">
        <v>110</v>
      </c>
      <c r="Z120" s="4">
        <v>119.5</v>
      </c>
      <c r="AA120" s="4">
        <v>127.6</v>
      </c>
      <c r="AB120" s="4">
        <v>117.6</v>
      </c>
      <c r="AC120" s="4">
        <v>118.2</v>
      </c>
      <c r="AD120" s="4">
        <v>125.3</v>
      </c>
    </row>
    <row r="121" spans="1:30">
      <c r="A121" s="5" t="s">
        <v>33</v>
      </c>
      <c r="B121" s="6">
        <v>2016</v>
      </c>
      <c r="C121" s="6" t="s">
        <v>36</v>
      </c>
      <c r="D121" s="6">
        <v>126.6</v>
      </c>
      <c r="E121" s="6">
        <v>136.80000000000001</v>
      </c>
      <c r="F121" s="6">
        <v>122</v>
      </c>
      <c r="G121" s="6">
        <v>130.9</v>
      </c>
      <c r="H121" s="6">
        <v>114.8</v>
      </c>
      <c r="I121" s="6">
        <v>134.80000000000001</v>
      </c>
      <c r="J121" s="6">
        <v>135</v>
      </c>
      <c r="K121" s="6">
        <v>167.5</v>
      </c>
      <c r="L121" s="6">
        <v>106.4</v>
      </c>
      <c r="M121" s="6">
        <v>134.4</v>
      </c>
      <c r="N121" s="6">
        <v>123.6</v>
      </c>
      <c r="O121" s="6">
        <v>136.69999999999999</v>
      </c>
      <c r="P121" s="6">
        <v>131.80000000000001</v>
      </c>
      <c r="Q121" s="6">
        <v>137.1</v>
      </c>
      <c r="R121" s="6">
        <v>131.80000000000001</v>
      </c>
      <c r="S121" s="6">
        <v>126.4</v>
      </c>
      <c r="T121" s="6">
        <v>131</v>
      </c>
      <c r="U121" s="6">
        <v>125.6</v>
      </c>
      <c r="V121" s="6">
        <v>122.3</v>
      </c>
      <c r="W121" s="6">
        <v>125.5</v>
      </c>
      <c r="X121" s="6">
        <v>123.2</v>
      </c>
      <c r="Y121" s="6">
        <v>112.1</v>
      </c>
      <c r="Z121" s="6">
        <v>121.1</v>
      </c>
      <c r="AA121" s="6">
        <v>127.7</v>
      </c>
      <c r="AB121" s="6">
        <v>118.1</v>
      </c>
      <c r="AC121" s="6">
        <v>120</v>
      </c>
      <c r="AD121" s="6">
        <v>127.3</v>
      </c>
    </row>
    <row r="122" spans="1:30">
      <c r="A122" s="3" t="s">
        <v>30</v>
      </c>
      <c r="B122" s="4">
        <v>2016</v>
      </c>
      <c r="C122" s="4" t="s">
        <v>37</v>
      </c>
      <c r="D122" s="4">
        <v>127.6</v>
      </c>
      <c r="E122" s="4">
        <v>137.5</v>
      </c>
      <c r="F122" s="4">
        <v>124.4</v>
      </c>
      <c r="G122" s="4">
        <v>132.4</v>
      </c>
      <c r="H122" s="4">
        <v>118.2</v>
      </c>
      <c r="I122" s="4">
        <v>138.1</v>
      </c>
      <c r="J122" s="4">
        <v>141.80000000000001</v>
      </c>
      <c r="K122" s="4">
        <v>166</v>
      </c>
      <c r="L122" s="4">
        <v>107.5</v>
      </c>
      <c r="M122" s="4">
        <v>132.19999999999999</v>
      </c>
      <c r="N122" s="4">
        <v>126.1</v>
      </c>
      <c r="O122" s="4">
        <v>138.30000000000001</v>
      </c>
      <c r="P122" s="4">
        <v>133.6</v>
      </c>
      <c r="Q122" s="4">
        <v>136</v>
      </c>
      <c r="R122" s="4">
        <v>135.4</v>
      </c>
      <c r="S122" s="4">
        <v>131.1</v>
      </c>
      <c r="T122" s="4">
        <v>134.80000000000001</v>
      </c>
      <c r="U122" s="4">
        <v>125.75</v>
      </c>
      <c r="V122" s="4">
        <v>127.4</v>
      </c>
      <c r="W122" s="4">
        <v>128.5</v>
      </c>
      <c r="X122" s="4">
        <v>125.8</v>
      </c>
      <c r="Y122" s="4">
        <v>115.1</v>
      </c>
      <c r="Z122" s="4">
        <v>123.6</v>
      </c>
      <c r="AA122" s="4">
        <v>129.1</v>
      </c>
      <c r="AB122" s="4">
        <v>119.7</v>
      </c>
      <c r="AC122" s="4">
        <v>122.5</v>
      </c>
      <c r="AD122" s="4">
        <v>130.30000000000001</v>
      </c>
    </row>
    <row r="123" spans="1:30">
      <c r="A123" s="5" t="s">
        <v>32</v>
      </c>
      <c r="B123" s="6">
        <v>2016</v>
      </c>
      <c r="C123" s="6" t="s">
        <v>37</v>
      </c>
      <c r="D123" s="6">
        <v>125</v>
      </c>
      <c r="E123" s="6">
        <v>142.1</v>
      </c>
      <c r="F123" s="6">
        <v>127</v>
      </c>
      <c r="G123" s="6">
        <v>130.4</v>
      </c>
      <c r="H123" s="6">
        <v>109.6</v>
      </c>
      <c r="I123" s="6">
        <v>133.5</v>
      </c>
      <c r="J123" s="6">
        <v>151.4</v>
      </c>
      <c r="K123" s="6">
        <v>182.8</v>
      </c>
      <c r="L123" s="6">
        <v>111.1</v>
      </c>
      <c r="M123" s="6">
        <v>141.5</v>
      </c>
      <c r="N123" s="6">
        <v>121.5</v>
      </c>
      <c r="O123" s="6">
        <v>136.30000000000001</v>
      </c>
      <c r="P123" s="6">
        <v>134.6</v>
      </c>
      <c r="Q123" s="6">
        <v>142.19999999999999</v>
      </c>
      <c r="R123" s="6">
        <v>127.2</v>
      </c>
      <c r="S123" s="6">
        <v>120.7</v>
      </c>
      <c r="T123" s="6">
        <v>126.2</v>
      </c>
      <c r="U123" s="6">
        <v>126</v>
      </c>
      <c r="V123" s="6">
        <v>115</v>
      </c>
      <c r="W123" s="6">
        <v>123.2</v>
      </c>
      <c r="X123" s="6">
        <v>120.3</v>
      </c>
      <c r="Y123" s="6">
        <v>110.7</v>
      </c>
      <c r="Z123" s="6">
        <v>119.8</v>
      </c>
      <c r="AA123" s="6">
        <v>128</v>
      </c>
      <c r="AB123" s="6">
        <v>118.5</v>
      </c>
      <c r="AC123" s="6">
        <v>118.7</v>
      </c>
      <c r="AD123" s="6">
        <v>126.6</v>
      </c>
    </row>
    <row r="124" spans="1:30">
      <c r="A124" s="3" t="s">
        <v>33</v>
      </c>
      <c r="B124" s="4">
        <v>2016</v>
      </c>
      <c r="C124" s="4" t="s">
        <v>37</v>
      </c>
      <c r="D124" s="4">
        <v>126.8</v>
      </c>
      <c r="E124" s="4">
        <v>139.1</v>
      </c>
      <c r="F124" s="4">
        <v>125.4</v>
      </c>
      <c r="G124" s="4">
        <v>131.69999999999999</v>
      </c>
      <c r="H124" s="4">
        <v>115</v>
      </c>
      <c r="I124" s="4">
        <v>136</v>
      </c>
      <c r="J124" s="4">
        <v>145.1</v>
      </c>
      <c r="K124" s="4">
        <v>171.7</v>
      </c>
      <c r="L124" s="4">
        <v>108.7</v>
      </c>
      <c r="M124" s="4">
        <v>135.30000000000001</v>
      </c>
      <c r="N124" s="4">
        <v>124.2</v>
      </c>
      <c r="O124" s="4">
        <v>137.4</v>
      </c>
      <c r="P124" s="4">
        <v>134</v>
      </c>
      <c r="Q124" s="4">
        <v>137.69999999999999</v>
      </c>
      <c r="R124" s="4">
        <v>132.19999999999999</v>
      </c>
      <c r="S124" s="4">
        <v>126.8</v>
      </c>
      <c r="T124" s="4">
        <v>131.4</v>
      </c>
      <c r="U124" s="4">
        <v>126</v>
      </c>
      <c r="V124" s="4">
        <v>122.7</v>
      </c>
      <c r="W124" s="4">
        <v>126</v>
      </c>
      <c r="X124" s="4">
        <v>123.7</v>
      </c>
      <c r="Y124" s="4">
        <v>112.8</v>
      </c>
      <c r="Z124" s="4">
        <v>121.5</v>
      </c>
      <c r="AA124" s="4">
        <v>128.5</v>
      </c>
      <c r="AB124" s="4">
        <v>119.2</v>
      </c>
      <c r="AC124" s="4">
        <v>120.7</v>
      </c>
      <c r="AD124" s="4">
        <v>128.6</v>
      </c>
    </row>
    <row r="125" spans="1:30">
      <c r="A125" s="5" t="s">
        <v>30</v>
      </c>
      <c r="B125" s="6">
        <v>2016</v>
      </c>
      <c r="C125" s="6" t="s">
        <v>38</v>
      </c>
      <c r="D125" s="6">
        <v>128.6</v>
      </c>
      <c r="E125" s="6">
        <v>138.6</v>
      </c>
      <c r="F125" s="6">
        <v>126.6</v>
      </c>
      <c r="G125" s="6">
        <v>133.6</v>
      </c>
      <c r="H125" s="6">
        <v>118.6</v>
      </c>
      <c r="I125" s="6">
        <v>137.4</v>
      </c>
      <c r="J125" s="6">
        <v>152.5</v>
      </c>
      <c r="K125" s="6">
        <v>169.2</v>
      </c>
      <c r="L125" s="6">
        <v>108.8</v>
      </c>
      <c r="M125" s="6">
        <v>133.1</v>
      </c>
      <c r="N125" s="6">
        <v>126.4</v>
      </c>
      <c r="O125" s="6">
        <v>139.19999999999999</v>
      </c>
      <c r="P125" s="6">
        <v>136</v>
      </c>
      <c r="Q125" s="6">
        <v>137.19999999999999</v>
      </c>
      <c r="R125" s="6">
        <v>136.30000000000001</v>
      </c>
      <c r="S125" s="6">
        <v>131.6</v>
      </c>
      <c r="T125" s="6">
        <v>135.6</v>
      </c>
      <c r="U125" s="6">
        <v>125.75</v>
      </c>
      <c r="V125" s="6">
        <v>128</v>
      </c>
      <c r="W125" s="6">
        <v>129.30000000000001</v>
      </c>
      <c r="X125" s="6">
        <v>126.2</v>
      </c>
      <c r="Y125" s="6">
        <v>116.3</v>
      </c>
      <c r="Z125" s="6">
        <v>124.1</v>
      </c>
      <c r="AA125" s="6">
        <v>130.19999999999999</v>
      </c>
      <c r="AB125" s="6">
        <v>119.9</v>
      </c>
      <c r="AC125" s="6">
        <v>123.3</v>
      </c>
      <c r="AD125" s="6">
        <v>131.9</v>
      </c>
    </row>
    <row r="126" spans="1:30">
      <c r="A126" s="3" t="s">
        <v>32</v>
      </c>
      <c r="B126" s="4">
        <v>2016</v>
      </c>
      <c r="C126" s="4" t="s">
        <v>38</v>
      </c>
      <c r="D126" s="4">
        <v>125.9</v>
      </c>
      <c r="E126" s="4">
        <v>143.9</v>
      </c>
      <c r="F126" s="4">
        <v>130.9</v>
      </c>
      <c r="G126" s="4">
        <v>131</v>
      </c>
      <c r="H126" s="4">
        <v>110.2</v>
      </c>
      <c r="I126" s="4">
        <v>135.5</v>
      </c>
      <c r="J126" s="4">
        <v>173.7</v>
      </c>
      <c r="K126" s="4">
        <v>184.4</v>
      </c>
      <c r="L126" s="4">
        <v>112</v>
      </c>
      <c r="M126" s="4">
        <v>142.80000000000001</v>
      </c>
      <c r="N126" s="4">
        <v>121.6</v>
      </c>
      <c r="O126" s="4">
        <v>136.9</v>
      </c>
      <c r="P126" s="4">
        <v>138.19999999999999</v>
      </c>
      <c r="Q126" s="4">
        <v>142.69999999999999</v>
      </c>
      <c r="R126" s="4">
        <v>127.6</v>
      </c>
      <c r="S126" s="4">
        <v>121.1</v>
      </c>
      <c r="T126" s="4">
        <v>126.6</v>
      </c>
      <c r="U126" s="4">
        <v>125.5</v>
      </c>
      <c r="V126" s="4">
        <v>115.5</v>
      </c>
      <c r="W126" s="4">
        <v>123.2</v>
      </c>
      <c r="X126" s="4">
        <v>120.6</v>
      </c>
      <c r="Y126" s="4">
        <v>112.3</v>
      </c>
      <c r="Z126" s="4">
        <v>119.9</v>
      </c>
      <c r="AA126" s="4">
        <v>129.30000000000001</v>
      </c>
      <c r="AB126" s="4">
        <v>118.8</v>
      </c>
      <c r="AC126" s="4">
        <v>119.6</v>
      </c>
      <c r="AD126" s="4">
        <v>128.1</v>
      </c>
    </row>
    <row r="127" spans="1:30">
      <c r="A127" s="5" t="s">
        <v>33</v>
      </c>
      <c r="B127" s="6">
        <v>2016</v>
      </c>
      <c r="C127" s="6" t="s">
        <v>38</v>
      </c>
      <c r="D127" s="6">
        <v>127.7</v>
      </c>
      <c r="E127" s="6">
        <v>140.5</v>
      </c>
      <c r="F127" s="6">
        <v>128.30000000000001</v>
      </c>
      <c r="G127" s="6">
        <v>132.6</v>
      </c>
      <c r="H127" s="6">
        <v>115.5</v>
      </c>
      <c r="I127" s="6">
        <v>136.5</v>
      </c>
      <c r="J127" s="6">
        <v>159.69999999999999</v>
      </c>
      <c r="K127" s="6">
        <v>174.3</v>
      </c>
      <c r="L127" s="6">
        <v>109.9</v>
      </c>
      <c r="M127" s="6">
        <v>136.30000000000001</v>
      </c>
      <c r="N127" s="6">
        <v>124.4</v>
      </c>
      <c r="O127" s="6">
        <v>138.1</v>
      </c>
      <c r="P127" s="6">
        <v>136.80000000000001</v>
      </c>
      <c r="Q127" s="6">
        <v>138.69999999999999</v>
      </c>
      <c r="R127" s="6">
        <v>132.9</v>
      </c>
      <c r="S127" s="6">
        <v>127.2</v>
      </c>
      <c r="T127" s="6">
        <v>132</v>
      </c>
      <c r="U127" s="6">
        <v>125.5</v>
      </c>
      <c r="V127" s="6">
        <v>123.3</v>
      </c>
      <c r="W127" s="6">
        <v>126.4</v>
      </c>
      <c r="X127" s="6">
        <v>124.1</v>
      </c>
      <c r="Y127" s="6">
        <v>114.2</v>
      </c>
      <c r="Z127" s="6">
        <v>121.7</v>
      </c>
      <c r="AA127" s="6">
        <v>129.69999999999999</v>
      </c>
      <c r="AB127" s="6">
        <v>119.4</v>
      </c>
      <c r="AC127" s="6">
        <v>121.5</v>
      </c>
      <c r="AD127" s="6">
        <v>130.1</v>
      </c>
    </row>
    <row r="128" spans="1:30">
      <c r="A128" s="3" t="s">
        <v>30</v>
      </c>
      <c r="B128" s="4">
        <v>2016</v>
      </c>
      <c r="C128" s="4" t="s">
        <v>39</v>
      </c>
      <c r="D128" s="4">
        <v>129.30000000000001</v>
      </c>
      <c r="E128" s="4">
        <v>139.5</v>
      </c>
      <c r="F128" s="4">
        <v>129.6</v>
      </c>
      <c r="G128" s="4">
        <v>134.5</v>
      </c>
      <c r="H128" s="4">
        <v>119.5</v>
      </c>
      <c r="I128" s="4">
        <v>138.5</v>
      </c>
      <c r="J128" s="4">
        <v>158.19999999999999</v>
      </c>
      <c r="K128" s="4">
        <v>171.8</v>
      </c>
      <c r="L128" s="4">
        <v>110.3</v>
      </c>
      <c r="M128" s="4">
        <v>134.30000000000001</v>
      </c>
      <c r="N128" s="4">
        <v>127.3</v>
      </c>
      <c r="O128" s="4">
        <v>139.9</v>
      </c>
      <c r="P128" s="4">
        <v>137.6</v>
      </c>
      <c r="Q128" s="4">
        <v>138</v>
      </c>
      <c r="R128" s="4">
        <v>137.19999999999999</v>
      </c>
      <c r="S128" s="4">
        <v>132.19999999999999</v>
      </c>
      <c r="T128" s="4">
        <v>136.5</v>
      </c>
      <c r="U128" s="4">
        <v>126.85000000000001</v>
      </c>
      <c r="V128" s="4">
        <v>128.19999999999999</v>
      </c>
      <c r="W128" s="4">
        <v>130</v>
      </c>
      <c r="X128" s="4">
        <v>126.7</v>
      </c>
      <c r="Y128" s="4">
        <v>116.4</v>
      </c>
      <c r="Z128" s="4">
        <v>125.2</v>
      </c>
      <c r="AA128" s="4">
        <v>130.80000000000001</v>
      </c>
      <c r="AB128" s="4">
        <v>120.9</v>
      </c>
      <c r="AC128" s="4">
        <v>123.8</v>
      </c>
      <c r="AD128" s="4">
        <v>133</v>
      </c>
    </row>
    <row r="129" spans="1:30">
      <c r="A129" s="5" t="s">
        <v>32</v>
      </c>
      <c r="B129" s="6">
        <v>2016</v>
      </c>
      <c r="C129" s="6" t="s">
        <v>39</v>
      </c>
      <c r="D129" s="6">
        <v>126.8</v>
      </c>
      <c r="E129" s="6">
        <v>144.19999999999999</v>
      </c>
      <c r="F129" s="6">
        <v>136.6</v>
      </c>
      <c r="G129" s="6">
        <v>131.80000000000001</v>
      </c>
      <c r="H129" s="6">
        <v>111</v>
      </c>
      <c r="I129" s="6">
        <v>137</v>
      </c>
      <c r="J129" s="6">
        <v>179.5</v>
      </c>
      <c r="K129" s="6">
        <v>188.4</v>
      </c>
      <c r="L129" s="6">
        <v>113.3</v>
      </c>
      <c r="M129" s="6">
        <v>143.9</v>
      </c>
      <c r="N129" s="6">
        <v>121.7</v>
      </c>
      <c r="O129" s="6">
        <v>137.5</v>
      </c>
      <c r="P129" s="6">
        <v>139.80000000000001</v>
      </c>
      <c r="Q129" s="6">
        <v>142.9</v>
      </c>
      <c r="R129" s="6">
        <v>127.9</v>
      </c>
      <c r="S129" s="6">
        <v>121.1</v>
      </c>
      <c r="T129" s="6">
        <v>126.9</v>
      </c>
      <c r="U129" s="6">
        <v>126.4</v>
      </c>
      <c r="V129" s="6">
        <v>115.5</v>
      </c>
      <c r="W129" s="6">
        <v>123.5</v>
      </c>
      <c r="X129" s="6">
        <v>120.9</v>
      </c>
      <c r="Y129" s="6">
        <v>111.7</v>
      </c>
      <c r="Z129" s="6">
        <v>120.3</v>
      </c>
      <c r="AA129" s="6">
        <v>130.80000000000001</v>
      </c>
      <c r="AB129" s="6">
        <v>120</v>
      </c>
      <c r="AC129" s="6">
        <v>119.9</v>
      </c>
      <c r="AD129" s="6">
        <v>129</v>
      </c>
    </row>
    <row r="130" spans="1:30">
      <c r="A130" s="3" t="s">
        <v>33</v>
      </c>
      <c r="B130" s="4">
        <v>2016</v>
      </c>
      <c r="C130" s="4" t="s">
        <v>39</v>
      </c>
      <c r="D130" s="4">
        <v>128.5</v>
      </c>
      <c r="E130" s="4">
        <v>141.19999999999999</v>
      </c>
      <c r="F130" s="4">
        <v>132.30000000000001</v>
      </c>
      <c r="G130" s="4">
        <v>133.5</v>
      </c>
      <c r="H130" s="4">
        <v>116.4</v>
      </c>
      <c r="I130" s="4">
        <v>137.80000000000001</v>
      </c>
      <c r="J130" s="4">
        <v>165.4</v>
      </c>
      <c r="K130" s="4">
        <v>177.4</v>
      </c>
      <c r="L130" s="4">
        <v>111.3</v>
      </c>
      <c r="M130" s="4">
        <v>137.5</v>
      </c>
      <c r="N130" s="4">
        <v>125</v>
      </c>
      <c r="O130" s="4">
        <v>138.80000000000001</v>
      </c>
      <c r="P130" s="4">
        <v>138.4</v>
      </c>
      <c r="Q130" s="4">
        <v>139.30000000000001</v>
      </c>
      <c r="R130" s="4">
        <v>133.5</v>
      </c>
      <c r="S130" s="4">
        <v>127.6</v>
      </c>
      <c r="T130" s="4">
        <v>132.69999999999999</v>
      </c>
      <c r="U130" s="4">
        <v>126.4</v>
      </c>
      <c r="V130" s="4">
        <v>123.4</v>
      </c>
      <c r="W130" s="4">
        <v>126.9</v>
      </c>
      <c r="X130" s="4">
        <v>124.5</v>
      </c>
      <c r="Y130" s="4">
        <v>113.9</v>
      </c>
      <c r="Z130" s="4">
        <v>122.4</v>
      </c>
      <c r="AA130" s="4">
        <v>130.80000000000001</v>
      </c>
      <c r="AB130" s="4">
        <v>120.5</v>
      </c>
      <c r="AC130" s="4">
        <v>121.9</v>
      </c>
      <c r="AD130" s="4">
        <v>131.1</v>
      </c>
    </row>
    <row r="131" spans="1:30">
      <c r="A131" s="5" t="s">
        <v>30</v>
      </c>
      <c r="B131" s="6">
        <v>2016</v>
      </c>
      <c r="C131" s="6" t="s">
        <v>40</v>
      </c>
      <c r="D131" s="6">
        <v>130.1</v>
      </c>
      <c r="E131" s="6">
        <v>138.80000000000001</v>
      </c>
      <c r="F131" s="6">
        <v>130.30000000000001</v>
      </c>
      <c r="G131" s="6">
        <v>135.30000000000001</v>
      </c>
      <c r="H131" s="6">
        <v>119.9</v>
      </c>
      <c r="I131" s="6">
        <v>140.19999999999999</v>
      </c>
      <c r="J131" s="6">
        <v>156.9</v>
      </c>
      <c r="K131" s="6">
        <v>172.2</v>
      </c>
      <c r="L131" s="6">
        <v>112.1</v>
      </c>
      <c r="M131" s="6">
        <v>134.9</v>
      </c>
      <c r="N131" s="6">
        <v>128.1</v>
      </c>
      <c r="O131" s="6">
        <v>140.69999999999999</v>
      </c>
      <c r="P131" s="6">
        <v>138</v>
      </c>
      <c r="Q131" s="6">
        <v>138.9</v>
      </c>
      <c r="R131" s="6">
        <v>137.80000000000001</v>
      </c>
      <c r="S131" s="6">
        <v>133</v>
      </c>
      <c r="T131" s="6">
        <v>137.1</v>
      </c>
      <c r="U131" s="6">
        <v>126.85</v>
      </c>
      <c r="V131" s="6">
        <v>129.1</v>
      </c>
      <c r="W131" s="6">
        <v>130.6</v>
      </c>
      <c r="X131" s="6">
        <v>127</v>
      </c>
      <c r="Y131" s="6">
        <v>116</v>
      </c>
      <c r="Z131" s="6">
        <v>125.5</v>
      </c>
      <c r="AA131" s="6">
        <v>131.9</v>
      </c>
      <c r="AB131" s="6">
        <v>122</v>
      </c>
      <c r="AC131" s="6">
        <v>124.2</v>
      </c>
      <c r="AD131" s="6">
        <v>133.5</v>
      </c>
    </row>
    <row r="132" spans="1:30">
      <c r="A132" s="3" t="s">
        <v>32</v>
      </c>
      <c r="B132" s="4">
        <v>2016</v>
      </c>
      <c r="C132" s="4" t="s">
        <v>40</v>
      </c>
      <c r="D132" s="4">
        <v>127.6</v>
      </c>
      <c r="E132" s="4">
        <v>140.30000000000001</v>
      </c>
      <c r="F132" s="4">
        <v>133.69999999999999</v>
      </c>
      <c r="G132" s="4">
        <v>132.19999999999999</v>
      </c>
      <c r="H132" s="4">
        <v>111.8</v>
      </c>
      <c r="I132" s="4">
        <v>135.80000000000001</v>
      </c>
      <c r="J132" s="4">
        <v>163.5</v>
      </c>
      <c r="K132" s="4">
        <v>182.3</v>
      </c>
      <c r="L132" s="4">
        <v>114.6</v>
      </c>
      <c r="M132" s="4">
        <v>144.6</v>
      </c>
      <c r="N132" s="4">
        <v>121.9</v>
      </c>
      <c r="O132" s="4">
        <v>138.1</v>
      </c>
      <c r="P132" s="4">
        <v>137.6</v>
      </c>
      <c r="Q132" s="4">
        <v>143.6</v>
      </c>
      <c r="R132" s="4">
        <v>128.30000000000001</v>
      </c>
      <c r="S132" s="4">
        <v>121.4</v>
      </c>
      <c r="T132" s="4">
        <v>127.3</v>
      </c>
      <c r="U132" s="4">
        <v>127.3</v>
      </c>
      <c r="V132" s="4">
        <v>114.7</v>
      </c>
      <c r="W132" s="4">
        <v>123.9</v>
      </c>
      <c r="X132" s="4">
        <v>121.2</v>
      </c>
      <c r="Y132" s="4">
        <v>110.4</v>
      </c>
      <c r="Z132" s="4">
        <v>120.6</v>
      </c>
      <c r="AA132" s="4">
        <v>131.5</v>
      </c>
      <c r="AB132" s="4">
        <v>120.9</v>
      </c>
      <c r="AC132" s="4">
        <v>119.9</v>
      </c>
      <c r="AD132" s="4">
        <v>128.4</v>
      </c>
    </row>
    <row r="133" spans="1:30">
      <c r="A133" s="5" t="s">
        <v>33</v>
      </c>
      <c r="B133" s="6">
        <v>2016</v>
      </c>
      <c r="C133" s="6" t="s">
        <v>40</v>
      </c>
      <c r="D133" s="6">
        <v>129.30000000000001</v>
      </c>
      <c r="E133" s="6">
        <v>139.30000000000001</v>
      </c>
      <c r="F133" s="6">
        <v>131.6</v>
      </c>
      <c r="G133" s="6">
        <v>134.1</v>
      </c>
      <c r="H133" s="6">
        <v>116.9</v>
      </c>
      <c r="I133" s="6">
        <v>138.1</v>
      </c>
      <c r="J133" s="6">
        <v>159.1</v>
      </c>
      <c r="K133" s="6">
        <v>175.6</v>
      </c>
      <c r="L133" s="6">
        <v>112.9</v>
      </c>
      <c r="M133" s="6">
        <v>138.1</v>
      </c>
      <c r="N133" s="6">
        <v>125.5</v>
      </c>
      <c r="O133" s="6">
        <v>139.5</v>
      </c>
      <c r="P133" s="6">
        <v>137.9</v>
      </c>
      <c r="Q133" s="6">
        <v>140.19999999999999</v>
      </c>
      <c r="R133" s="6">
        <v>134.1</v>
      </c>
      <c r="S133" s="6">
        <v>128.19999999999999</v>
      </c>
      <c r="T133" s="6">
        <v>133.19999999999999</v>
      </c>
      <c r="U133" s="6">
        <v>127.3</v>
      </c>
      <c r="V133" s="6">
        <v>123.6</v>
      </c>
      <c r="W133" s="6">
        <v>127.4</v>
      </c>
      <c r="X133" s="6">
        <v>124.8</v>
      </c>
      <c r="Y133" s="6">
        <v>113.1</v>
      </c>
      <c r="Z133" s="6">
        <v>122.7</v>
      </c>
      <c r="AA133" s="6">
        <v>131.69999999999999</v>
      </c>
      <c r="AB133" s="6">
        <v>121.5</v>
      </c>
      <c r="AC133" s="6">
        <v>122.1</v>
      </c>
      <c r="AD133" s="6">
        <v>131.1</v>
      </c>
    </row>
    <row r="134" spans="1:30">
      <c r="A134" s="3" t="s">
        <v>30</v>
      </c>
      <c r="B134" s="4">
        <v>2016</v>
      </c>
      <c r="C134" s="4" t="s">
        <v>41</v>
      </c>
      <c r="D134" s="4">
        <v>130.80000000000001</v>
      </c>
      <c r="E134" s="4">
        <v>138.19999999999999</v>
      </c>
      <c r="F134" s="4">
        <v>130.5</v>
      </c>
      <c r="G134" s="4">
        <v>135.5</v>
      </c>
      <c r="H134" s="4">
        <v>120.2</v>
      </c>
      <c r="I134" s="4">
        <v>139.19999999999999</v>
      </c>
      <c r="J134" s="4">
        <v>149.5</v>
      </c>
      <c r="K134" s="4">
        <v>170.4</v>
      </c>
      <c r="L134" s="4">
        <v>113.1</v>
      </c>
      <c r="M134" s="4">
        <v>135.80000000000001</v>
      </c>
      <c r="N134" s="4">
        <v>128.80000000000001</v>
      </c>
      <c r="O134" s="4">
        <v>141.5</v>
      </c>
      <c r="P134" s="4">
        <v>137.19999999999999</v>
      </c>
      <c r="Q134" s="4">
        <v>139.9</v>
      </c>
      <c r="R134" s="4">
        <v>138.5</v>
      </c>
      <c r="S134" s="4">
        <v>133.5</v>
      </c>
      <c r="T134" s="4">
        <v>137.80000000000001</v>
      </c>
      <c r="U134" s="4">
        <v>128.30000000000001</v>
      </c>
      <c r="V134" s="4">
        <v>129.69999999999999</v>
      </c>
      <c r="W134" s="4">
        <v>131.1</v>
      </c>
      <c r="X134" s="4">
        <v>127.8</v>
      </c>
      <c r="Y134" s="4">
        <v>117</v>
      </c>
      <c r="Z134" s="4">
        <v>125.7</v>
      </c>
      <c r="AA134" s="4">
        <v>132.19999999999999</v>
      </c>
      <c r="AB134" s="4">
        <v>122.8</v>
      </c>
      <c r="AC134" s="4">
        <v>124.9</v>
      </c>
      <c r="AD134" s="4">
        <v>133.4</v>
      </c>
    </row>
    <row r="135" spans="1:30">
      <c r="A135" s="5" t="s">
        <v>32</v>
      </c>
      <c r="B135" s="6">
        <v>2016</v>
      </c>
      <c r="C135" s="6" t="s">
        <v>41</v>
      </c>
      <c r="D135" s="6">
        <v>128.1</v>
      </c>
      <c r="E135" s="6">
        <v>137.69999999999999</v>
      </c>
      <c r="F135" s="6">
        <v>130.6</v>
      </c>
      <c r="G135" s="6">
        <v>132.6</v>
      </c>
      <c r="H135" s="6">
        <v>111.9</v>
      </c>
      <c r="I135" s="6">
        <v>132.5</v>
      </c>
      <c r="J135" s="6">
        <v>152.9</v>
      </c>
      <c r="K135" s="6">
        <v>173.6</v>
      </c>
      <c r="L135" s="6">
        <v>115.1</v>
      </c>
      <c r="M135" s="6">
        <v>144.80000000000001</v>
      </c>
      <c r="N135" s="6">
        <v>122.1</v>
      </c>
      <c r="O135" s="6">
        <v>138.80000000000001</v>
      </c>
      <c r="P135" s="6">
        <v>135.69999999999999</v>
      </c>
      <c r="Q135" s="6">
        <v>143.9</v>
      </c>
      <c r="R135" s="6">
        <v>128.69999999999999</v>
      </c>
      <c r="S135" s="6">
        <v>121.6</v>
      </c>
      <c r="T135" s="6">
        <v>127.7</v>
      </c>
      <c r="U135" s="6">
        <v>127.9</v>
      </c>
      <c r="V135" s="6">
        <v>114.8</v>
      </c>
      <c r="W135" s="6">
        <v>124.3</v>
      </c>
      <c r="X135" s="6">
        <v>121.4</v>
      </c>
      <c r="Y135" s="6">
        <v>111.8</v>
      </c>
      <c r="Z135" s="6">
        <v>120.8</v>
      </c>
      <c r="AA135" s="6">
        <v>131.6</v>
      </c>
      <c r="AB135" s="6">
        <v>121.2</v>
      </c>
      <c r="AC135" s="6">
        <v>120.5</v>
      </c>
      <c r="AD135" s="6">
        <v>128</v>
      </c>
    </row>
    <row r="136" spans="1:30">
      <c r="A136" s="3" t="s">
        <v>33</v>
      </c>
      <c r="B136" s="4">
        <v>2016</v>
      </c>
      <c r="C136" s="4" t="s">
        <v>41</v>
      </c>
      <c r="D136" s="4">
        <v>129.9</v>
      </c>
      <c r="E136" s="4">
        <v>138</v>
      </c>
      <c r="F136" s="4">
        <v>130.5</v>
      </c>
      <c r="G136" s="4">
        <v>134.4</v>
      </c>
      <c r="H136" s="4">
        <v>117.2</v>
      </c>
      <c r="I136" s="4">
        <v>136.1</v>
      </c>
      <c r="J136" s="4">
        <v>150.69999999999999</v>
      </c>
      <c r="K136" s="4">
        <v>171.5</v>
      </c>
      <c r="L136" s="4">
        <v>113.8</v>
      </c>
      <c r="M136" s="4">
        <v>138.80000000000001</v>
      </c>
      <c r="N136" s="4">
        <v>126</v>
      </c>
      <c r="O136" s="4">
        <v>140.19999999999999</v>
      </c>
      <c r="P136" s="4">
        <v>136.6</v>
      </c>
      <c r="Q136" s="4">
        <v>141</v>
      </c>
      <c r="R136" s="4">
        <v>134.6</v>
      </c>
      <c r="S136" s="4">
        <v>128.6</v>
      </c>
      <c r="T136" s="4">
        <v>133.80000000000001</v>
      </c>
      <c r="U136" s="4">
        <v>127.9</v>
      </c>
      <c r="V136" s="4">
        <v>124.1</v>
      </c>
      <c r="W136" s="4">
        <v>127.9</v>
      </c>
      <c r="X136" s="4">
        <v>125.4</v>
      </c>
      <c r="Y136" s="4">
        <v>114.3</v>
      </c>
      <c r="Z136" s="4">
        <v>122.9</v>
      </c>
      <c r="AA136" s="4">
        <v>131.80000000000001</v>
      </c>
      <c r="AB136" s="4">
        <v>122.1</v>
      </c>
      <c r="AC136" s="4">
        <v>122.8</v>
      </c>
      <c r="AD136" s="4">
        <v>130.9</v>
      </c>
    </row>
    <row r="137" spans="1:30">
      <c r="A137" s="5" t="s">
        <v>30</v>
      </c>
      <c r="B137" s="6">
        <v>2016</v>
      </c>
      <c r="C137" s="6" t="s">
        <v>42</v>
      </c>
      <c r="D137" s="6">
        <v>131.30000000000001</v>
      </c>
      <c r="E137" s="6">
        <v>137.6</v>
      </c>
      <c r="F137" s="6">
        <v>130.1</v>
      </c>
      <c r="G137" s="6">
        <v>136</v>
      </c>
      <c r="H137" s="6">
        <v>120.8</v>
      </c>
      <c r="I137" s="6">
        <v>138.4</v>
      </c>
      <c r="J137" s="6">
        <v>149.19999999999999</v>
      </c>
      <c r="K137" s="6">
        <v>170.2</v>
      </c>
      <c r="L137" s="6">
        <v>113.4</v>
      </c>
      <c r="M137" s="6">
        <v>136.30000000000001</v>
      </c>
      <c r="N137" s="6">
        <v>128.69999999999999</v>
      </c>
      <c r="O137" s="6">
        <v>142.4</v>
      </c>
      <c r="P137" s="6">
        <v>137.4</v>
      </c>
      <c r="Q137" s="6">
        <v>140.9</v>
      </c>
      <c r="R137" s="6">
        <v>139.6</v>
      </c>
      <c r="S137" s="6">
        <v>134.30000000000001</v>
      </c>
      <c r="T137" s="6">
        <v>138.80000000000001</v>
      </c>
      <c r="U137" s="6">
        <v>128.30000000000001</v>
      </c>
      <c r="V137" s="6">
        <v>129.80000000000001</v>
      </c>
      <c r="W137" s="6">
        <v>131.80000000000001</v>
      </c>
      <c r="X137" s="6">
        <v>128.69999999999999</v>
      </c>
      <c r="Y137" s="6">
        <v>117.8</v>
      </c>
      <c r="Z137" s="6">
        <v>126.5</v>
      </c>
      <c r="AA137" s="6">
        <v>133</v>
      </c>
      <c r="AB137" s="6">
        <v>123</v>
      </c>
      <c r="AC137" s="6">
        <v>125.7</v>
      </c>
      <c r="AD137" s="6">
        <v>133.80000000000001</v>
      </c>
    </row>
    <row r="138" spans="1:30">
      <c r="A138" s="3" t="s">
        <v>32</v>
      </c>
      <c r="B138" s="4">
        <v>2016</v>
      </c>
      <c r="C138" s="4" t="s">
        <v>42</v>
      </c>
      <c r="D138" s="4">
        <v>128.69999999999999</v>
      </c>
      <c r="E138" s="4">
        <v>138.4</v>
      </c>
      <c r="F138" s="4">
        <v>130.30000000000001</v>
      </c>
      <c r="G138" s="4">
        <v>132.69999999999999</v>
      </c>
      <c r="H138" s="4">
        <v>112.5</v>
      </c>
      <c r="I138" s="4">
        <v>130.4</v>
      </c>
      <c r="J138" s="4">
        <v>155.1</v>
      </c>
      <c r="K138" s="4">
        <v>175.7</v>
      </c>
      <c r="L138" s="4">
        <v>115.4</v>
      </c>
      <c r="M138" s="4">
        <v>145.30000000000001</v>
      </c>
      <c r="N138" s="4">
        <v>122.5</v>
      </c>
      <c r="O138" s="4">
        <v>139.6</v>
      </c>
      <c r="P138" s="4">
        <v>136.30000000000001</v>
      </c>
      <c r="Q138" s="4">
        <v>144.30000000000001</v>
      </c>
      <c r="R138" s="4">
        <v>129.1</v>
      </c>
      <c r="S138" s="4">
        <v>121.9</v>
      </c>
      <c r="T138" s="4">
        <v>128</v>
      </c>
      <c r="U138" s="4">
        <v>128.69999999999999</v>
      </c>
      <c r="V138" s="4">
        <v>115.2</v>
      </c>
      <c r="W138" s="4">
        <v>124.5</v>
      </c>
      <c r="X138" s="4">
        <v>121.8</v>
      </c>
      <c r="Y138" s="4">
        <v>112.8</v>
      </c>
      <c r="Z138" s="4">
        <v>121.2</v>
      </c>
      <c r="AA138" s="4">
        <v>131.9</v>
      </c>
      <c r="AB138" s="4">
        <v>120.8</v>
      </c>
      <c r="AC138" s="4">
        <v>120.9</v>
      </c>
      <c r="AD138" s="4">
        <v>128.6</v>
      </c>
    </row>
    <row r="139" spans="1:30">
      <c r="A139" s="5" t="s">
        <v>33</v>
      </c>
      <c r="B139" s="6">
        <v>2016</v>
      </c>
      <c r="C139" s="6" t="s">
        <v>42</v>
      </c>
      <c r="D139" s="6">
        <v>130.5</v>
      </c>
      <c r="E139" s="6">
        <v>137.9</v>
      </c>
      <c r="F139" s="6">
        <v>130.19999999999999</v>
      </c>
      <c r="G139" s="6">
        <v>134.80000000000001</v>
      </c>
      <c r="H139" s="6">
        <v>117.8</v>
      </c>
      <c r="I139" s="6">
        <v>134.69999999999999</v>
      </c>
      <c r="J139" s="6">
        <v>151.19999999999999</v>
      </c>
      <c r="K139" s="6">
        <v>172.1</v>
      </c>
      <c r="L139" s="6">
        <v>114.1</v>
      </c>
      <c r="M139" s="6">
        <v>139.30000000000001</v>
      </c>
      <c r="N139" s="6">
        <v>126.1</v>
      </c>
      <c r="O139" s="6">
        <v>141.1</v>
      </c>
      <c r="P139" s="6">
        <v>137</v>
      </c>
      <c r="Q139" s="6">
        <v>141.80000000000001</v>
      </c>
      <c r="R139" s="6">
        <v>135.5</v>
      </c>
      <c r="S139" s="6">
        <v>129.1</v>
      </c>
      <c r="T139" s="6">
        <v>134.5</v>
      </c>
      <c r="U139" s="6">
        <v>128.69999999999999</v>
      </c>
      <c r="V139" s="6">
        <v>124.3</v>
      </c>
      <c r="W139" s="6">
        <v>128.4</v>
      </c>
      <c r="X139" s="6">
        <v>126.1</v>
      </c>
      <c r="Y139" s="6">
        <v>115.2</v>
      </c>
      <c r="Z139" s="6">
        <v>123.5</v>
      </c>
      <c r="AA139" s="6">
        <v>132.4</v>
      </c>
      <c r="AB139" s="6">
        <v>122.1</v>
      </c>
      <c r="AC139" s="6">
        <v>123.4</v>
      </c>
      <c r="AD139" s="6">
        <v>131.4</v>
      </c>
    </row>
    <row r="140" spans="1:30">
      <c r="A140" s="3" t="s">
        <v>30</v>
      </c>
      <c r="B140" s="4">
        <v>2016</v>
      </c>
      <c r="C140" s="4" t="s">
        <v>43</v>
      </c>
      <c r="D140" s="4">
        <v>132</v>
      </c>
      <c r="E140" s="4">
        <v>137.4</v>
      </c>
      <c r="F140" s="4">
        <v>130.6</v>
      </c>
      <c r="G140" s="4">
        <v>136.19999999999999</v>
      </c>
      <c r="H140" s="4">
        <v>121.1</v>
      </c>
      <c r="I140" s="4">
        <v>136.9</v>
      </c>
      <c r="J140" s="4">
        <v>141.80000000000001</v>
      </c>
      <c r="K140" s="4">
        <v>170</v>
      </c>
      <c r="L140" s="4">
        <v>113.4</v>
      </c>
      <c r="M140" s="4">
        <v>136.80000000000001</v>
      </c>
      <c r="N140" s="4">
        <v>128.69999999999999</v>
      </c>
      <c r="O140" s="4">
        <v>143.1</v>
      </c>
      <c r="P140" s="4">
        <v>136.6</v>
      </c>
      <c r="Q140" s="4">
        <v>141.19999999999999</v>
      </c>
      <c r="R140" s="4">
        <v>139.9</v>
      </c>
      <c r="S140" s="4">
        <v>134.5</v>
      </c>
      <c r="T140" s="4">
        <v>139.19999999999999</v>
      </c>
      <c r="U140" s="4">
        <v>128.80000000000001</v>
      </c>
      <c r="V140" s="4">
        <v>130.30000000000001</v>
      </c>
      <c r="W140" s="4">
        <v>132.1</v>
      </c>
      <c r="X140" s="4">
        <v>129.1</v>
      </c>
      <c r="Y140" s="4">
        <v>118.2</v>
      </c>
      <c r="Z140" s="4">
        <v>126.9</v>
      </c>
      <c r="AA140" s="4">
        <v>133.69999999999999</v>
      </c>
      <c r="AB140" s="4">
        <v>123.5</v>
      </c>
      <c r="AC140" s="4">
        <v>126.1</v>
      </c>
      <c r="AD140" s="4">
        <v>133.6</v>
      </c>
    </row>
    <row r="141" spans="1:30">
      <c r="A141" s="5" t="s">
        <v>32</v>
      </c>
      <c r="B141" s="6">
        <v>2016</v>
      </c>
      <c r="C141" s="6" t="s">
        <v>43</v>
      </c>
      <c r="D141" s="6">
        <v>130.19999999999999</v>
      </c>
      <c r="E141" s="6">
        <v>138.5</v>
      </c>
      <c r="F141" s="6">
        <v>134.1</v>
      </c>
      <c r="G141" s="6">
        <v>132.9</v>
      </c>
      <c r="H141" s="6">
        <v>112.6</v>
      </c>
      <c r="I141" s="6">
        <v>130.80000000000001</v>
      </c>
      <c r="J141" s="6">
        <v>142</v>
      </c>
      <c r="K141" s="6">
        <v>174.9</v>
      </c>
      <c r="L141" s="6">
        <v>115.6</v>
      </c>
      <c r="M141" s="6">
        <v>145.4</v>
      </c>
      <c r="N141" s="6">
        <v>122.7</v>
      </c>
      <c r="O141" s="6">
        <v>140.30000000000001</v>
      </c>
      <c r="P141" s="6">
        <v>135.19999999999999</v>
      </c>
      <c r="Q141" s="6">
        <v>144.30000000000001</v>
      </c>
      <c r="R141" s="6">
        <v>129.6</v>
      </c>
      <c r="S141" s="6">
        <v>122.1</v>
      </c>
      <c r="T141" s="6">
        <v>128.5</v>
      </c>
      <c r="U141" s="6">
        <v>129.1</v>
      </c>
      <c r="V141" s="6">
        <v>116.2</v>
      </c>
      <c r="W141" s="6">
        <v>124.7</v>
      </c>
      <c r="X141" s="6">
        <v>122.1</v>
      </c>
      <c r="Y141" s="6">
        <v>113.4</v>
      </c>
      <c r="Z141" s="6">
        <v>121.7</v>
      </c>
      <c r="AA141" s="6">
        <v>132.1</v>
      </c>
      <c r="AB141" s="6">
        <v>121.3</v>
      </c>
      <c r="AC141" s="6">
        <v>121.3</v>
      </c>
      <c r="AD141" s="6">
        <v>128.5</v>
      </c>
    </row>
    <row r="142" spans="1:30">
      <c r="A142" s="3" t="s">
        <v>33</v>
      </c>
      <c r="B142" s="4">
        <v>2016</v>
      </c>
      <c r="C142" s="4" t="s">
        <v>43</v>
      </c>
      <c r="D142" s="4">
        <v>131.4</v>
      </c>
      <c r="E142" s="4">
        <v>137.80000000000001</v>
      </c>
      <c r="F142" s="4">
        <v>132</v>
      </c>
      <c r="G142" s="4">
        <v>135</v>
      </c>
      <c r="H142" s="4">
        <v>118</v>
      </c>
      <c r="I142" s="4">
        <v>134.1</v>
      </c>
      <c r="J142" s="4">
        <v>141.9</v>
      </c>
      <c r="K142" s="4">
        <v>171.7</v>
      </c>
      <c r="L142" s="4">
        <v>114.1</v>
      </c>
      <c r="M142" s="4">
        <v>139.69999999999999</v>
      </c>
      <c r="N142" s="4">
        <v>126.2</v>
      </c>
      <c r="O142" s="4">
        <v>141.80000000000001</v>
      </c>
      <c r="P142" s="4">
        <v>136.1</v>
      </c>
      <c r="Q142" s="4">
        <v>142</v>
      </c>
      <c r="R142" s="4">
        <v>135.80000000000001</v>
      </c>
      <c r="S142" s="4">
        <v>129.30000000000001</v>
      </c>
      <c r="T142" s="4">
        <v>135</v>
      </c>
      <c r="U142" s="4">
        <v>129.1</v>
      </c>
      <c r="V142" s="4">
        <v>125</v>
      </c>
      <c r="W142" s="4">
        <v>128.6</v>
      </c>
      <c r="X142" s="4">
        <v>126.4</v>
      </c>
      <c r="Y142" s="4">
        <v>115.7</v>
      </c>
      <c r="Z142" s="4">
        <v>124</v>
      </c>
      <c r="AA142" s="4">
        <v>132.80000000000001</v>
      </c>
      <c r="AB142" s="4">
        <v>122.6</v>
      </c>
      <c r="AC142" s="4">
        <v>123.8</v>
      </c>
      <c r="AD142" s="4">
        <v>131.19999999999999</v>
      </c>
    </row>
    <row r="143" spans="1:30">
      <c r="A143" s="5" t="s">
        <v>30</v>
      </c>
      <c r="B143" s="6">
        <v>2016</v>
      </c>
      <c r="C143" s="6" t="s">
        <v>44</v>
      </c>
      <c r="D143" s="6">
        <v>132.6</v>
      </c>
      <c r="E143" s="6">
        <v>137.30000000000001</v>
      </c>
      <c r="F143" s="6">
        <v>131.6</v>
      </c>
      <c r="G143" s="6">
        <v>136.30000000000001</v>
      </c>
      <c r="H143" s="6">
        <v>121.6</v>
      </c>
      <c r="I143" s="6">
        <v>135.6</v>
      </c>
      <c r="J143" s="6">
        <v>127.5</v>
      </c>
      <c r="K143" s="6">
        <v>167.9</v>
      </c>
      <c r="L143" s="6">
        <v>113.8</v>
      </c>
      <c r="M143" s="6">
        <v>137.5</v>
      </c>
      <c r="N143" s="6">
        <v>129.1</v>
      </c>
      <c r="O143" s="6">
        <v>143.6</v>
      </c>
      <c r="P143" s="6">
        <v>134.69999999999999</v>
      </c>
      <c r="Q143" s="6">
        <v>142.4</v>
      </c>
      <c r="R143" s="6">
        <v>140.4</v>
      </c>
      <c r="S143" s="6">
        <v>135.19999999999999</v>
      </c>
      <c r="T143" s="6">
        <v>139.69999999999999</v>
      </c>
      <c r="U143" s="6">
        <v>128.80000000000001</v>
      </c>
      <c r="V143" s="6">
        <v>132</v>
      </c>
      <c r="W143" s="6">
        <v>132.9</v>
      </c>
      <c r="X143" s="6">
        <v>129.69999999999999</v>
      </c>
      <c r="Y143" s="6">
        <v>118.6</v>
      </c>
      <c r="Z143" s="6">
        <v>127.3</v>
      </c>
      <c r="AA143" s="6">
        <v>134.19999999999999</v>
      </c>
      <c r="AB143" s="6">
        <v>121.9</v>
      </c>
      <c r="AC143" s="6">
        <v>126.3</v>
      </c>
      <c r="AD143" s="6">
        <v>132.80000000000001</v>
      </c>
    </row>
    <row r="144" spans="1:30">
      <c r="A144" s="3" t="s">
        <v>32</v>
      </c>
      <c r="B144" s="4">
        <v>2016</v>
      </c>
      <c r="C144" s="4" t="s">
        <v>44</v>
      </c>
      <c r="D144" s="4">
        <v>131.6</v>
      </c>
      <c r="E144" s="4">
        <v>138.19999999999999</v>
      </c>
      <c r="F144" s="4">
        <v>134.9</v>
      </c>
      <c r="G144" s="4">
        <v>133.1</v>
      </c>
      <c r="H144" s="4">
        <v>113.5</v>
      </c>
      <c r="I144" s="4">
        <v>129.30000000000001</v>
      </c>
      <c r="J144" s="4">
        <v>121.1</v>
      </c>
      <c r="K144" s="4">
        <v>170.3</v>
      </c>
      <c r="L144" s="4">
        <v>115.5</v>
      </c>
      <c r="M144" s="4">
        <v>145.5</v>
      </c>
      <c r="N144" s="4">
        <v>123.1</v>
      </c>
      <c r="O144" s="4">
        <v>140.9</v>
      </c>
      <c r="P144" s="4">
        <v>132.80000000000001</v>
      </c>
      <c r="Q144" s="4">
        <v>145</v>
      </c>
      <c r="R144" s="4">
        <v>130</v>
      </c>
      <c r="S144" s="4">
        <v>122.2</v>
      </c>
      <c r="T144" s="4">
        <v>128.80000000000001</v>
      </c>
      <c r="U144" s="4">
        <v>128.5</v>
      </c>
      <c r="V144" s="4">
        <v>117.8</v>
      </c>
      <c r="W144" s="4">
        <v>125</v>
      </c>
      <c r="X144" s="4">
        <v>122.3</v>
      </c>
      <c r="Y144" s="4">
        <v>113.7</v>
      </c>
      <c r="Z144" s="4">
        <v>121.8</v>
      </c>
      <c r="AA144" s="4">
        <v>132.30000000000001</v>
      </c>
      <c r="AB144" s="4">
        <v>119.9</v>
      </c>
      <c r="AC144" s="4">
        <v>121.4</v>
      </c>
      <c r="AD144" s="4">
        <v>127.6</v>
      </c>
    </row>
    <row r="145" spans="1:30">
      <c r="A145" s="5" t="s">
        <v>33</v>
      </c>
      <c r="B145" s="6">
        <v>2016</v>
      </c>
      <c r="C145" s="6" t="s">
        <v>44</v>
      </c>
      <c r="D145" s="6">
        <v>132.30000000000001</v>
      </c>
      <c r="E145" s="6">
        <v>137.6</v>
      </c>
      <c r="F145" s="6">
        <v>132.9</v>
      </c>
      <c r="G145" s="6">
        <v>135.1</v>
      </c>
      <c r="H145" s="6">
        <v>118.6</v>
      </c>
      <c r="I145" s="6">
        <v>132.69999999999999</v>
      </c>
      <c r="J145" s="6">
        <v>125.3</v>
      </c>
      <c r="K145" s="6">
        <v>168.7</v>
      </c>
      <c r="L145" s="6">
        <v>114.4</v>
      </c>
      <c r="M145" s="6">
        <v>140.19999999999999</v>
      </c>
      <c r="N145" s="6">
        <v>126.6</v>
      </c>
      <c r="O145" s="6">
        <v>142.30000000000001</v>
      </c>
      <c r="P145" s="6">
        <v>134</v>
      </c>
      <c r="Q145" s="6">
        <v>143.1</v>
      </c>
      <c r="R145" s="6">
        <v>136.30000000000001</v>
      </c>
      <c r="S145" s="6">
        <v>129.80000000000001</v>
      </c>
      <c r="T145" s="6">
        <v>135.4</v>
      </c>
      <c r="U145" s="6">
        <v>128.5</v>
      </c>
      <c r="V145" s="6">
        <v>126.6</v>
      </c>
      <c r="W145" s="6">
        <v>129.19999999999999</v>
      </c>
      <c r="X145" s="6">
        <v>126.9</v>
      </c>
      <c r="Y145" s="6">
        <v>116</v>
      </c>
      <c r="Z145" s="6">
        <v>124.2</v>
      </c>
      <c r="AA145" s="6">
        <v>133.1</v>
      </c>
      <c r="AB145" s="6">
        <v>121.1</v>
      </c>
      <c r="AC145" s="6">
        <v>123.9</v>
      </c>
      <c r="AD145" s="6">
        <v>130.4</v>
      </c>
    </row>
    <row r="146" spans="1:30">
      <c r="A146" s="3" t="s">
        <v>30</v>
      </c>
      <c r="B146" s="4">
        <v>2017</v>
      </c>
      <c r="C146" s="4" t="s">
        <v>31</v>
      </c>
      <c r="D146" s="4">
        <v>133.1</v>
      </c>
      <c r="E146" s="4">
        <v>137.80000000000001</v>
      </c>
      <c r="F146" s="4">
        <v>131.9</v>
      </c>
      <c r="G146" s="4">
        <v>136.69999999999999</v>
      </c>
      <c r="H146" s="4">
        <v>122</v>
      </c>
      <c r="I146" s="4">
        <v>136</v>
      </c>
      <c r="J146" s="4">
        <v>119.8</v>
      </c>
      <c r="K146" s="4">
        <v>161.69999999999999</v>
      </c>
      <c r="L146" s="4">
        <v>114.8</v>
      </c>
      <c r="M146" s="4">
        <v>136.9</v>
      </c>
      <c r="N146" s="4">
        <v>129</v>
      </c>
      <c r="O146" s="4">
        <v>143.9</v>
      </c>
      <c r="P146" s="4">
        <v>133.69999999999999</v>
      </c>
      <c r="Q146" s="4">
        <v>143.1</v>
      </c>
      <c r="R146" s="4">
        <v>140.69999999999999</v>
      </c>
      <c r="S146" s="4">
        <v>135.80000000000001</v>
      </c>
      <c r="T146" s="4">
        <v>140</v>
      </c>
      <c r="U146" s="4">
        <v>130.05000000000001</v>
      </c>
      <c r="V146" s="4">
        <v>132.1</v>
      </c>
      <c r="W146" s="4">
        <v>133.19999999999999</v>
      </c>
      <c r="X146" s="4">
        <v>129.9</v>
      </c>
      <c r="Y146" s="4">
        <v>119.1</v>
      </c>
      <c r="Z146" s="4">
        <v>127</v>
      </c>
      <c r="AA146" s="4">
        <v>134.6</v>
      </c>
      <c r="AB146" s="4">
        <v>122.3</v>
      </c>
      <c r="AC146" s="4">
        <v>126.6</v>
      </c>
      <c r="AD146" s="4">
        <v>132.4</v>
      </c>
    </row>
    <row r="147" spans="1:30">
      <c r="A147" s="5" t="s">
        <v>32</v>
      </c>
      <c r="B147" s="6">
        <v>2017</v>
      </c>
      <c r="C147" s="6" t="s">
        <v>31</v>
      </c>
      <c r="D147" s="6">
        <v>132.19999999999999</v>
      </c>
      <c r="E147" s="6">
        <v>138.9</v>
      </c>
      <c r="F147" s="6">
        <v>132.6</v>
      </c>
      <c r="G147" s="6">
        <v>133.1</v>
      </c>
      <c r="H147" s="6">
        <v>114</v>
      </c>
      <c r="I147" s="6">
        <v>129.6</v>
      </c>
      <c r="J147" s="6">
        <v>118.7</v>
      </c>
      <c r="K147" s="6">
        <v>155.1</v>
      </c>
      <c r="L147" s="6">
        <v>117.3</v>
      </c>
      <c r="M147" s="6">
        <v>144.9</v>
      </c>
      <c r="N147" s="6">
        <v>123.2</v>
      </c>
      <c r="O147" s="6">
        <v>141.6</v>
      </c>
      <c r="P147" s="6">
        <v>132</v>
      </c>
      <c r="Q147" s="6">
        <v>145.6</v>
      </c>
      <c r="R147" s="6">
        <v>130.19999999999999</v>
      </c>
      <c r="S147" s="6">
        <v>122.3</v>
      </c>
      <c r="T147" s="6">
        <v>129</v>
      </c>
      <c r="U147" s="6">
        <v>129.6</v>
      </c>
      <c r="V147" s="6">
        <v>118</v>
      </c>
      <c r="W147" s="6">
        <v>125.1</v>
      </c>
      <c r="X147" s="6">
        <v>122.6</v>
      </c>
      <c r="Y147" s="6">
        <v>115.2</v>
      </c>
      <c r="Z147" s="6">
        <v>122</v>
      </c>
      <c r="AA147" s="6">
        <v>132.4</v>
      </c>
      <c r="AB147" s="6">
        <v>120.9</v>
      </c>
      <c r="AC147" s="6">
        <v>122.1</v>
      </c>
      <c r="AD147" s="6">
        <v>127.8</v>
      </c>
    </row>
    <row r="148" spans="1:30">
      <c r="A148" s="3" t="s">
        <v>33</v>
      </c>
      <c r="B148" s="4">
        <v>2017</v>
      </c>
      <c r="C148" s="4" t="s">
        <v>31</v>
      </c>
      <c r="D148" s="4">
        <v>132.80000000000001</v>
      </c>
      <c r="E148" s="4">
        <v>138.19999999999999</v>
      </c>
      <c r="F148" s="4">
        <v>132.19999999999999</v>
      </c>
      <c r="G148" s="4">
        <v>135.4</v>
      </c>
      <c r="H148" s="4">
        <v>119.1</v>
      </c>
      <c r="I148" s="4">
        <v>133</v>
      </c>
      <c r="J148" s="4">
        <v>119.4</v>
      </c>
      <c r="K148" s="4">
        <v>159.5</v>
      </c>
      <c r="L148" s="4">
        <v>115.6</v>
      </c>
      <c r="M148" s="4">
        <v>139.6</v>
      </c>
      <c r="N148" s="4">
        <v>126.6</v>
      </c>
      <c r="O148" s="4">
        <v>142.80000000000001</v>
      </c>
      <c r="P148" s="4">
        <v>133.1</v>
      </c>
      <c r="Q148" s="4">
        <v>143.80000000000001</v>
      </c>
      <c r="R148" s="4">
        <v>136.6</v>
      </c>
      <c r="S148" s="4">
        <v>130.19999999999999</v>
      </c>
      <c r="T148" s="4">
        <v>135.6</v>
      </c>
      <c r="U148" s="4">
        <v>129.6</v>
      </c>
      <c r="V148" s="4">
        <v>126.8</v>
      </c>
      <c r="W148" s="4">
        <v>129.4</v>
      </c>
      <c r="X148" s="4">
        <v>127.1</v>
      </c>
      <c r="Y148" s="4">
        <v>117</v>
      </c>
      <c r="Z148" s="4">
        <v>124.2</v>
      </c>
      <c r="AA148" s="4">
        <v>133.30000000000001</v>
      </c>
      <c r="AB148" s="4">
        <v>121.7</v>
      </c>
      <c r="AC148" s="4">
        <v>124.4</v>
      </c>
      <c r="AD148" s="4">
        <v>130.30000000000001</v>
      </c>
    </row>
    <row r="149" spans="1:30">
      <c r="A149" s="5" t="s">
        <v>30</v>
      </c>
      <c r="B149" s="6">
        <v>2017</v>
      </c>
      <c r="C149" s="6" t="s">
        <v>34</v>
      </c>
      <c r="D149" s="6">
        <v>133.30000000000001</v>
      </c>
      <c r="E149" s="6">
        <v>138.30000000000001</v>
      </c>
      <c r="F149" s="6">
        <v>129.30000000000001</v>
      </c>
      <c r="G149" s="6">
        <v>137.19999999999999</v>
      </c>
      <c r="H149" s="6">
        <v>122.1</v>
      </c>
      <c r="I149" s="6">
        <v>138.69999999999999</v>
      </c>
      <c r="J149" s="6">
        <v>119.1</v>
      </c>
      <c r="K149" s="6">
        <v>156.9</v>
      </c>
      <c r="L149" s="6">
        <v>116.2</v>
      </c>
      <c r="M149" s="6">
        <v>136</v>
      </c>
      <c r="N149" s="6">
        <v>129.4</v>
      </c>
      <c r="O149" s="6">
        <v>144.4</v>
      </c>
      <c r="P149" s="6">
        <v>133.6</v>
      </c>
      <c r="Q149" s="6">
        <v>143.69999999999999</v>
      </c>
      <c r="R149" s="6">
        <v>140.9</v>
      </c>
      <c r="S149" s="6">
        <v>135.80000000000001</v>
      </c>
      <c r="T149" s="6">
        <v>140.19999999999999</v>
      </c>
      <c r="U149" s="6">
        <v>130.05000000000001</v>
      </c>
      <c r="V149" s="6">
        <v>133.19999999999999</v>
      </c>
      <c r="W149" s="6">
        <v>133.6</v>
      </c>
      <c r="X149" s="6">
        <v>130.1</v>
      </c>
      <c r="Y149" s="6">
        <v>119.5</v>
      </c>
      <c r="Z149" s="6">
        <v>127.7</v>
      </c>
      <c r="AA149" s="6">
        <v>134.9</v>
      </c>
      <c r="AB149" s="6">
        <v>123.2</v>
      </c>
      <c r="AC149" s="6">
        <v>127</v>
      </c>
      <c r="AD149" s="6">
        <v>132.6</v>
      </c>
    </row>
    <row r="150" spans="1:30">
      <c r="A150" s="3" t="s">
        <v>32</v>
      </c>
      <c r="B150" s="4">
        <v>2017</v>
      </c>
      <c r="C150" s="4" t="s">
        <v>34</v>
      </c>
      <c r="D150" s="4">
        <v>132.80000000000001</v>
      </c>
      <c r="E150" s="4">
        <v>139.80000000000001</v>
      </c>
      <c r="F150" s="4">
        <v>129.30000000000001</v>
      </c>
      <c r="G150" s="4">
        <v>133.5</v>
      </c>
      <c r="H150" s="4">
        <v>114.3</v>
      </c>
      <c r="I150" s="4">
        <v>131.4</v>
      </c>
      <c r="J150" s="4">
        <v>120.2</v>
      </c>
      <c r="K150" s="4">
        <v>143.1</v>
      </c>
      <c r="L150" s="4">
        <v>119.5</v>
      </c>
      <c r="M150" s="4">
        <v>144</v>
      </c>
      <c r="N150" s="4">
        <v>123.4</v>
      </c>
      <c r="O150" s="4">
        <v>141.9</v>
      </c>
      <c r="P150" s="4">
        <v>132.1</v>
      </c>
      <c r="Q150" s="4">
        <v>146.30000000000001</v>
      </c>
      <c r="R150" s="4">
        <v>130.5</v>
      </c>
      <c r="S150" s="4">
        <v>122.5</v>
      </c>
      <c r="T150" s="4">
        <v>129.30000000000001</v>
      </c>
      <c r="U150" s="4">
        <v>130.5</v>
      </c>
      <c r="V150" s="4">
        <v>119.2</v>
      </c>
      <c r="W150" s="4">
        <v>125.3</v>
      </c>
      <c r="X150" s="4">
        <v>122.9</v>
      </c>
      <c r="Y150" s="4">
        <v>115.5</v>
      </c>
      <c r="Z150" s="4">
        <v>122.2</v>
      </c>
      <c r="AA150" s="4">
        <v>132.4</v>
      </c>
      <c r="AB150" s="4">
        <v>121.7</v>
      </c>
      <c r="AC150" s="4">
        <v>122.4</v>
      </c>
      <c r="AD150" s="4">
        <v>128.19999999999999</v>
      </c>
    </row>
    <row r="151" spans="1:30">
      <c r="A151" s="5" t="s">
        <v>33</v>
      </c>
      <c r="B151" s="6">
        <v>2017</v>
      </c>
      <c r="C151" s="6" t="s">
        <v>34</v>
      </c>
      <c r="D151" s="6">
        <v>133.1</v>
      </c>
      <c r="E151" s="6">
        <v>138.80000000000001</v>
      </c>
      <c r="F151" s="6">
        <v>129.30000000000001</v>
      </c>
      <c r="G151" s="6">
        <v>135.80000000000001</v>
      </c>
      <c r="H151" s="6">
        <v>119.2</v>
      </c>
      <c r="I151" s="6">
        <v>135.30000000000001</v>
      </c>
      <c r="J151" s="6">
        <v>119.5</v>
      </c>
      <c r="K151" s="6">
        <v>152.19999999999999</v>
      </c>
      <c r="L151" s="6">
        <v>117.3</v>
      </c>
      <c r="M151" s="6">
        <v>138.69999999999999</v>
      </c>
      <c r="N151" s="6">
        <v>126.9</v>
      </c>
      <c r="O151" s="6">
        <v>143.19999999999999</v>
      </c>
      <c r="P151" s="6">
        <v>133</v>
      </c>
      <c r="Q151" s="6">
        <v>144.4</v>
      </c>
      <c r="R151" s="6">
        <v>136.80000000000001</v>
      </c>
      <c r="S151" s="6">
        <v>130.30000000000001</v>
      </c>
      <c r="T151" s="6">
        <v>135.9</v>
      </c>
      <c r="U151" s="6">
        <v>130.5</v>
      </c>
      <c r="V151" s="6">
        <v>127.9</v>
      </c>
      <c r="W151" s="6">
        <v>129.69999999999999</v>
      </c>
      <c r="X151" s="6">
        <v>127.4</v>
      </c>
      <c r="Y151" s="6">
        <v>117.4</v>
      </c>
      <c r="Z151" s="6">
        <v>124.6</v>
      </c>
      <c r="AA151" s="6">
        <v>133.4</v>
      </c>
      <c r="AB151" s="6">
        <v>122.6</v>
      </c>
      <c r="AC151" s="6">
        <v>124.8</v>
      </c>
      <c r="AD151" s="6">
        <v>130.6</v>
      </c>
    </row>
    <row r="152" spans="1:30">
      <c r="A152" s="3" t="s">
        <v>30</v>
      </c>
      <c r="B152" s="4">
        <v>2017</v>
      </c>
      <c r="C152" s="4" t="s">
        <v>35</v>
      </c>
      <c r="D152" s="4">
        <v>133.6</v>
      </c>
      <c r="E152" s="4">
        <v>138.80000000000001</v>
      </c>
      <c r="F152" s="4">
        <v>128.80000000000001</v>
      </c>
      <c r="G152" s="4">
        <v>137.19999999999999</v>
      </c>
      <c r="H152" s="4">
        <v>121.6</v>
      </c>
      <c r="I152" s="4">
        <v>139.69999999999999</v>
      </c>
      <c r="J152" s="4">
        <v>119.7</v>
      </c>
      <c r="K152" s="4">
        <v>148</v>
      </c>
      <c r="L152" s="4">
        <v>116.9</v>
      </c>
      <c r="M152" s="4">
        <v>135.6</v>
      </c>
      <c r="N152" s="4">
        <v>129.80000000000001</v>
      </c>
      <c r="O152" s="4">
        <v>145.4</v>
      </c>
      <c r="P152" s="4">
        <v>133.4</v>
      </c>
      <c r="Q152" s="4">
        <v>144.19999999999999</v>
      </c>
      <c r="R152" s="4">
        <v>141.6</v>
      </c>
      <c r="S152" s="4">
        <v>136.19999999999999</v>
      </c>
      <c r="T152" s="4">
        <v>140.80000000000001</v>
      </c>
      <c r="U152" s="4">
        <v>131.4</v>
      </c>
      <c r="V152" s="4">
        <v>134.19999999999999</v>
      </c>
      <c r="W152" s="4">
        <v>134.1</v>
      </c>
      <c r="X152" s="4">
        <v>130.6</v>
      </c>
      <c r="Y152" s="4">
        <v>119.8</v>
      </c>
      <c r="Z152" s="4">
        <v>128.30000000000001</v>
      </c>
      <c r="AA152" s="4">
        <v>135.19999999999999</v>
      </c>
      <c r="AB152" s="4">
        <v>123.3</v>
      </c>
      <c r="AC152" s="4">
        <v>127.4</v>
      </c>
      <c r="AD152" s="4">
        <v>132.80000000000001</v>
      </c>
    </row>
    <row r="153" spans="1:30">
      <c r="A153" s="5" t="s">
        <v>32</v>
      </c>
      <c r="B153" s="6">
        <v>2017</v>
      </c>
      <c r="C153" s="6" t="s">
        <v>35</v>
      </c>
      <c r="D153" s="6">
        <v>132.69999999999999</v>
      </c>
      <c r="E153" s="6">
        <v>139.4</v>
      </c>
      <c r="F153" s="6">
        <v>128.4</v>
      </c>
      <c r="G153" s="6">
        <v>134.9</v>
      </c>
      <c r="H153" s="6">
        <v>114</v>
      </c>
      <c r="I153" s="6">
        <v>136.80000000000001</v>
      </c>
      <c r="J153" s="6">
        <v>122.2</v>
      </c>
      <c r="K153" s="6">
        <v>135.80000000000001</v>
      </c>
      <c r="L153" s="6">
        <v>120.3</v>
      </c>
      <c r="M153" s="6">
        <v>142.6</v>
      </c>
      <c r="N153" s="6">
        <v>123.6</v>
      </c>
      <c r="O153" s="6">
        <v>142.4</v>
      </c>
      <c r="P153" s="6">
        <v>132.6</v>
      </c>
      <c r="Q153" s="6">
        <v>147.5</v>
      </c>
      <c r="R153" s="6">
        <v>130.80000000000001</v>
      </c>
      <c r="S153" s="6">
        <v>122.8</v>
      </c>
      <c r="T153" s="6">
        <v>129.6</v>
      </c>
      <c r="U153" s="6">
        <v>131.1</v>
      </c>
      <c r="V153" s="6">
        <v>120.8</v>
      </c>
      <c r="W153" s="6">
        <v>125.6</v>
      </c>
      <c r="X153" s="6">
        <v>123.1</v>
      </c>
      <c r="Y153" s="6">
        <v>115.6</v>
      </c>
      <c r="Z153" s="6">
        <v>122.4</v>
      </c>
      <c r="AA153" s="6">
        <v>132.80000000000001</v>
      </c>
      <c r="AB153" s="6">
        <v>121.7</v>
      </c>
      <c r="AC153" s="6">
        <v>122.6</v>
      </c>
      <c r="AD153" s="6">
        <v>128.69999999999999</v>
      </c>
    </row>
    <row r="154" spans="1:30">
      <c r="A154" s="3" t="s">
        <v>33</v>
      </c>
      <c r="B154" s="4">
        <v>2017</v>
      </c>
      <c r="C154" s="4" t="s">
        <v>35</v>
      </c>
      <c r="D154" s="4">
        <v>133.30000000000001</v>
      </c>
      <c r="E154" s="4">
        <v>139</v>
      </c>
      <c r="F154" s="4">
        <v>128.6</v>
      </c>
      <c r="G154" s="4">
        <v>136.30000000000001</v>
      </c>
      <c r="H154" s="4">
        <v>118.8</v>
      </c>
      <c r="I154" s="4">
        <v>138.30000000000001</v>
      </c>
      <c r="J154" s="4">
        <v>120.5</v>
      </c>
      <c r="K154" s="4">
        <v>143.9</v>
      </c>
      <c r="L154" s="4">
        <v>118</v>
      </c>
      <c r="M154" s="4">
        <v>137.9</v>
      </c>
      <c r="N154" s="4">
        <v>127.2</v>
      </c>
      <c r="O154" s="4">
        <v>144</v>
      </c>
      <c r="P154" s="4">
        <v>133.1</v>
      </c>
      <c r="Q154" s="4">
        <v>145.1</v>
      </c>
      <c r="R154" s="4">
        <v>137.30000000000001</v>
      </c>
      <c r="S154" s="4">
        <v>130.6</v>
      </c>
      <c r="T154" s="4">
        <v>136.4</v>
      </c>
      <c r="U154" s="4">
        <v>131.1</v>
      </c>
      <c r="V154" s="4">
        <v>129.1</v>
      </c>
      <c r="W154" s="4">
        <v>130.1</v>
      </c>
      <c r="X154" s="4">
        <v>127.8</v>
      </c>
      <c r="Y154" s="4">
        <v>117.6</v>
      </c>
      <c r="Z154" s="4">
        <v>125</v>
      </c>
      <c r="AA154" s="4">
        <v>133.80000000000001</v>
      </c>
      <c r="AB154" s="4">
        <v>122.6</v>
      </c>
      <c r="AC154" s="4">
        <v>125.1</v>
      </c>
      <c r="AD154" s="4">
        <v>130.9</v>
      </c>
    </row>
    <row r="155" spans="1:30">
      <c r="A155" s="5" t="s">
        <v>30</v>
      </c>
      <c r="B155" s="6">
        <v>2017</v>
      </c>
      <c r="C155" s="6" t="s">
        <v>36</v>
      </c>
      <c r="D155" s="6">
        <v>133.19999999999999</v>
      </c>
      <c r="E155" s="6">
        <v>138.69999999999999</v>
      </c>
      <c r="F155" s="6">
        <v>127.1</v>
      </c>
      <c r="G155" s="6">
        <v>137.69999999999999</v>
      </c>
      <c r="H155" s="6">
        <v>121.3</v>
      </c>
      <c r="I155" s="6">
        <v>141.80000000000001</v>
      </c>
      <c r="J155" s="6">
        <v>121.5</v>
      </c>
      <c r="K155" s="6">
        <v>144.5</v>
      </c>
      <c r="L155" s="6">
        <v>117.4</v>
      </c>
      <c r="M155" s="6">
        <v>134.1</v>
      </c>
      <c r="N155" s="6">
        <v>130</v>
      </c>
      <c r="O155" s="6">
        <v>145.5</v>
      </c>
      <c r="P155" s="6">
        <v>133.5</v>
      </c>
      <c r="Q155" s="6">
        <v>144.4</v>
      </c>
      <c r="R155" s="6">
        <v>142.4</v>
      </c>
      <c r="S155" s="6">
        <v>136.80000000000001</v>
      </c>
      <c r="T155" s="6">
        <v>141.6</v>
      </c>
      <c r="U155" s="6">
        <v>131.4</v>
      </c>
      <c r="V155" s="6">
        <v>135</v>
      </c>
      <c r="W155" s="6">
        <v>134.30000000000001</v>
      </c>
      <c r="X155" s="6">
        <v>131</v>
      </c>
      <c r="Y155" s="6">
        <v>119.2</v>
      </c>
      <c r="Z155" s="6">
        <v>128.30000000000001</v>
      </c>
      <c r="AA155" s="6">
        <v>135.69999999999999</v>
      </c>
      <c r="AB155" s="6">
        <v>123.7</v>
      </c>
      <c r="AC155" s="6">
        <v>127.5</v>
      </c>
      <c r="AD155" s="6">
        <v>132.9</v>
      </c>
    </row>
    <row r="156" spans="1:30">
      <c r="A156" s="3" t="s">
        <v>32</v>
      </c>
      <c r="B156" s="4">
        <v>2017</v>
      </c>
      <c r="C156" s="4" t="s">
        <v>36</v>
      </c>
      <c r="D156" s="4">
        <v>132.69999999999999</v>
      </c>
      <c r="E156" s="4">
        <v>140.6</v>
      </c>
      <c r="F156" s="4">
        <v>124.5</v>
      </c>
      <c r="G156" s="4">
        <v>136.30000000000001</v>
      </c>
      <c r="H156" s="4">
        <v>113.5</v>
      </c>
      <c r="I156" s="4">
        <v>137.69999999999999</v>
      </c>
      <c r="J156" s="4">
        <v>127.1</v>
      </c>
      <c r="K156" s="4">
        <v>133.80000000000001</v>
      </c>
      <c r="L156" s="4">
        <v>120.8</v>
      </c>
      <c r="M156" s="4">
        <v>141.30000000000001</v>
      </c>
      <c r="N156" s="4">
        <v>123.8</v>
      </c>
      <c r="O156" s="4">
        <v>142.6</v>
      </c>
      <c r="P156" s="4">
        <v>133.4</v>
      </c>
      <c r="Q156" s="4">
        <v>148</v>
      </c>
      <c r="R156" s="4">
        <v>131.19999999999999</v>
      </c>
      <c r="S156" s="4">
        <v>123</v>
      </c>
      <c r="T156" s="4">
        <v>130</v>
      </c>
      <c r="U156" s="4">
        <v>131.69999999999999</v>
      </c>
      <c r="V156" s="4">
        <v>121.4</v>
      </c>
      <c r="W156" s="4">
        <v>126</v>
      </c>
      <c r="X156" s="4">
        <v>123.4</v>
      </c>
      <c r="Y156" s="4">
        <v>114.3</v>
      </c>
      <c r="Z156" s="4">
        <v>122.6</v>
      </c>
      <c r="AA156" s="4">
        <v>133.6</v>
      </c>
      <c r="AB156" s="4">
        <v>122.2</v>
      </c>
      <c r="AC156" s="4">
        <v>122.5</v>
      </c>
      <c r="AD156" s="4">
        <v>129.1</v>
      </c>
    </row>
    <row r="157" spans="1:30">
      <c r="A157" s="5" t="s">
        <v>33</v>
      </c>
      <c r="B157" s="6">
        <v>2017</v>
      </c>
      <c r="C157" s="6" t="s">
        <v>36</v>
      </c>
      <c r="D157" s="6">
        <v>133</v>
      </c>
      <c r="E157" s="6">
        <v>139.4</v>
      </c>
      <c r="F157" s="6">
        <v>126.1</v>
      </c>
      <c r="G157" s="6">
        <v>137.19999999999999</v>
      </c>
      <c r="H157" s="6">
        <v>118.4</v>
      </c>
      <c r="I157" s="6">
        <v>139.9</v>
      </c>
      <c r="J157" s="6">
        <v>123.4</v>
      </c>
      <c r="K157" s="6">
        <v>140.9</v>
      </c>
      <c r="L157" s="6">
        <v>118.5</v>
      </c>
      <c r="M157" s="6">
        <v>136.5</v>
      </c>
      <c r="N157" s="6">
        <v>127.4</v>
      </c>
      <c r="O157" s="6">
        <v>144.19999999999999</v>
      </c>
      <c r="P157" s="6">
        <v>133.5</v>
      </c>
      <c r="Q157" s="6">
        <v>145.4</v>
      </c>
      <c r="R157" s="6">
        <v>138</v>
      </c>
      <c r="S157" s="6">
        <v>131.1</v>
      </c>
      <c r="T157" s="6">
        <v>137</v>
      </c>
      <c r="U157" s="6">
        <v>131.69999999999999</v>
      </c>
      <c r="V157" s="6">
        <v>129.80000000000001</v>
      </c>
      <c r="W157" s="6">
        <v>130.4</v>
      </c>
      <c r="X157" s="6">
        <v>128.1</v>
      </c>
      <c r="Y157" s="6">
        <v>116.6</v>
      </c>
      <c r="Z157" s="6">
        <v>125.1</v>
      </c>
      <c r="AA157" s="6">
        <v>134.5</v>
      </c>
      <c r="AB157" s="6">
        <v>123.1</v>
      </c>
      <c r="AC157" s="6">
        <v>125.1</v>
      </c>
      <c r="AD157" s="6">
        <v>131.1</v>
      </c>
    </row>
    <row r="158" spans="1:30">
      <c r="A158" s="3" t="s">
        <v>30</v>
      </c>
      <c r="B158" s="4">
        <v>2017</v>
      </c>
      <c r="C158" s="4" t="s">
        <v>37</v>
      </c>
      <c r="D158" s="4">
        <v>133.1</v>
      </c>
      <c r="E158" s="4">
        <v>140.30000000000001</v>
      </c>
      <c r="F158" s="4">
        <v>126.8</v>
      </c>
      <c r="G158" s="4">
        <v>138.19999999999999</v>
      </c>
      <c r="H158" s="4">
        <v>120.8</v>
      </c>
      <c r="I158" s="4">
        <v>140.19999999999999</v>
      </c>
      <c r="J158" s="4">
        <v>123.8</v>
      </c>
      <c r="K158" s="4">
        <v>141.80000000000001</v>
      </c>
      <c r="L158" s="4">
        <v>118.6</v>
      </c>
      <c r="M158" s="4">
        <v>134</v>
      </c>
      <c r="N158" s="4">
        <v>130.30000000000001</v>
      </c>
      <c r="O158" s="4">
        <v>145.80000000000001</v>
      </c>
      <c r="P158" s="4">
        <v>133.80000000000001</v>
      </c>
      <c r="Q158" s="4">
        <v>145.5</v>
      </c>
      <c r="R158" s="4">
        <v>142.5</v>
      </c>
      <c r="S158" s="4">
        <v>137.30000000000001</v>
      </c>
      <c r="T158" s="4">
        <v>141.80000000000001</v>
      </c>
      <c r="U158" s="4">
        <v>131.75</v>
      </c>
      <c r="V158" s="4">
        <v>135</v>
      </c>
      <c r="W158" s="4">
        <v>134.9</v>
      </c>
      <c r="X158" s="4">
        <v>131.4</v>
      </c>
      <c r="Y158" s="4">
        <v>119.4</v>
      </c>
      <c r="Z158" s="4">
        <v>129.4</v>
      </c>
      <c r="AA158" s="4">
        <v>136.30000000000001</v>
      </c>
      <c r="AB158" s="4">
        <v>123.7</v>
      </c>
      <c r="AC158" s="4">
        <v>127.9</v>
      </c>
      <c r="AD158" s="4">
        <v>133.30000000000001</v>
      </c>
    </row>
    <row r="159" spans="1:30">
      <c r="A159" s="5" t="s">
        <v>32</v>
      </c>
      <c r="B159" s="6">
        <v>2017</v>
      </c>
      <c r="C159" s="6" t="s">
        <v>37</v>
      </c>
      <c r="D159" s="6">
        <v>132.6</v>
      </c>
      <c r="E159" s="6">
        <v>144.1</v>
      </c>
      <c r="F159" s="6">
        <v>125.6</v>
      </c>
      <c r="G159" s="6">
        <v>136.80000000000001</v>
      </c>
      <c r="H159" s="6">
        <v>113.4</v>
      </c>
      <c r="I159" s="6">
        <v>135.19999999999999</v>
      </c>
      <c r="J159" s="6">
        <v>129.19999999999999</v>
      </c>
      <c r="K159" s="6">
        <v>131.5</v>
      </c>
      <c r="L159" s="6">
        <v>121</v>
      </c>
      <c r="M159" s="6">
        <v>139.9</v>
      </c>
      <c r="N159" s="6">
        <v>123.8</v>
      </c>
      <c r="O159" s="6">
        <v>142.9</v>
      </c>
      <c r="P159" s="6">
        <v>133.6</v>
      </c>
      <c r="Q159" s="6">
        <v>148.30000000000001</v>
      </c>
      <c r="R159" s="6">
        <v>131.5</v>
      </c>
      <c r="S159" s="6">
        <v>123.2</v>
      </c>
      <c r="T159" s="6">
        <v>130.19999999999999</v>
      </c>
      <c r="U159" s="6">
        <v>132.1</v>
      </c>
      <c r="V159" s="6">
        <v>120.1</v>
      </c>
      <c r="W159" s="6">
        <v>126.5</v>
      </c>
      <c r="X159" s="6">
        <v>123.6</v>
      </c>
      <c r="Y159" s="6">
        <v>114.3</v>
      </c>
      <c r="Z159" s="6">
        <v>122.8</v>
      </c>
      <c r="AA159" s="6">
        <v>133.80000000000001</v>
      </c>
      <c r="AB159" s="6">
        <v>122</v>
      </c>
      <c r="AC159" s="6">
        <v>122.6</v>
      </c>
      <c r="AD159" s="6">
        <v>129.30000000000001</v>
      </c>
    </row>
    <row r="160" spans="1:30">
      <c r="A160" s="3" t="s">
        <v>33</v>
      </c>
      <c r="B160" s="4">
        <v>2017</v>
      </c>
      <c r="C160" s="4" t="s">
        <v>37</v>
      </c>
      <c r="D160" s="4">
        <v>132.9</v>
      </c>
      <c r="E160" s="4">
        <v>141.6</v>
      </c>
      <c r="F160" s="4">
        <v>126.3</v>
      </c>
      <c r="G160" s="4">
        <v>137.69999999999999</v>
      </c>
      <c r="H160" s="4">
        <v>118.1</v>
      </c>
      <c r="I160" s="4">
        <v>137.9</v>
      </c>
      <c r="J160" s="4">
        <v>125.6</v>
      </c>
      <c r="K160" s="4">
        <v>138.30000000000001</v>
      </c>
      <c r="L160" s="4">
        <v>119.4</v>
      </c>
      <c r="M160" s="4">
        <v>136</v>
      </c>
      <c r="N160" s="4">
        <v>127.6</v>
      </c>
      <c r="O160" s="4">
        <v>144.5</v>
      </c>
      <c r="P160" s="4">
        <v>133.69999999999999</v>
      </c>
      <c r="Q160" s="4">
        <v>146.19999999999999</v>
      </c>
      <c r="R160" s="4">
        <v>138.19999999999999</v>
      </c>
      <c r="S160" s="4">
        <v>131.4</v>
      </c>
      <c r="T160" s="4">
        <v>137.19999999999999</v>
      </c>
      <c r="U160" s="4">
        <v>132.1</v>
      </c>
      <c r="V160" s="4">
        <v>129.4</v>
      </c>
      <c r="W160" s="4">
        <v>130.9</v>
      </c>
      <c r="X160" s="4">
        <v>128.4</v>
      </c>
      <c r="Y160" s="4">
        <v>116.7</v>
      </c>
      <c r="Z160" s="4">
        <v>125.7</v>
      </c>
      <c r="AA160" s="4">
        <v>134.80000000000001</v>
      </c>
      <c r="AB160" s="4">
        <v>123</v>
      </c>
      <c r="AC160" s="4">
        <v>125.3</v>
      </c>
      <c r="AD160" s="4">
        <v>131.4</v>
      </c>
    </row>
    <row r="161" spans="1:30">
      <c r="A161" s="5" t="s">
        <v>30</v>
      </c>
      <c r="B161" s="6">
        <v>2017</v>
      </c>
      <c r="C161" s="6" t="s">
        <v>38</v>
      </c>
      <c r="D161" s="6">
        <v>133.5</v>
      </c>
      <c r="E161" s="6">
        <v>143.69999999999999</v>
      </c>
      <c r="F161" s="6">
        <v>128</v>
      </c>
      <c r="G161" s="6">
        <v>138.6</v>
      </c>
      <c r="H161" s="6">
        <v>120.9</v>
      </c>
      <c r="I161" s="6">
        <v>140.9</v>
      </c>
      <c r="J161" s="6">
        <v>128.80000000000001</v>
      </c>
      <c r="K161" s="6">
        <v>140.19999999999999</v>
      </c>
      <c r="L161" s="6">
        <v>118.9</v>
      </c>
      <c r="M161" s="6">
        <v>133.5</v>
      </c>
      <c r="N161" s="6">
        <v>130.4</v>
      </c>
      <c r="O161" s="6">
        <v>146.5</v>
      </c>
      <c r="P161" s="6">
        <v>134.9</v>
      </c>
      <c r="Q161" s="6">
        <v>145.80000000000001</v>
      </c>
      <c r="R161" s="6">
        <v>143.1</v>
      </c>
      <c r="S161" s="6">
        <v>137.69999999999999</v>
      </c>
      <c r="T161" s="6">
        <v>142.30000000000001</v>
      </c>
      <c r="U161" s="6">
        <v>131.75</v>
      </c>
      <c r="V161" s="6">
        <v>134.80000000000001</v>
      </c>
      <c r="W161" s="6">
        <v>135.19999999999999</v>
      </c>
      <c r="X161" s="6">
        <v>131.30000000000001</v>
      </c>
      <c r="Y161" s="6">
        <v>119.4</v>
      </c>
      <c r="Z161" s="6">
        <v>129.80000000000001</v>
      </c>
      <c r="AA161" s="6">
        <v>136.9</v>
      </c>
      <c r="AB161" s="6">
        <v>124.1</v>
      </c>
      <c r="AC161" s="6">
        <v>128.1</v>
      </c>
      <c r="AD161" s="6">
        <v>133.9</v>
      </c>
    </row>
    <row r="162" spans="1:30">
      <c r="A162" s="3" t="s">
        <v>32</v>
      </c>
      <c r="B162" s="4">
        <v>2017</v>
      </c>
      <c r="C162" s="4" t="s">
        <v>38</v>
      </c>
      <c r="D162" s="4">
        <v>132.9</v>
      </c>
      <c r="E162" s="4">
        <v>148.69999999999999</v>
      </c>
      <c r="F162" s="4">
        <v>128.30000000000001</v>
      </c>
      <c r="G162" s="4">
        <v>137.30000000000001</v>
      </c>
      <c r="H162" s="4">
        <v>113.5</v>
      </c>
      <c r="I162" s="4">
        <v>137.19999999999999</v>
      </c>
      <c r="J162" s="4">
        <v>142.19999999999999</v>
      </c>
      <c r="K162" s="4">
        <v>128.19999999999999</v>
      </c>
      <c r="L162" s="4">
        <v>120.9</v>
      </c>
      <c r="M162" s="4">
        <v>138.80000000000001</v>
      </c>
      <c r="N162" s="4">
        <v>124.2</v>
      </c>
      <c r="O162" s="4">
        <v>143.1</v>
      </c>
      <c r="P162" s="4">
        <v>135.69999999999999</v>
      </c>
      <c r="Q162" s="4">
        <v>148.6</v>
      </c>
      <c r="R162" s="4">
        <v>131.5</v>
      </c>
      <c r="S162" s="4">
        <v>123.2</v>
      </c>
      <c r="T162" s="4">
        <v>130.19999999999999</v>
      </c>
      <c r="U162" s="4">
        <v>131.4</v>
      </c>
      <c r="V162" s="4">
        <v>119</v>
      </c>
      <c r="W162" s="4">
        <v>126.8</v>
      </c>
      <c r="X162" s="4">
        <v>123.8</v>
      </c>
      <c r="Y162" s="4">
        <v>113.9</v>
      </c>
      <c r="Z162" s="4">
        <v>122.9</v>
      </c>
      <c r="AA162" s="4">
        <v>134.30000000000001</v>
      </c>
      <c r="AB162" s="4">
        <v>122.5</v>
      </c>
      <c r="AC162" s="4">
        <v>122.7</v>
      </c>
      <c r="AD162" s="4">
        <v>129.9</v>
      </c>
    </row>
    <row r="163" spans="1:30">
      <c r="A163" s="5" t="s">
        <v>33</v>
      </c>
      <c r="B163" s="6">
        <v>2017</v>
      </c>
      <c r="C163" s="6" t="s">
        <v>38</v>
      </c>
      <c r="D163" s="6">
        <v>133.30000000000001</v>
      </c>
      <c r="E163" s="6">
        <v>145.5</v>
      </c>
      <c r="F163" s="6">
        <v>128.1</v>
      </c>
      <c r="G163" s="6">
        <v>138.1</v>
      </c>
      <c r="H163" s="6">
        <v>118.2</v>
      </c>
      <c r="I163" s="6">
        <v>139.19999999999999</v>
      </c>
      <c r="J163" s="6">
        <v>133.30000000000001</v>
      </c>
      <c r="K163" s="6">
        <v>136.19999999999999</v>
      </c>
      <c r="L163" s="6">
        <v>119.6</v>
      </c>
      <c r="M163" s="6">
        <v>135.30000000000001</v>
      </c>
      <c r="N163" s="6">
        <v>127.8</v>
      </c>
      <c r="O163" s="6">
        <v>144.9</v>
      </c>
      <c r="P163" s="6">
        <v>135.19999999999999</v>
      </c>
      <c r="Q163" s="6">
        <v>146.5</v>
      </c>
      <c r="R163" s="6">
        <v>138.5</v>
      </c>
      <c r="S163" s="6">
        <v>131.69999999999999</v>
      </c>
      <c r="T163" s="6">
        <v>137.5</v>
      </c>
      <c r="U163" s="6">
        <v>131.4</v>
      </c>
      <c r="V163" s="6">
        <v>128.80000000000001</v>
      </c>
      <c r="W163" s="6">
        <v>131.19999999999999</v>
      </c>
      <c r="X163" s="6">
        <v>128.5</v>
      </c>
      <c r="Y163" s="6">
        <v>116.5</v>
      </c>
      <c r="Z163" s="6">
        <v>125.9</v>
      </c>
      <c r="AA163" s="6">
        <v>135.4</v>
      </c>
      <c r="AB163" s="6">
        <v>123.4</v>
      </c>
      <c r="AC163" s="6">
        <v>125.5</v>
      </c>
      <c r="AD163" s="6">
        <v>132</v>
      </c>
    </row>
    <row r="164" spans="1:30">
      <c r="A164" s="3" t="s">
        <v>30</v>
      </c>
      <c r="B164" s="4">
        <v>2017</v>
      </c>
      <c r="C164" s="4" t="s">
        <v>39</v>
      </c>
      <c r="D164" s="4">
        <v>134</v>
      </c>
      <c r="E164" s="4">
        <v>144.19999999999999</v>
      </c>
      <c r="F164" s="4">
        <v>129.80000000000001</v>
      </c>
      <c r="G164" s="4">
        <v>139</v>
      </c>
      <c r="H164" s="4">
        <v>120.9</v>
      </c>
      <c r="I164" s="4">
        <v>143.9</v>
      </c>
      <c r="J164" s="4">
        <v>151.5</v>
      </c>
      <c r="K164" s="4">
        <v>138.1</v>
      </c>
      <c r="L164" s="4">
        <v>120</v>
      </c>
      <c r="M164" s="4">
        <v>133.9</v>
      </c>
      <c r="N164" s="4">
        <v>131.4</v>
      </c>
      <c r="O164" s="4">
        <v>147.69999999999999</v>
      </c>
      <c r="P164" s="4">
        <v>138.5</v>
      </c>
      <c r="Q164" s="4">
        <v>147.4</v>
      </c>
      <c r="R164" s="4">
        <v>144.30000000000001</v>
      </c>
      <c r="S164" s="4">
        <v>138.1</v>
      </c>
      <c r="T164" s="4">
        <v>143.5</v>
      </c>
      <c r="U164" s="4">
        <v>133.5</v>
      </c>
      <c r="V164" s="4">
        <v>135.30000000000001</v>
      </c>
      <c r="W164" s="4">
        <v>136.1</v>
      </c>
      <c r="X164" s="4">
        <v>132.1</v>
      </c>
      <c r="Y164" s="4">
        <v>119.1</v>
      </c>
      <c r="Z164" s="4">
        <v>130.6</v>
      </c>
      <c r="AA164" s="4">
        <v>138.6</v>
      </c>
      <c r="AB164" s="4">
        <v>124.4</v>
      </c>
      <c r="AC164" s="4">
        <v>128.6</v>
      </c>
      <c r="AD164" s="4">
        <v>136.19999999999999</v>
      </c>
    </row>
    <row r="165" spans="1:30">
      <c r="A165" s="5" t="s">
        <v>32</v>
      </c>
      <c r="B165" s="6">
        <v>2017</v>
      </c>
      <c r="C165" s="6" t="s">
        <v>39</v>
      </c>
      <c r="D165" s="6">
        <v>132.80000000000001</v>
      </c>
      <c r="E165" s="6">
        <v>148.4</v>
      </c>
      <c r="F165" s="6">
        <v>129.4</v>
      </c>
      <c r="G165" s="6">
        <v>137.69999999999999</v>
      </c>
      <c r="H165" s="6">
        <v>113.4</v>
      </c>
      <c r="I165" s="6">
        <v>139.4</v>
      </c>
      <c r="J165" s="6">
        <v>175.1</v>
      </c>
      <c r="K165" s="6">
        <v>124.7</v>
      </c>
      <c r="L165" s="6">
        <v>121.5</v>
      </c>
      <c r="M165" s="6">
        <v>137.80000000000001</v>
      </c>
      <c r="N165" s="6">
        <v>124.4</v>
      </c>
      <c r="O165" s="6">
        <v>143.69999999999999</v>
      </c>
      <c r="P165" s="6">
        <v>139.80000000000001</v>
      </c>
      <c r="Q165" s="6">
        <v>150.5</v>
      </c>
      <c r="R165" s="6">
        <v>131.6</v>
      </c>
      <c r="S165" s="6">
        <v>123.7</v>
      </c>
      <c r="T165" s="6">
        <v>130.4</v>
      </c>
      <c r="U165" s="6">
        <v>132.6</v>
      </c>
      <c r="V165" s="6">
        <v>119.7</v>
      </c>
      <c r="W165" s="6">
        <v>127.2</v>
      </c>
      <c r="X165" s="6">
        <v>125</v>
      </c>
      <c r="Y165" s="6">
        <v>113.2</v>
      </c>
      <c r="Z165" s="6">
        <v>123.5</v>
      </c>
      <c r="AA165" s="6">
        <v>135.5</v>
      </c>
      <c r="AB165" s="6">
        <v>122.4</v>
      </c>
      <c r="AC165" s="6">
        <v>123</v>
      </c>
      <c r="AD165" s="6">
        <v>131.80000000000001</v>
      </c>
    </row>
    <row r="166" spans="1:30">
      <c r="A166" s="3" t="s">
        <v>33</v>
      </c>
      <c r="B166" s="4">
        <v>2017</v>
      </c>
      <c r="C166" s="4" t="s">
        <v>39</v>
      </c>
      <c r="D166" s="4">
        <v>133.6</v>
      </c>
      <c r="E166" s="4">
        <v>145.69999999999999</v>
      </c>
      <c r="F166" s="4">
        <v>129.6</v>
      </c>
      <c r="G166" s="4">
        <v>138.5</v>
      </c>
      <c r="H166" s="4">
        <v>118.1</v>
      </c>
      <c r="I166" s="4">
        <v>141.80000000000001</v>
      </c>
      <c r="J166" s="4">
        <v>159.5</v>
      </c>
      <c r="K166" s="4">
        <v>133.6</v>
      </c>
      <c r="L166" s="4">
        <v>120.5</v>
      </c>
      <c r="M166" s="4">
        <v>135.19999999999999</v>
      </c>
      <c r="N166" s="4">
        <v>128.5</v>
      </c>
      <c r="O166" s="4">
        <v>145.80000000000001</v>
      </c>
      <c r="P166" s="4">
        <v>139</v>
      </c>
      <c r="Q166" s="4">
        <v>148.19999999999999</v>
      </c>
      <c r="R166" s="4">
        <v>139.30000000000001</v>
      </c>
      <c r="S166" s="4">
        <v>132.1</v>
      </c>
      <c r="T166" s="4">
        <v>138.30000000000001</v>
      </c>
      <c r="U166" s="4">
        <v>132.6</v>
      </c>
      <c r="V166" s="4">
        <v>129.4</v>
      </c>
      <c r="W166" s="4">
        <v>131.9</v>
      </c>
      <c r="X166" s="4">
        <v>129.4</v>
      </c>
      <c r="Y166" s="4">
        <v>116</v>
      </c>
      <c r="Z166" s="4">
        <v>126.6</v>
      </c>
      <c r="AA166" s="4">
        <v>136.80000000000001</v>
      </c>
      <c r="AB166" s="4">
        <v>123.6</v>
      </c>
      <c r="AC166" s="4">
        <v>125.9</v>
      </c>
      <c r="AD166" s="4">
        <v>134.19999999999999</v>
      </c>
    </row>
    <row r="167" spans="1:30">
      <c r="A167" s="5" t="s">
        <v>30</v>
      </c>
      <c r="B167" s="6">
        <v>2017</v>
      </c>
      <c r="C167" s="6" t="s">
        <v>40</v>
      </c>
      <c r="D167" s="6">
        <v>134.80000000000001</v>
      </c>
      <c r="E167" s="6">
        <v>143.1</v>
      </c>
      <c r="F167" s="6">
        <v>130</v>
      </c>
      <c r="G167" s="6">
        <v>139.4</v>
      </c>
      <c r="H167" s="6">
        <v>120.5</v>
      </c>
      <c r="I167" s="6">
        <v>148</v>
      </c>
      <c r="J167" s="6">
        <v>162.9</v>
      </c>
      <c r="K167" s="6">
        <v>137.4</v>
      </c>
      <c r="L167" s="6">
        <v>120.8</v>
      </c>
      <c r="M167" s="6">
        <v>134.69999999999999</v>
      </c>
      <c r="N167" s="6">
        <v>131.6</v>
      </c>
      <c r="O167" s="6">
        <v>148.69999999999999</v>
      </c>
      <c r="P167" s="6">
        <v>140.6</v>
      </c>
      <c r="Q167" s="6">
        <v>149</v>
      </c>
      <c r="R167" s="6">
        <v>145.30000000000001</v>
      </c>
      <c r="S167" s="6">
        <v>139.19999999999999</v>
      </c>
      <c r="T167" s="6">
        <v>144.5</v>
      </c>
      <c r="U167" s="6">
        <v>133.5</v>
      </c>
      <c r="V167" s="6">
        <v>136.4</v>
      </c>
      <c r="W167" s="6">
        <v>137.30000000000001</v>
      </c>
      <c r="X167" s="6">
        <v>133</v>
      </c>
      <c r="Y167" s="6">
        <v>120.3</v>
      </c>
      <c r="Z167" s="6">
        <v>131.5</v>
      </c>
      <c r="AA167" s="6">
        <v>140.19999999999999</v>
      </c>
      <c r="AB167" s="6">
        <v>125.4</v>
      </c>
      <c r="AC167" s="6">
        <v>129.69999999999999</v>
      </c>
      <c r="AD167" s="6">
        <v>137.80000000000001</v>
      </c>
    </row>
    <row r="168" spans="1:30">
      <c r="A168" s="3" t="s">
        <v>32</v>
      </c>
      <c r="B168" s="4">
        <v>2017</v>
      </c>
      <c r="C168" s="4" t="s">
        <v>40</v>
      </c>
      <c r="D168" s="4">
        <v>133.19999999999999</v>
      </c>
      <c r="E168" s="4">
        <v>143.9</v>
      </c>
      <c r="F168" s="4">
        <v>128.30000000000001</v>
      </c>
      <c r="G168" s="4">
        <v>138.30000000000001</v>
      </c>
      <c r="H168" s="4">
        <v>114.1</v>
      </c>
      <c r="I168" s="4">
        <v>142.69999999999999</v>
      </c>
      <c r="J168" s="4">
        <v>179.8</v>
      </c>
      <c r="K168" s="4">
        <v>123.5</v>
      </c>
      <c r="L168" s="4">
        <v>122.1</v>
      </c>
      <c r="M168" s="4">
        <v>137.5</v>
      </c>
      <c r="N168" s="4">
        <v>124.6</v>
      </c>
      <c r="O168" s="4">
        <v>144.5</v>
      </c>
      <c r="P168" s="4">
        <v>140.5</v>
      </c>
      <c r="Q168" s="4">
        <v>152.1</v>
      </c>
      <c r="R168" s="4">
        <v>132.69999999999999</v>
      </c>
      <c r="S168" s="4">
        <v>124.3</v>
      </c>
      <c r="T168" s="4">
        <v>131.4</v>
      </c>
      <c r="U168" s="4">
        <v>134.4</v>
      </c>
      <c r="V168" s="4">
        <v>118.9</v>
      </c>
      <c r="W168" s="4">
        <v>127.7</v>
      </c>
      <c r="X168" s="4">
        <v>125.7</v>
      </c>
      <c r="Y168" s="4">
        <v>114.6</v>
      </c>
      <c r="Z168" s="4">
        <v>124.1</v>
      </c>
      <c r="AA168" s="4">
        <v>135.69999999999999</v>
      </c>
      <c r="AB168" s="4">
        <v>123.3</v>
      </c>
      <c r="AC168" s="4">
        <v>123.8</v>
      </c>
      <c r="AD168" s="4">
        <v>132.69999999999999</v>
      </c>
    </row>
    <row r="169" spans="1:30">
      <c r="A169" s="5" t="s">
        <v>33</v>
      </c>
      <c r="B169" s="6">
        <v>2017</v>
      </c>
      <c r="C169" s="6" t="s">
        <v>40</v>
      </c>
      <c r="D169" s="6">
        <v>134.30000000000001</v>
      </c>
      <c r="E169" s="6">
        <v>143.4</v>
      </c>
      <c r="F169" s="6">
        <v>129.30000000000001</v>
      </c>
      <c r="G169" s="6">
        <v>139</v>
      </c>
      <c r="H169" s="6">
        <v>118.1</v>
      </c>
      <c r="I169" s="6">
        <v>145.5</v>
      </c>
      <c r="J169" s="6">
        <v>168.6</v>
      </c>
      <c r="K169" s="6">
        <v>132.69999999999999</v>
      </c>
      <c r="L169" s="6">
        <v>121.2</v>
      </c>
      <c r="M169" s="6">
        <v>135.6</v>
      </c>
      <c r="N169" s="6">
        <v>128.69999999999999</v>
      </c>
      <c r="O169" s="6">
        <v>146.80000000000001</v>
      </c>
      <c r="P169" s="6">
        <v>140.6</v>
      </c>
      <c r="Q169" s="6">
        <v>149.80000000000001</v>
      </c>
      <c r="R169" s="6">
        <v>140.30000000000001</v>
      </c>
      <c r="S169" s="6">
        <v>133</v>
      </c>
      <c r="T169" s="6">
        <v>139.30000000000001</v>
      </c>
      <c r="U169" s="6">
        <v>134.4</v>
      </c>
      <c r="V169" s="6">
        <v>129.80000000000001</v>
      </c>
      <c r="W169" s="6">
        <v>132.80000000000001</v>
      </c>
      <c r="X169" s="6">
        <v>130.19999999999999</v>
      </c>
      <c r="Y169" s="6">
        <v>117.3</v>
      </c>
      <c r="Z169" s="6">
        <v>127.3</v>
      </c>
      <c r="AA169" s="6">
        <v>137.6</v>
      </c>
      <c r="AB169" s="6">
        <v>124.5</v>
      </c>
      <c r="AC169" s="6">
        <v>126.8</v>
      </c>
      <c r="AD169" s="6">
        <v>135.4</v>
      </c>
    </row>
    <row r="170" spans="1:30">
      <c r="A170" s="3" t="s">
        <v>30</v>
      </c>
      <c r="B170" s="4">
        <v>2017</v>
      </c>
      <c r="C170" s="4" t="s">
        <v>41</v>
      </c>
      <c r="D170" s="4">
        <v>135.19999999999999</v>
      </c>
      <c r="E170" s="4">
        <v>142</v>
      </c>
      <c r="F170" s="4">
        <v>130.5</v>
      </c>
      <c r="G170" s="4">
        <v>140.19999999999999</v>
      </c>
      <c r="H170" s="4">
        <v>120.7</v>
      </c>
      <c r="I170" s="4">
        <v>147.80000000000001</v>
      </c>
      <c r="J170" s="4">
        <v>154.5</v>
      </c>
      <c r="K170" s="4">
        <v>137.1</v>
      </c>
      <c r="L170" s="4">
        <v>121</v>
      </c>
      <c r="M170" s="4">
        <v>134.69999999999999</v>
      </c>
      <c r="N170" s="4">
        <v>131.69999999999999</v>
      </c>
      <c r="O170" s="4">
        <v>149.30000000000001</v>
      </c>
      <c r="P170" s="4">
        <v>139.6</v>
      </c>
      <c r="Q170" s="4">
        <v>149.80000000000001</v>
      </c>
      <c r="R170" s="4">
        <v>146.1</v>
      </c>
      <c r="S170" s="4">
        <v>139.69999999999999</v>
      </c>
      <c r="T170" s="4">
        <v>145.19999999999999</v>
      </c>
      <c r="U170" s="4">
        <v>136.5</v>
      </c>
      <c r="V170" s="4">
        <v>137.4</v>
      </c>
      <c r="W170" s="4">
        <v>137.9</v>
      </c>
      <c r="X170" s="4">
        <v>133.4</v>
      </c>
      <c r="Y170" s="4">
        <v>121.2</v>
      </c>
      <c r="Z170" s="4">
        <v>132.30000000000001</v>
      </c>
      <c r="AA170" s="4">
        <v>139.6</v>
      </c>
      <c r="AB170" s="4">
        <v>126.7</v>
      </c>
      <c r="AC170" s="4">
        <v>130.30000000000001</v>
      </c>
      <c r="AD170" s="4">
        <v>137.6</v>
      </c>
    </row>
    <row r="171" spans="1:30">
      <c r="A171" s="5" t="s">
        <v>32</v>
      </c>
      <c r="B171" s="6">
        <v>2017</v>
      </c>
      <c r="C171" s="6" t="s">
        <v>41</v>
      </c>
      <c r="D171" s="6">
        <v>133.6</v>
      </c>
      <c r="E171" s="6">
        <v>143</v>
      </c>
      <c r="F171" s="6">
        <v>129.69999999999999</v>
      </c>
      <c r="G171" s="6">
        <v>138.69999999999999</v>
      </c>
      <c r="H171" s="6">
        <v>114.5</v>
      </c>
      <c r="I171" s="6">
        <v>137.5</v>
      </c>
      <c r="J171" s="6">
        <v>160.69999999999999</v>
      </c>
      <c r="K171" s="6">
        <v>124.5</v>
      </c>
      <c r="L171" s="6">
        <v>122.4</v>
      </c>
      <c r="M171" s="6">
        <v>137.30000000000001</v>
      </c>
      <c r="N171" s="6">
        <v>124.8</v>
      </c>
      <c r="O171" s="6">
        <v>145</v>
      </c>
      <c r="P171" s="6">
        <v>138</v>
      </c>
      <c r="Q171" s="6">
        <v>153.6</v>
      </c>
      <c r="R171" s="6">
        <v>133.30000000000001</v>
      </c>
      <c r="S171" s="6">
        <v>124.6</v>
      </c>
      <c r="T171" s="6">
        <v>132</v>
      </c>
      <c r="U171" s="6">
        <v>135.69999999999999</v>
      </c>
      <c r="V171" s="6">
        <v>120.6</v>
      </c>
      <c r="W171" s="6">
        <v>128.1</v>
      </c>
      <c r="X171" s="6">
        <v>126.1</v>
      </c>
      <c r="Y171" s="6">
        <v>115.7</v>
      </c>
      <c r="Z171" s="6">
        <v>124.5</v>
      </c>
      <c r="AA171" s="6">
        <v>135.9</v>
      </c>
      <c r="AB171" s="6">
        <v>124.4</v>
      </c>
      <c r="AC171" s="6">
        <v>124.5</v>
      </c>
      <c r="AD171" s="6">
        <v>132.4</v>
      </c>
    </row>
    <row r="172" spans="1:30">
      <c r="A172" s="3" t="s">
        <v>33</v>
      </c>
      <c r="B172" s="4">
        <v>2017</v>
      </c>
      <c r="C172" s="4" t="s">
        <v>41</v>
      </c>
      <c r="D172" s="4">
        <v>134.69999999999999</v>
      </c>
      <c r="E172" s="4">
        <v>142.4</v>
      </c>
      <c r="F172" s="4">
        <v>130.19999999999999</v>
      </c>
      <c r="G172" s="4">
        <v>139.6</v>
      </c>
      <c r="H172" s="4">
        <v>118.4</v>
      </c>
      <c r="I172" s="4">
        <v>143</v>
      </c>
      <c r="J172" s="4">
        <v>156.6</v>
      </c>
      <c r="K172" s="4">
        <v>132.9</v>
      </c>
      <c r="L172" s="4">
        <v>121.5</v>
      </c>
      <c r="M172" s="4">
        <v>135.6</v>
      </c>
      <c r="N172" s="4">
        <v>128.80000000000001</v>
      </c>
      <c r="O172" s="4">
        <v>147.30000000000001</v>
      </c>
      <c r="P172" s="4">
        <v>139</v>
      </c>
      <c r="Q172" s="4">
        <v>150.80000000000001</v>
      </c>
      <c r="R172" s="4">
        <v>141.1</v>
      </c>
      <c r="S172" s="4">
        <v>133.4</v>
      </c>
      <c r="T172" s="4">
        <v>140</v>
      </c>
      <c r="U172" s="4">
        <v>135.69999999999999</v>
      </c>
      <c r="V172" s="4">
        <v>131</v>
      </c>
      <c r="W172" s="4">
        <v>133.30000000000001</v>
      </c>
      <c r="X172" s="4">
        <v>130.6</v>
      </c>
      <c r="Y172" s="4">
        <v>118.3</v>
      </c>
      <c r="Z172" s="4">
        <v>127.9</v>
      </c>
      <c r="AA172" s="4">
        <v>137.4</v>
      </c>
      <c r="AB172" s="4">
        <v>125.7</v>
      </c>
      <c r="AC172" s="4">
        <v>127.5</v>
      </c>
      <c r="AD172" s="4">
        <v>135.19999999999999</v>
      </c>
    </row>
    <row r="173" spans="1:30">
      <c r="A173" s="5" t="s">
        <v>30</v>
      </c>
      <c r="B173" s="6">
        <v>2017</v>
      </c>
      <c r="C173" s="6" t="s">
        <v>42</v>
      </c>
      <c r="D173" s="6">
        <v>135.9</v>
      </c>
      <c r="E173" s="6">
        <v>141.9</v>
      </c>
      <c r="F173" s="6">
        <v>131</v>
      </c>
      <c r="G173" s="6">
        <v>141.5</v>
      </c>
      <c r="H173" s="6">
        <v>121.4</v>
      </c>
      <c r="I173" s="6">
        <v>146.69999999999999</v>
      </c>
      <c r="J173" s="6">
        <v>157.1</v>
      </c>
      <c r="K173" s="6">
        <v>136.4</v>
      </c>
      <c r="L173" s="6">
        <v>121.4</v>
      </c>
      <c r="M173" s="6">
        <v>135.6</v>
      </c>
      <c r="N173" s="6">
        <v>131.30000000000001</v>
      </c>
      <c r="O173" s="6">
        <v>150.30000000000001</v>
      </c>
      <c r="P173" s="6">
        <v>140.4</v>
      </c>
      <c r="Q173" s="6">
        <v>150.5</v>
      </c>
      <c r="R173" s="6">
        <v>147.19999999999999</v>
      </c>
      <c r="S173" s="6">
        <v>140.6</v>
      </c>
      <c r="T173" s="6">
        <v>146.19999999999999</v>
      </c>
      <c r="U173" s="6">
        <v>136.5</v>
      </c>
      <c r="V173" s="6">
        <v>138.1</v>
      </c>
      <c r="W173" s="6">
        <v>138.4</v>
      </c>
      <c r="X173" s="6">
        <v>134.19999999999999</v>
      </c>
      <c r="Y173" s="6">
        <v>121</v>
      </c>
      <c r="Z173" s="6">
        <v>133</v>
      </c>
      <c r="AA173" s="6">
        <v>140.1</v>
      </c>
      <c r="AB173" s="6">
        <v>127.4</v>
      </c>
      <c r="AC173" s="6">
        <v>130.69999999999999</v>
      </c>
      <c r="AD173" s="6">
        <v>138.30000000000001</v>
      </c>
    </row>
    <row r="174" spans="1:30">
      <c r="A174" s="3" t="s">
        <v>32</v>
      </c>
      <c r="B174" s="4">
        <v>2017</v>
      </c>
      <c r="C174" s="4" t="s">
        <v>42</v>
      </c>
      <c r="D174" s="4">
        <v>133.9</v>
      </c>
      <c r="E174" s="4">
        <v>142.80000000000001</v>
      </c>
      <c r="F174" s="4">
        <v>131.4</v>
      </c>
      <c r="G174" s="4">
        <v>139.1</v>
      </c>
      <c r="H174" s="4">
        <v>114.9</v>
      </c>
      <c r="I174" s="4">
        <v>135.6</v>
      </c>
      <c r="J174" s="4">
        <v>173.2</v>
      </c>
      <c r="K174" s="4">
        <v>124.1</v>
      </c>
      <c r="L174" s="4">
        <v>122.6</v>
      </c>
      <c r="M174" s="4">
        <v>137.80000000000001</v>
      </c>
      <c r="N174" s="4">
        <v>125.1</v>
      </c>
      <c r="O174" s="4">
        <v>145.5</v>
      </c>
      <c r="P174" s="4">
        <v>139.69999999999999</v>
      </c>
      <c r="Q174" s="4">
        <v>154.6</v>
      </c>
      <c r="R174" s="4">
        <v>134</v>
      </c>
      <c r="S174" s="4">
        <v>124.9</v>
      </c>
      <c r="T174" s="4">
        <v>132.6</v>
      </c>
      <c r="U174" s="4">
        <v>137.30000000000001</v>
      </c>
      <c r="V174" s="4">
        <v>122.6</v>
      </c>
      <c r="W174" s="4">
        <v>128.30000000000001</v>
      </c>
      <c r="X174" s="4">
        <v>126.6</v>
      </c>
      <c r="Y174" s="4">
        <v>115</v>
      </c>
      <c r="Z174" s="4">
        <v>124.8</v>
      </c>
      <c r="AA174" s="4">
        <v>136.30000000000001</v>
      </c>
      <c r="AB174" s="4">
        <v>124.6</v>
      </c>
      <c r="AC174" s="4">
        <v>124.5</v>
      </c>
      <c r="AD174" s="4">
        <v>133.5</v>
      </c>
    </row>
    <row r="175" spans="1:30">
      <c r="A175" s="5" t="s">
        <v>33</v>
      </c>
      <c r="B175" s="6">
        <v>2017</v>
      </c>
      <c r="C175" s="6" t="s">
        <v>42</v>
      </c>
      <c r="D175" s="6">
        <v>135.30000000000001</v>
      </c>
      <c r="E175" s="6">
        <v>142.19999999999999</v>
      </c>
      <c r="F175" s="6">
        <v>131.19999999999999</v>
      </c>
      <c r="G175" s="6">
        <v>140.6</v>
      </c>
      <c r="H175" s="6">
        <v>119</v>
      </c>
      <c r="I175" s="6">
        <v>141.5</v>
      </c>
      <c r="J175" s="6">
        <v>162.6</v>
      </c>
      <c r="K175" s="6">
        <v>132.30000000000001</v>
      </c>
      <c r="L175" s="6">
        <v>121.8</v>
      </c>
      <c r="M175" s="6">
        <v>136.30000000000001</v>
      </c>
      <c r="N175" s="6">
        <v>128.69999999999999</v>
      </c>
      <c r="O175" s="6">
        <v>148.1</v>
      </c>
      <c r="P175" s="6">
        <v>140.1</v>
      </c>
      <c r="Q175" s="6">
        <v>151.6</v>
      </c>
      <c r="R175" s="6">
        <v>142</v>
      </c>
      <c r="S175" s="6">
        <v>134.1</v>
      </c>
      <c r="T175" s="6">
        <v>140.80000000000001</v>
      </c>
      <c r="U175" s="6">
        <v>137.30000000000001</v>
      </c>
      <c r="V175" s="6">
        <v>132.19999999999999</v>
      </c>
      <c r="W175" s="6">
        <v>133.6</v>
      </c>
      <c r="X175" s="6">
        <v>131.30000000000001</v>
      </c>
      <c r="Y175" s="6">
        <v>117.8</v>
      </c>
      <c r="Z175" s="6">
        <v>128.4</v>
      </c>
      <c r="AA175" s="6">
        <v>137.9</v>
      </c>
      <c r="AB175" s="6">
        <v>126.2</v>
      </c>
      <c r="AC175" s="6">
        <v>127.7</v>
      </c>
      <c r="AD175" s="6">
        <v>136.1</v>
      </c>
    </row>
    <row r="176" spans="1:30">
      <c r="A176" s="3" t="s">
        <v>30</v>
      </c>
      <c r="B176" s="4">
        <v>2017</v>
      </c>
      <c r="C176" s="4" t="s">
        <v>43</v>
      </c>
      <c r="D176" s="4">
        <v>136.30000000000001</v>
      </c>
      <c r="E176" s="4">
        <v>142.5</v>
      </c>
      <c r="F176" s="4">
        <v>140.5</v>
      </c>
      <c r="G176" s="4">
        <v>141.5</v>
      </c>
      <c r="H176" s="4">
        <v>121.6</v>
      </c>
      <c r="I176" s="4">
        <v>147.30000000000001</v>
      </c>
      <c r="J176" s="4">
        <v>168</v>
      </c>
      <c r="K176" s="4">
        <v>135.80000000000001</v>
      </c>
      <c r="L176" s="4">
        <v>122.5</v>
      </c>
      <c r="M176" s="4">
        <v>136</v>
      </c>
      <c r="N176" s="4">
        <v>131.9</v>
      </c>
      <c r="O176" s="4">
        <v>151.4</v>
      </c>
      <c r="P176" s="4">
        <v>142.4</v>
      </c>
      <c r="Q176" s="4">
        <v>152.1</v>
      </c>
      <c r="R176" s="4">
        <v>148.19999999999999</v>
      </c>
      <c r="S176" s="4">
        <v>141.5</v>
      </c>
      <c r="T176" s="4">
        <v>147.30000000000001</v>
      </c>
      <c r="U176" s="4">
        <v>138.85</v>
      </c>
      <c r="V176" s="4">
        <v>141.1</v>
      </c>
      <c r="W176" s="4">
        <v>139.4</v>
      </c>
      <c r="X176" s="4">
        <v>135.80000000000001</v>
      </c>
      <c r="Y176" s="4">
        <v>121.6</v>
      </c>
      <c r="Z176" s="4">
        <v>133.69999999999999</v>
      </c>
      <c r="AA176" s="4">
        <v>141.5</v>
      </c>
      <c r="AB176" s="4">
        <v>128.1</v>
      </c>
      <c r="AC176" s="4">
        <v>131.69999999999999</v>
      </c>
      <c r="AD176" s="4">
        <v>140</v>
      </c>
    </row>
    <row r="177" spans="1:30">
      <c r="A177" s="5" t="s">
        <v>32</v>
      </c>
      <c r="B177" s="6">
        <v>2017</v>
      </c>
      <c r="C177" s="6" t="s">
        <v>43</v>
      </c>
      <c r="D177" s="6">
        <v>134.30000000000001</v>
      </c>
      <c r="E177" s="6">
        <v>142.1</v>
      </c>
      <c r="F177" s="6">
        <v>146.69999999999999</v>
      </c>
      <c r="G177" s="6">
        <v>139.5</v>
      </c>
      <c r="H177" s="6">
        <v>115.2</v>
      </c>
      <c r="I177" s="6">
        <v>136.4</v>
      </c>
      <c r="J177" s="6">
        <v>185.2</v>
      </c>
      <c r="K177" s="6">
        <v>122.2</v>
      </c>
      <c r="L177" s="6">
        <v>123.9</v>
      </c>
      <c r="M177" s="6">
        <v>138.30000000000001</v>
      </c>
      <c r="N177" s="6">
        <v>125.4</v>
      </c>
      <c r="O177" s="6">
        <v>146</v>
      </c>
      <c r="P177" s="6">
        <v>141.5</v>
      </c>
      <c r="Q177" s="6">
        <v>156.19999999999999</v>
      </c>
      <c r="R177" s="6">
        <v>135</v>
      </c>
      <c r="S177" s="6">
        <v>125.4</v>
      </c>
      <c r="T177" s="6">
        <v>133.5</v>
      </c>
      <c r="U177" s="6">
        <v>138.6</v>
      </c>
      <c r="V177" s="6">
        <v>125.7</v>
      </c>
      <c r="W177" s="6">
        <v>128.80000000000001</v>
      </c>
      <c r="X177" s="6">
        <v>127.4</v>
      </c>
      <c r="Y177" s="6">
        <v>115.3</v>
      </c>
      <c r="Z177" s="6">
        <v>125.1</v>
      </c>
      <c r="AA177" s="6">
        <v>136.6</v>
      </c>
      <c r="AB177" s="6">
        <v>124.9</v>
      </c>
      <c r="AC177" s="6">
        <v>124.9</v>
      </c>
      <c r="AD177" s="6">
        <v>134.80000000000001</v>
      </c>
    </row>
    <row r="178" spans="1:30">
      <c r="A178" s="3" t="s">
        <v>33</v>
      </c>
      <c r="B178" s="4">
        <v>2017</v>
      </c>
      <c r="C178" s="4" t="s">
        <v>43</v>
      </c>
      <c r="D178" s="4">
        <v>135.69999999999999</v>
      </c>
      <c r="E178" s="4">
        <v>142.4</v>
      </c>
      <c r="F178" s="4">
        <v>142.9</v>
      </c>
      <c r="G178" s="4">
        <v>140.80000000000001</v>
      </c>
      <c r="H178" s="4">
        <v>119.2</v>
      </c>
      <c r="I178" s="4">
        <v>142.19999999999999</v>
      </c>
      <c r="J178" s="4">
        <v>173.8</v>
      </c>
      <c r="K178" s="4">
        <v>131.19999999999999</v>
      </c>
      <c r="L178" s="4">
        <v>123</v>
      </c>
      <c r="M178" s="4">
        <v>136.80000000000001</v>
      </c>
      <c r="N178" s="4">
        <v>129.19999999999999</v>
      </c>
      <c r="O178" s="4">
        <v>148.9</v>
      </c>
      <c r="P178" s="4">
        <v>142.1</v>
      </c>
      <c r="Q178" s="4">
        <v>153.19999999999999</v>
      </c>
      <c r="R178" s="4">
        <v>143</v>
      </c>
      <c r="S178" s="4">
        <v>134.80000000000001</v>
      </c>
      <c r="T178" s="4">
        <v>141.80000000000001</v>
      </c>
      <c r="U178" s="4">
        <v>138.6</v>
      </c>
      <c r="V178" s="4">
        <v>135.30000000000001</v>
      </c>
      <c r="W178" s="4">
        <v>134.4</v>
      </c>
      <c r="X178" s="4">
        <v>132.6</v>
      </c>
      <c r="Y178" s="4">
        <v>118.3</v>
      </c>
      <c r="Z178" s="4">
        <v>128.9</v>
      </c>
      <c r="AA178" s="4">
        <v>138.6</v>
      </c>
      <c r="AB178" s="4">
        <v>126.8</v>
      </c>
      <c r="AC178" s="4">
        <v>128.4</v>
      </c>
      <c r="AD178" s="4">
        <v>137.6</v>
      </c>
    </row>
    <row r="179" spans="1:30">
      <c r="A179" s="5" t="s">
        <v>30</v>
      </c>
      <c r="B179" s="6">
        <v>2017</v>
      </c>
      <c r="C179" s="6" t="s">
        <v>44</v>
      </c>
      <c r="D179" s="6">
        <v>136.4</v>
      </c>
      <c r="E179" s="6">
        <v>143.69999999999999</v>
      </c>
      <c r="F179" s="6">
        <v>144.80000000000001</v>
      </c>
      <c r="G179" s="6">
        <v>141.9</v>
      </c>
      <c r="H179" s="6">
        <v>123.1</v>
      </c>
      <c r="I179" s="6">
        <v>147.19999999999999</v>
      </c>
      <c r="J179" s="6">
        <v>161</v>
      </c>
      <c r="K179" s="6">
        <v>133.80000000000001</v>
      </c>
      <c r="L179" s="6">
        <v>121.9</v>
      </c>
      <c r="M179" s="6">
        <v>135.80000000000001</v>
      </c>
      <c r="N179" s="6">
        <v>131.1</v>
      </c>
      <c r="O179" s="6">
        <v>151.4</v>
      </c>
      <c r="P179" s="6">
        <v>141.5</v>
      </c>
      <c r="Q179" s="6">
        <v>153.19999999999999</v>
      </c>
      <c r="R179" s="6">
        <v>148</v>
      </c>
      <c r="S179" s="6">
        <v>141.9</v>
      </c>
      <c r="T179" s="6">
        <v>147.19999999999999</v>
      </c>
      <c r="U179" s="6">
        <v>138.85</v>
      </c>
      <c r="V179" s="6">
        <v>142.6</v>
      </c>
      <c r="W179" s="6">
        <v>139.5</v>
      </c>
      <c r="X179" s="6">
        <v>136.1</v>
      </c>
      <c r="Y179" s="6">
        <v>122</v>
      </c>
      <c r="Z179" s="6">
        <v>133.4</v>
      </c>
      <c r="AA179" s="6">
        <v>141.1</v>
      </c>
      <c r="AB179" s="6">
        <v>127.8</v>
      </c>
      <c r="AC179" s="6">
        <v>131.9</v>
      </c>
      <c r="AD179" s="6">
        <v>139.80000000000001</v>
      </c>
    </row>
    <row r="180" spans="1:30">
      <c r="A180" s="3" t="s">
        <v>32</v>
      </c>
      <c r="B180" s="4">
        <v>2017</v>
      </c>
      <c r="C180" s="4" t="s">
        <v>44</v>
      </c>
      <c r="D180" s="4">
        <v>134.4</v>
      </c>
      <c r="E180" s="4">
        <v>142.6</v>
      </c>
      <c r="F180" s="4">
        <v>145.9</v>
      </c>
      <c r="G180" s="4">
        <v>139.5</v>
      </c>
      <c r="H180" s="4">
        <v>115.9</v>
      </c>
      <c r="I180" s="4">
        <v>135</v>
      </c>
      <c r="J180" s="4">
        <v>163.19999999999999</v>
      </c>
      <c r="K180" s="4">
        <v>119.8</v>
      </c>
      <c r="L180" s="4">
        <v>120.7</v>
      </c>
      <c r="M180" s="4">
        <v>139.69999999999999</v>
      </c>
      <c r="N180" s="4">
        <v>125.7</v>
      </c>
      <c r="O180" s="4">
        <v>146.30000000000001</v>
      </c>
      <c r="P180" s="4">
        <v>138.80000000000001</v>
      </c>
      <c r="Q180" s="4">
        <v>157</v>
      </c>
      <c r="R180" s="4">
        <v>135.6</v>
      </c>
      <c r="S180" s="4">
        <v>125.6</v>
      </c>
      <c r="T180" s="4">
        <v>134</v>
      </c>
      <c r="U180" s="4">
        <v>139.1</v>
      </c>
      <c r="V180" s="4">
        <v>126.8</v>
      </c>
      <c r="W180" s="4">
        <v>129.30000000000001</v>
      </c>
      <c r="X180" s="4">
        <v>128.19999999999999</v>
      </c>
      <c r="Y180" s="4">
        <v>115.3</v>
      </c>
      <c r="Z180" s="4">
        <v>125.6</v>
      </c>
      <c r="AA180" s="4">
        <v>136.69999999999999</v>
      </c>
      <c r="AB180" s="4">
        <v>124.6</v>
      </c>
      <c r="AC180" s="4">
        <v>125.1</v>
      </c>
      <c r="AD180" s="4">
        <v>134.1</v>
      </c>
    </row>
    <row r="181" spans="1:30">
      <c r="A181" s="5" t="s">
        <v>33</v>
      </c>
      <c r="B181" s="6">
        <v>2017</v>
      </c>
      <c r="C181" s="6" t="s">
        <v>44</v>
      </c>
      <c r="D181" s="6">
        <v>135.80000000000001</v>
      </c>
      <c r="E181" s="6">
        <v>143.30000000000001</v>
      </c>
      <c r="F181" s="6">
        <v>145.19999999999999</v>
      </c>
      <c r="G181" s="6">
        <v>141</v>
      </c>
      <c r="H181" s="6">
        <v>120.5</v>
      </c>
      <c r="I181" s="6">
        <v>141.5</v>
      </c>
      <c r="J181" s="6">
        <v>161.69999999999999</v>
      </c>
      <c r="K181" s="6">
        <v>129.1</v>
      </c>
      <c r="L181" s="6">
        <v>121.5</v>
      </c>
      <c r="M181" s="6">
        <v>137.1</v>
      </c>
      <c r="N181" s="6">
        <v>128.80000000000001</v>
      </c>
      <c r="O181" s="6">
        <v>149</v>
      </c>
      <c r="P181" s="6">
        <v>140.5</v>
      </c>
      <c r="Q181" s="6">
        <v>154.19999999999999</v>
      </c>
      <c r="R181" s="6">
        <v>143.1</v>
      </c>
      <c r="S181" s="6">
        <v>135.1</v>
      </c>
      <c r="T181" s="6">
        <v>142</v>
      </c>
      <c r="U181" s="6">
        <v>139.1</v>
      </c>
      <c r="V181" s="6">
        <v>136.6</v>
      </c>
      <c r="W181" s="6">
        <v>134.69999999999999</v>
      </c>
      <c r="X181" s="6">
        <v>133.1</v>
      </c>
      <c r="Y181" s="6">
        <v>118.5</v>
      </c>
      <c r="Z181" s="6">
        <v>129</v>
      </c>
      <c r="AA181" s="6">
        <v>138.5</v>
      </c>
      <c r="AB181" s="6">
        <v>126.5</v>
      </c>
      <c r="AC181" s="6">
        <v>128.6</v>
      </c>
      <c r="AD181" s="6">
        <v>137.19999999999999</v>
      </c>
    </row>
    <row r="182" spans="1:30">
      <c r="A182" s="3" t="s">
        <v>30</v>
      </c>
      <c r="B182" s="4">
        <v>2018</v>
      </c>
      <c r="C182" s="4" t="s">
        <v>31</v>
      </c>
      <c r="D182" s="4">
        <v>136.6</v>
      </c>
      <c r="E182" s="4">
        <v>144.4</v>
      </c>
      <c r="F182" s="4">
        <v>143.80000000000001</v>
      </c>
      <c r="G182" s="4">
        <v>142</v>
      </c>
      <c r="H182" s="4">
        <v>123.2</v>
      </c>
      <c r="I182" s="4">
        <v>147.9</v>
      </c>
      <c r="J182" s="4">
        <v>152.1</v>
      </c>
      <c r="K182" s="4">
        <v>131.80000000000001</v>
      </c>
      <c r="L182" s="4">
        <v>119.5</v>
      </c>
      <c r="M182" s="4">
        <v>136</v>
      </c>
      <c r="N182" s="4">
        <v>131.19999999999999</v>
      </c>
      <c r="O182" s="4">
        <v>151.80000000000001</v>
      </c>
      <c r="P182" s="4">
        <v>140.4</v>
      </c>
      <c r="Q182" s="4">
        <v>153.6</v>
      </c>
      <c r="R182" s="4">
        <v>148.30000000000001</v>
      </c>
      <c r="S182" s="4">
        <v>142.30000000000001</v>
      </c>
      <c r="T182" s="4">
        <v>147.5</v>
      </c>
      <c r="U182" s="4">
        <v>140.85</v>
      </c>
      <c r="V182" s="4">
        <v>142.30000000000001</v>
      </c>
      <c r="W182" s="4">
        <v>139.80000000000001</v>
      </c>
      <c r="X182" s="4">
        <v>136</v>
      </c>
      <c r="Y182" s="4">
        <v>122.7</v>
      </c>
      <c r="Z182" s="4">
        <v>134.30000000000001</v>
      </c>
      <c r="AA182" s="4">
        <v>141.6</v>
      </c>
      <c r="AB182" s="4">
        <v>128.6</v>
      </c>
      <c r="AC182" s="4">
        <v>132.30000000000001</v>
      </c>
      <c r="AD182" s="4">
        <v>139.30000000000001</v>
      </c>
    </row>
    <row r="183" spans="1:30">
      <c r="A183" s="5" t="s">
        <v>32</v>
      </c>
      <c r="B183" s="6">
        <v>2018</v>
      </c>
      <c r="C183" s="6" t="s">
        <v>31</v>
      </c>
      <c r="D183" s="6">
        <v>134.6</v>
      </c>
      <c r="E183" s="6">
        <v>143.69999999999999</v>
      </c>
      <c r="F183" s="6">
        <v>143.6</v>
      </c>
      <c r="G183" s="6">
        <v>139.6</v>
      </c>
      <c r="H183" s="6">
        <v>116.4</v>
      </c>
      <c r="I183" s="6">
        <v>133.80000000000001</v>
      </c>
      <c r="J183" s="6">
        <v>150.5</v>
      </c>
      <c r="K183" s="6">
        <v>118.4</v>
      </c>
      <c r="L183" s="6">
        <v>117.3</v>
      </c>
      <c r="M183" s="6">
        <v>140.5</v>
      </c>
      <c r="N183" s="6">
        <v>125.9</v>
      </c>
      <c r="O183" s="6">
        <v>146.80000000000001</v>
      </c>
      <c r="P183" s="6">
        <v>137.19999999999999</v>
      </c>
      <c r="Q183" s="6">
        <v>157.69999999999999</v>
      </c>
      <c r="R183" s="6">
        <v>136</v>
      </c>
      <c r="S183" s="6">
        <v>125.9</v>
      </c>
      <c r="T183" s="6">
        <v>134.4</v>
      </c>
      <c r="U183" s="6">
        <v>140.4</v>
      </c>
      <c r="V183" s="6">
        <v>127.3</v>
      </c>
      <c r="W183" s="6">
        <v>129.5</v>
      </c>
      <c r="X183" s="6">
        <v>129</v>
      </c>
      <c r="Y183" s="6">
        <v>116.3</v>
      </c>
      <c r="Z183" s="6">
        <v>126.2</v>
      </c>
      <c r="AA183" s="6">
        <v>137.1</v>
      </c>
      <c r="AB183" s="6">
        <v>125.5</v>
      </c>
      <c r="AC183" s="6">
        <v>125.8</v>
      </c>
      <c r="AD183" s="6">
        <v>134.1</v>
      </c>
    </row>
    <row r="184" spans="1:30">
      <c r="A184" s="3" t="s">
        <v>33</v>
      </c>
      <c r="B184" s="4">
        <v>2018</v>
      </c>
      <c r="C184" s="4" t="s">
        <v>31</v>
      </c>
      <c r="D184" s="4">
        <v>136</v>
      </c>
      <c r="E184" s="4">
        <v>144.19999999999999</v>
      </c>
      <c r="F184" s="4">
        <v>143.69999999999999</v>
      </c>
      <c r="G184" s="4">
        <v>141.1</v>
      </c>
      <c r="H184" s="4">
        <v>120.7</v>
      </c>
      <c r="I184" s="4">
        <v>141.30000000000001</v>
      </c>
      <c r="J184" s="4">
        <v>151.6</v>
      </c>
      <c r="K184" s="4">
        <v>127.3</v>
      </c>
      <c r="L184" s="4">
        <v>118.8</v>
      </c>
      <c r="M184" s="4">
        <v>137.5</v>
      </c>
      <c r="N184" s="4">
        <v>129</v>
      </c>
      <c r="O184" s="4">
        <v>149.5</v>
      </c>
      <c r="P184" s="4">
        <v>139.19999999999999</v>
      </c>
      <c r="Q184" s="4">
        <v>154.69999999999999</v>
      </c>
      <c r="R184" s="4">
        <v>143.5</v>
      </c>
      <c r="S184" s="4">
        <v>135.5</v>
      </c>
      <c r="T184" s="4">
        <v>142.30000000000001</v>
      </c>
      <c r="U184" s="4">
        <v>140.4</v>
      </c>
      <c r="V184" s="4">
        <v>136.6</v>
      </c>
      <c r="W184" s="4">
        <v>134.9</v>
      </c>
      <c r="X184" s="4">
        <v>133.30000000000001</v>
      </c>
      <c r="Y184" s="4">
        <v>119.3</v>
      </c>
      <c r="Z184" s="4">
        <v>129.69999999999999</v>
      </c>
      <c r="AA184" s="4">
        <v>139</v>
      </c>
      <c r="AB184" s="4">
        <v>127.3</v>
      </c>
      <c r="AC184" s="4">
        <v>129.1</v>
      </c>
      <c r="AD184" s="4">
        <v>136.9</v>
      </c>
    </row>
    <row r="185" spans="1:30">
      <c r="A185" s="5" t="s">
        <v>30</v>
      </c>
      <c r="B185" s="6">
        <v>2018</v>
      </c>
      <c r="C185" s="6" t="s">
        <v>34</v>
      </c>
      <c r="D185" s="6">
        <v>136.4</v>
      </c>
      <c r="E185" s="6">
        <v>143.69999999999999</v>
      </c>
      <c r="F185" s="6">
        <v>140.6</v>
      </c>
      <c r="G185" s="6">
        <v>141.5</v>
      </c>
      <c r="H185" s="6">
        <v>122.9</v>
      </c>
      <c r="I185" s="6">
        <v>149.4</v>
      </c>
      <c r="J185" s="6">
        <v>142.4</v>
      </c>
      <c r="K185" s="6">
        <v>130.19999999999999</v>
      </c>
      <c r="L185" s="6">
        <v>117.9</v>
      </c>
      <c r="M185" s="6">
        <v>135.6</v>
      </c>
      <c r="N185" s="6">
        <v>130.5</v>
      </c>
      <c r="O185" s="6">
        <v>151.69999999999999</v>
      </c>
      <c r="P185" s="6">
        <v>138.69999999999999</v>
      </c>
      <c r="Q185" s="6">
        <v>153.30000000000001</v>
      </c>
      <c r="R185" s="6">
        <v>148.69999999999999</v>
      </c>
      <c r="S185" s="6">
        <v>142.4</v>
      </c>
      <c r="T185" s="6">
        <v>147.80000000000001</v>
      </c>
      <c r="U185" s="6">
        <v>140.85</v>
      </c>
      <c r="V185" s="6">
        <v>142.4</v>
      </c>
      <c r="W185" s="6">
        <v>139.9</v>
      </c>
      <c r="X185" s="6">
        <v>136.19999999999999</v>
      </c>
      <c r="Y185" s="6">
        <v>123.3</v>
      </c>
      <c r="Z185" s="6">
        <v>134.30000000000001</v>
      </c>
      <c r="AA185" s="6">
        <v>141.5</v>
      </c>
      <c r="AB185" s="6">
        <v>128.80000000000001</v>
      </c>
      <c r="AC185" s="6">
        <v>132.5</v>
      </c>
      <c r="AD185" s="6">
        <v>138.5</v>
      </c>
    </row>
    <row r="186" spans="1:30">
      <c r="A186" s="3" t="s">
        <v>32</v>
      </c>
      <c r="B186" s="4">
        <v>2018</v>
      </c>
      <c r="C186" s="4" t="s">
        <v>34</v>
      </c>
      <c r="D186" s="4">
        <v>134.80000000000001</v>
      </c>
      <c r="E186" s="4">
        <v>143</v>
      </c>
      <c r="F186" s="4">
        <v>139.9</v>
      </c>
      <c r="G186" s="4">
        <v>139.9</v>
      </c>
      <c r="H186" s="4">
        <v>116.2</v>
      </c>
      <c r="I186" s="4">
        <v>135.5</v>
      </c>
      <c r="J186" s="4">
        <v>136.9</v>
      </c>
      <c r="K186" s="4">
        <v>117</v>
      </c>
      <c r="L186" s="4">
        <v>115.4</v>
      </c>
      <c r="M186" s="4">
        <v>140.69999999999999</v>
      </c>
      <c r="N186" s="4">
        <v>125.9</v>
      </c>
      <c r="O186" s="4">
        <v>147.1</v>
      </c>
      <c r="P186" s="4">
        <v>135.6</v>
      </c>
      <c r="Q186" s="4">
        <v>159.30000000000001</v>
      </c>
      <c r="R186" s="4">
        <v>136.30000000000001</v>
      </c>
      <c r="S186" s="4">
        <v>126.1</v>
      </c>
      <c r="T186" s="4">
        <v>134.69999999999999</v>
      </c>
      <c r="U186" s="4">
        <v>141.30000000000001</v>
      </c>
      <c r="V186" s="4">
        <v>127.3</v>
      </c>
      <c r="W186" s="4">
        <v>129.9</v>
      </c>
      <c r="X186" s="4">
        <v>129.80000000000001</v>
      </c>
      <c r="Y186" s="4">
        <v>117.4</v>
      </c>
      <c r="Z186" s="4">
        <v>126.5</v>
      </c>
      <c r="AA186" s="4">
        <v>137.19999999999999</v>
      </c>
      <c r="AB186" s="4">
        <v>126.2</v>
      </c>
      <c r="AC186" s="4">
        <v>126.5</v>
      </c>
      <c r="AD186" s="4">
        <v>134</v>
      </c>
    </row>
    <row r="187" spans="1:30">
      <c r="A187" s="5" t="s">
        <v>33</v>
      </c>
      <c r="B187" s="6">
        <v>2018</v>
      </c>
      <c r="C187" s="6" t="s">
        <v>34</v>
      </c>
      <c r="D187" s="6">
        <v>135.9</v>
      </c>
      <c r="E187" s="6">
        <v>143.5</v>
      </c>
      <c r="F187" s="6">
        <v>140.30000000000001</v>
      </c>
      <c r="G187" s="6">
        <v>140.9</v>
      </c>
      <c r="H187" s="6">
        <v>120.4</v>
      </c>
      <c r="I187" s="6">
        <v>142.9</v>
      </c>
      <c r="J187" s="6">
        <v>140.5</v>
      </c>
      <c r="K187" s="6">
        <v>125.8</v>
      </c>
      <c r="L187" s="6">
        <v>117.1</v>
      </c>
      <c r="M187" s="6">
        <v>137.30000000000001</v>
      </c>
      <c r="N187" s="6">
        <v>128.6</v>
      </c>
      <c r="O187" s="6">
        <v>149.6</v>
      </c>
      <c r="P187" s="6">
        <v>137.6</v>
      </c>
      <c r="Q187" s="6">
        <v>154.9</v>
      </c>
      <c r="R187" s="6">
        <v>143.80000000000001</v>
      </c>
      <c r="S187" s="6">
        <v>135.6</v>
      </c>
      <c r="T187" s="6">
        <v>142.6</v>
      </c>
      <c r="U187" s="6">
        <v>141.30000000000001</v>
      </c>
      <c r="V187" s="6">
        <v>136.69999999999999</v>
      </c>
      <c r="W187" s="6">
        <v>135.19999999999999</v>
      </c>
      <c r="X187" s="6">
        <v>133.80000000000001</v>
      </c>
      <c r="Y187" s="6">
        <v>120.2</v>
      </c>
      <c r="Z187" s="6">
        <v>129.9</v>
      </c>
      <c r="AA187" s="6">
        <v>139</v>
      </c>
      <c r="AB187" s="6">
        <v>127.7</v>
      </c>
      <c r="AC187" s="6">
        <v>129.6</v>
      </c>
      <c r="AD187" s="6">
        <v>136.4</v>
      </c>
    </row>
    <row r="188" spans="1:30">
      <c r="A188" s="3" t="s">
        <v>30</v>
      </c>
      <c r="B188" s="4">
        <v>2018</v>
      </c>
      <c r="C188" s="4" t="s">
        <v>35</v>
      </c>
      <c r="D188" s="4">
        <v>136.80000000000001</v>
      </c>
      <c r="E188" s="4">
        <v>143.80000000000001</v>
      </c>
      <c r="F188" s="4">
        <v>140</v>
      </c>
      <c r="G188" s="4">
        <v>142</v>
      </c>
      <c r="H188" s="4">
        <v>123.2</v>
      </c>
      <c r="I188" s="4">
        <v>152.9</v>
      </c>
      <c r="J188" s="4">
        <v>138</v>
      </c>
      <c r="K188" s="4">
        <v>129.30000000000001</v>
      </c>
      <c r="L188" s="4">
        <v>117.1</v>
      </c>
      <c r="M188" s="4">
        <v>136.30000000000001</v>
      </c>
      <c r="N188" s="4">
        <v>131.19999999999999</v>
      </c>
      <c r="O188" s="4">
        <v>152.80000000000001</v>
      </c>
      <c r="P188" s="4">
        <v>138.6</v>
      </c>
      <c r="Q188" s="4">
        <v>155.1</v>
      </c>
      <c r="R188" s="4">
        <v>149.19999999999999</v>
      </c>
      <c r="S188" s="4">
        <v>143</v>
      </c>
      <c r="T188" s="4">
        <v>148.30000000000001</v>
      </c>
      <c r="U188" s="4">
        <v>142.44999999999999</v>
      </c>
      <c r="V188" s="4">
        <v>142.6</v>
      </c>
      <c r="W188" s="4">
        <v>139.9</v>
      </c>
      <c r="X188" s="4">
        <v>136.69999999999999</v>
      </c>
      <c r="Y188" s="4">
        <v>124.6</v>
      </c>
      <c r="Z188" s="4">
        <v>135.1</v>
      </c>
      <c r="AA188" s="4">
        <v>142.69999999999999</v>
      </c>
      <c r="AB188" s="4">
        <v>129.30000000000001</v>
      </c>
      <c r="AC188" s="4">
        <v>133.30000000000001</v>
      </c>
      <c r="AD188" s="4">
        <v>138.69999999999999</v>
      </c>
    </row>
    <row r="189" spans="1:30">
      <c r="A189" s="5" t="s">
        <v>32</v>
      </c>
      <c r="B189" s="6">
        <v>2018</v>
      </c>
      <c r="C189" s="6" t="s">
        <v>35</v>
      </c>
      <c r="D189" s="6">
        <v>135</v>
      </c>
      <c r="E189" s="6">
        <v>143.1</v>
      </c>
      <c r="F189" s="6">
        <v>135.5</v>
      </c>
      <c r="G189" s="6">
        <v>139.9</v>
      </c>
      <c r="H189" s="6">
        <v>116.5</v>
      </c>
      <c r="I189" s="6">
        <v>138.5</v>
      </c>
      <c r="J189" s="6">
        <v>128</v>
      </c>
      <c r="K189" s="6">
        <v>115.5</v>
      </c>
      <c r="L189" s="6">
        <v>114.2</v>
      </c>
      <c r="M189" s="6">
        <v>140.69999999999999</v>
      </c>
      <c r="N189" s="6">
        <v>126.2</v>
      </c>
      <c r="O189" s="6">
        <v>147.6</v>
      </c>
      <c r="P189" s="6">
        <v>134.80000000000001</v>
      </c>
      <c r="Q189" s="6">
        <v>159.69999999999999</v>
      </c>
      <c r="R189" s="6">
        <v>136.69999999999999</v>
      </c>
      <c r="S189" s="6">
        <v>126.7</v>
      </c>
      <c r="T189" s="6">
        <v>135.19999999999999</v>
      </c>
      <c r="U189" s="6">
        <v>142</v>
      </c>
      <c r="V189" s="6">
        <v>126.4</v>
      </c>
      <c r="W189" s="6">
        <v>130.80000000000001</v>
      </c>
      <c r="X189" s="6">
        <v>130.5</v>
      </c>
      <c r="Y189" s="6">
        <v>117.8</v>
      </c>
      <c r="Z189" s="6">
        <v>126.8</v>
      </c>
      <c r="AA189" s="6">
        <v>137.80000000000001</v>
      </c>
      <c r="AB189" s="6">
        <v>126.7</v>
      </c>
      <c r="AC189" s="6">
        <v>127.1</v>
      </c>
      <c r="AD189" s="6">
        <v>134</v>
      </c>
    </row>
    <row r="190" spans="1:30">
      <c r="A190" s="3" t="s">
        <v>33</v>
      </c>
      <c r="B190" s="4">
        <v>2018</v>
      </c>
      <c r="C190" s="4" t="s">
        <v>35</v>
      </c>
      <c r="D190" s="4">
        <v>136.19999999999999</v>
      </c>
      <c r="E190" s="4">
        <v>143.6</v>
      </c>
      <c r="F190" s="4">
        <v>138.30000000000001</v>
      </c>
      <c r="G190" s="4">
        <v>141.19999999999999</v>
      </c>
      <c r="H190" s="4">
        <v>120.7</v>
      </c>
      <c r="I190" s="4">
        <v>146.19999999999999</v>
      </c>
      <c r="J190" s="4">
        <v>134.6</v>
      </c>
      <c r="K190" s="4">
        <v>124.6</v>
      </c>
      <c r="L190" s="4">
        <v>116.1</v>
      </c>
      <c r="M190" s="4">
        <v>137.80000000000001</v>
      </c>
      <c r="N190" s="4">
        <v>129.1</v>
      </c>
      <c r="O190" s="4">
        <v>150.4</v>
      </c>
      <c r="P190" s="4">
        <v>137.19999999999999</v>
      </c>
      <c r="Q190" s="4">
        <v>156.30000000000001</v>
      </c>
      <c r="R190" s="4">
        <v>144.30000000000001</v>
      </c>
      <c r="S190" s="4">
        <v>136.19999999999999</v>
      </c>
      <c r="T190" s="4">
        <v>143.1</v>
      </c>
      <c r="U190" s="4">
        <v>142</v>
      </c>
      <c r="V190" s="4">
        <v>136.5</v>
      </c>
      <c r="W190" s="4">
        <v>135.6</v>
      </c>
      <c r="X190" s="4">
        <v>134.30000000000001</v>
      </c>
      <c r="Y190" s="4">
        <v>121</v>
      </c>
      <c r="Z190" s="4">
        <v>130.4</v>
      </c>
      <c r="AA190" s="4">
        <v>139.80000000000001</v>
      </c>
      <c r="AB190" s="4">
        <v>128.19999999999999</v>
      </c>
      <c r="AC190" s="4">
        <v>130.30000000000001</v>
      </c>
      <c r="AD190" s="4">
        <v>136.5</v>
      </c>
    </row>
    <row r="191" spans="1:30">
      <c r="A191" s="5" t="s">
        <v>30</v>
      </c>
      <c r="B191" s="6">
        <v>2018</v>
      </c>
      <c r="C191" s="6" t="s">
        <v>36</v>
      </c>
      <c r="D191" s="6">
        <v>137.1</v>
      </c>
      <c r="E191" s="6">
        <v>144.5</v>
      </c>
      <c r="F191" s="6">
        <v>135.9</v>
      </c>
      <c r="G191" s="6">
        <v>142.4</v>
      </c>
      <c r="H191" s="6">
        <v>123.5</v>
      </c>
      <c r="I191" s="6">
        <v>156.4</v>
      </c>
      <c r="J191" s="6">
        <v>135.1</v>
      </c>
      <c r="K191" s="6">
        <v>128.4</v>
      </c>
      <c r="L191" s="6">
        <v>115.2</v>
      </c>
      <c r="M191" s="6">
        <v>137.19999999999999</v>
      </c>
      <c r="N191" s="6">
        <v>131.9</v>
      </c>
      <c r="O191" s="6">
        <v>153.80000000000001</v>
      </c>
      <c r="P191" s="6">
        <v>138.6</v>
      </c>
      <c r="Q191" s="6">
        <v>156.1</v>
      </c>
      <c r="R191" s="6">
        <v>150.1</v>
      </c>
      <c r="S191" s="6">
        <v>143.30000000000001</v>
      </c>
      <c r="T191" s="6">
        <v>149.1</v>
      </c>
      <c r="U191" s="6">
        <v>142.44999999999999</v>
      </c>
      <c r="V191" s="6">
        <v>143.80000000000001</v>
      </c>
      <c r="W191" s="6">
        <v>140.9</v>
      </c>
      <c r="X191" s="6">
        <v>137.6</v>
      </c>
      <c r="Y191" s="6">
        <v>125.3</v>
      </c>
      <c r="Z191" s="6">
        <v>136</v>
      </c>
      <c r="AA191" s="6">
        <v>143.69999999999999</v>
      </c>
      <c r="AB191" s="6">
        <v>130.4</v>
      </c>
      <c r="AC191" s="6">
        <v>134.19999999999999</v>
      </c>
      <c r="AD191" s="6">
        <v>139.1</v>
      </c>
    </row>
    <row r="192" spans="1:30">
      <c r="A192" s="3" t="s">
        <v>32</v>
      </c>
      <c r="B192" s="4">
        <v>2018</v>
      </c>
      <c r="C192" s="4" t="s">
        <v>36</v>
      </c>
      <c r="D192" s="4">
        <v>135</v>
      </c>
      <c r="E192" s="4">
        <v>144.30000000000001</v>
      </c>
      <c r="F192" s="4">
        <v>130.80000000000001</v>
      </c>
      <c r="G192" s="4">
        <v>140.30000000000001</v>
      </c>
      <c r="H192" s="4">
        <v>116.6</v>
      </c>
      <c r="I192" s="4">
        <v>150.1</v>
      </c>
      <c r="J192" s="4">
        <v>127.6</v>
      </c>
      <c r="K192" s="4">
        <v>114</v>
      </c>
      <c r="L192" s="4">
        <v>110.6</v>
      </c>
      <c r="M192" s="4">
        <v>140.19999999999999</v>
      </c>
      <c r="N192" s="4">
        <v>126.5</v>
      </c>
      <c r="O192" s="4">
        <v>148.30000000000001</v>
      </c>
      <c r="P192" s="4">
        <v>135.69999999999999</v>
      </c>
      <c r="Q192" s="4">
        <v>159.19999999999999</v>
      </c>
      <c r="R192" s="4">
        <v>137.80000000000001</v>
      </c>
      <c r="S192" s="4">
        <v>127.4</v>
      </c>
      <c r="T192" s="4">
        <v>136.19999999999999</v>
      </c>
      <c r="U192" s="4">
        <v>142.9</v>
      </c>
      <c r="V192" s="4">
        <v>124.6</v>
      </c>
      <c r="W192" s="4">
        <v>131.80000000000001</v>
      </c>
      <c r="X192" s="4">
        <v>131.30000000000001</v>
      </c>
      <c r="Y192" s="4">
        <v>118.9</v>
      </c>
      <c r="Z192" s="4">
        <v>127.6</v>
      </c>
      <c r="AA192" s="4">
        <v>139.69999999999999</v>
      </c>
      <c r="AB192" s="4">
        <v>127.6</v>
      </c>
      <c r="AC192" s="4">
        <v>128.19999999999999</v>
      </c>
      <c r="AD192" s="4">
        <v>134.80000000000001</v>
      </c>
    </row>
    <row r="193" spans="1:30">
      <c r="A193" s="5" t="s">
        <v>33</v>
      </c>
      <c r="B193" s="6">
        <v>2018</v>
      </c>
      <c r="C193" s="6" t="s">
        <v>36</v>
      </c>
      <c r="D193" s="6">
        <v>136.4</v>
      </c>
      <c r="E193" s="6">
        <v>144.4</v>
      </c>
      <c r="F193" s="6">
        <v>133.9</v>
      </c>
      <c r="G193" s="6">
        <v>141.6</v>
      </c>
      <c r="H193" s="6">
        <v>121</v>
      </c>
      <c r="I193" s="6">
        <v>153.5</v>
      </c>
      <c r="J193" s="6">
        <v>132.6</v>
      </c>
      <c r="K193" s="6">
        <v>123.5</v>
      </c>
      <c r="L193" s="6">
        <v>113.7</v>
      </c>
      <c r="M193" s="6">
        <v>138.19999999999999</v>
      </c>
      <c r="N193" s="6">
        <v>129.6</v>
      </c>
      <c r="O193" s="6">
        <v>151.19999999999999</v>
      </c>
      <c r="P193" s="6">
        <v>137.5</v>
      </c>
      <c r="Q193" s="6">
        <v>156.9</v>
      </c>
      <c r="R193" s="6">
        <v>145.30000000000001</v>
      </c>
      <c r="S193" s="6">
        <v>136.69999999999999</v>
      </c>
      <c r="T193" s="6">
        <v>144</v>
      </c>
      <c r="U193" s="6">
        <v>142.9</v>
      </c>
      <c r="V193" s="6">
        <v>136.5</v>
      </c>
      <c r="W193" s="6">
        <v>136.6</v>
      </c>
      <c r="X193" s="6">
        <v>135.19999999999999</v>
      </c>
      <c r="Y193" s="6">
        <v>121.9</v>
      </c>
      <c r="Z193" s="6">
        <v>131.30000000000001</v>
      </c>
      <c r="AA193" s="6">
        <v>141.4</v>
      </c>
      <c r="AB193" s="6">
        <v>129.19999999999999</v>
      </c>
      <c r="AC193" s="6">
        <v>131.30000000000001</v>
      </c>
      <c r="AD193" s="6">
        <v>137.1</v>
      </c>
    </row>
    <row r="194" spans="1:30">
      <c r="A194" s="3" t="s">
        <v>30</v>
      </c>
      <c r="B194" s="4">
        <v>2018</v>
      </c>
      <c r="C194" s="4" t="s">
        <v>37</v>
      </c>
      <c r="D194" s="4">
        <v>137.4</v>
      </c>
      <c r="E194" s="4">
        <v>145.69999999999999</v>
      </c>
      <c r="F194" s="4">
        <v>135.5</v>
      </c>
      <c r="G194" s="4">
        <v>142.9</v>
      </c>
      <c r="H194" s="4">
        <v>123.6</v>
      </c>
      <c r="I194" s="4">
        <v>157.5</v>
      </c>
      <c r="J194" s="4">
        <v>137.80000000000001</v>
      </c>
      <c r="K194" s="4">
        <v>127.2</v>
      </c>
      <c r="L194" s="4">
        <v>111.8</v>
      </c>
      <c r="M194" s="4">
        <v>137.4</v>
      </c>
      <c r="N194" s="4">
        <v>132.19999999999999</v>
      </c>
      <c r="O194" s="4">
        <v>154.30000000000001</v>
      </c>
      <c r="P194" s="4">
        <v>139.1</v>
      </c>
      <c r="Q194" s="4">
        <v>157</v>
      </c>
      <c r="R194" s="4">
        <v>150.80000000000001</v>
      </c>
      <c r="S194" s="4">
        <v>144.1</v>
      </c>
      <c r="T194" s="4">
        <v>149.80000000000001</v>
      </c>
      <c r="U194" s="4">
        <v>142.85</v>
      </c>
      <c r="V194" s="4">
        <v>144.30000000000001</v>
      </c>
      <c r="W194" s="4">
        <v>141.80000000000001</v>
      </c>
      <c r="X194" s="4">
        <v>138.4</v>
      </c>
      <c r="Y194" s="4">
        <v>126.4</v>
      </c>
      <c r="Z194" s="4">
        <v>136.80000000000001</v>
      </c>
      <c r="AA194" s="4">
        <v>144.4</v>
      </c>
      <c r="AB194" s="4">
        <v>131.19999999999999</v>
      </c>
      <c r="AC194" s="4">
        <v>135.1</v>
      </c>
      <c r="AD194" s="4">
        <v>139.80000000000001</v>
      </c>
    </row>
    <row r="195" spans="1:30">
      <c r="A195" s="5" t="s">
        <v>32</v>
      </c>
      <c r="B195" s="6">
        <v>2018</v>
      </c>
      <c r="C195" s="6" t="s">
        <v>37</v>
      </c>
      <c r="D195" s="6">
        <v>135</v>
      </c>
      <c r="E195" s="6">
        <v>148.19999999999999</v>
      </c>
      <c r="F195" s="6">
        <v>130.5</v>
      </c>
      <c r="G195" s="6">
        <v>140.69999999999999</v>
      </c>
      <c r="H195" s="6">
        <v>116.4</v>
      </c>
      <c r="I195" s="6">
        <v>151.30000000000001</v>
      </c>
      <c r="J195" s="6">
        <v>131.4</v>
      </c>
      <c r="K195" s="6">
        <v>112.8</v>
      </c>
      <c r="L195" s="6">
        <v>105.3</v>
      </c>
      <c r="M195" s="6">
        <v>139.6</v>
      </c>
      <c r="N195" s="6">
        <v>126.6</v>
      </c>
      <c r="O195" s="6">
        <v>148.69999999999999</v>
      </c>
      <c r="P195" s="6">
        <v>136.4</v>
      </c>
      <c r="Q195" s="6">
        <v>160.30000000000001</v>
      </c>
      <c r="R195" s="6">
        <v>138.6</v>
      </c>
      <c r="S195" s="6">
        <v>127.9</v>
      </c>
      <c r="T195" s="6">
        <v>137</v>
      </c>
      <c r="U195" s="6">
        <v>143.19999999999999</v>
      </c>
      <c r="V195" s="6">
        <v>124.7</v>
      </c>
      <c r="W195" s="6">
        <v>132.5</v>
      </c>
      <c r="X195" s="6">
        <v>132</v>
      </c>
      <c r="Y195" s="6">
        <v>119.8</v>
      </c>
      <c r="Z195" s="6">
        <v>128</v>
      </c>
      <c r="AA195" s="6">
        <v>140.4</v>
      </c>
      <c r="AB195" s="6">
        <v>128.1</v>
      </c>
      <c r="AC195" s="6">
        <v>128.9</v>
      </c>
      <c r="AD195" s="6">
        <v>135.4</v>
      </c>
    </row>
    <row r="196" spans="1:30">
      <c r="A196" s="3" t="s">
        <v>33</v>
      </c>
      <c r="B196" s="4">
        <v>2018</v>
      </c>
      <c r="C196" s="4" t="s">
        <v>37</v>
      </c>
      <c r="D196" s="4">
        <v>136.6</v>
      </c>
      <c r="E196" s="4">
        <v>146.6</v>
      </c>
      <c r="F196" s="4">
        <v>133.6</v>
      </c>
      <c r="G196" s="4">
        <v>142.1</v>
      </c>
      <c r="H196" s="4">
        <v>121</v>
      </c>
      <c r="I196" s="4">
        <v>154.6</v>
      </c>
      <c r="J196" s="4">
        <v>135.6</v>
      </c>
      <c r="K196" s="4">
        <v>122.3</v>
      </c>
      <c r="L196" s="4">
        <v>109.6</v>
      </c>
      <c r="M196" s="4">
        <v>138.1</v>
      </c>
      <c r="N196" s="4">
        <v>129.9</v>
      </c>
      <c r="O196" s="4">
        <v>151.69999999999999</v>
      </c>
      <c r="P196" s="4">
        <v>138.1</v>
      </c>
      <c r="Q196" s="4">
        <v>157.9</v>
      </c>
      <c r="R196" s="4">
        <v>146</v>
      </c>
      <c r="S196" s="4">
        <v>137.4</v>
      </c>
      <c r="T196" s="4">
        <v>144.69999999999999</v>
      </c>
      <c r="U196" s="4">
        <v>143.19999999999999</v>
      </c>
      <c r="V196" s="4">
        <v>136.9</v>
      </c>
      <c r="W196" s="4">
        <v>137.4</v>
      </c>
      <c r="X196" s="4">
        <v>136</v>
      </c>
      <c r="Y196" s="4">
        <v>122.9</v>
      </c>
      <c r="Z196" s="4">
        <v>131.80000000000001</v>
      </c>
      <c r="AA196" s="4">
        <v>142.1</v>
      </c>
      <c r="AB196" s="4">
        <v>129.9</v>
      </c>
      <c r="AC196" s="4">
        <v>132.1</v>
      </c>
      <c r="AD196" s="4">
        <v>137.80000000000001</v>
      </c>
    </row>
    <row r="197" spans="1:30">
      <c r="A197" s="5" t="s">
        <v>30</v>
      </c>
      <c r="B197" s="6">
        <v>2018</v>
      </c>
      <c r="C197" s="6" t="s">
        <v>38</v>
      </c>
      <c r="D197" s="6">
        <v>137.6</v>
      </c>
      <c r="E197" s="6">
        <v>148.1</v>
      </c>
      <c r="F197" s="6">
        <v>136.69999999999999</v>
      </c>
      <c r="G197" s="6">
        <v>143.19999999999999</v>
      </c>
      <c r="H197" s="6">
        <v>124</v>
      </c>
      <c r="I197" s="6">
        <v>154.1</v>
      </c>
      <c r="J197" s="6">
        <v>143.5</v>
      </c>
      <c r="K197" s="6">
        <v>126</v>
      </c>
      <c r="L197" s="6">
        <v>112.4</v>
      </c>
      <c r="M197" s="6">
        <v>137.6</v>
      </c>
      <c r="N197" s="6">
        <v>132.80000000000001</v>
      </c>
      <c r="O197" s="6">
        <v>154.30000000000001</v>
      </c>
      <c r="P197" s="6">
        <v>140</v>
      </c>
      <c r="Q197" s="6">
        <v>157.30000000000001</v>
      </c>
      <c r="R197" s="6">
        <v>151.30000000000001</v>
      </c>
      <c r="S197" s="6">
        <v>144.69999999999999</v>
      </c>
      <c r="T197" s="6">
        <v>150.30000000000001</v>
      </c>
      <c r="U197" s="6">
        <v>142.85</v>
      </c>
      <c r="V197" s="6">
        <v>145.1</v>
      </c>
      <c r="W197" s="6">
        <v>142.19999999999999</v>
      </c>
      <c r="X197" s="6">
        <v>138.4</v>
      </c>
      <c r="Y197" s="6">
        <v>127.4</v>
      </c>
      <c r="Z197" s="6">
        <v>137.80000000000001</v>
      </c>
      <c r="AA197" s="6">
        <v>145.1</v>
      </c>
      <c r="AB197" s="6">
        <v>131.4</v>
      </c>
      <c r="AC197" s="6">
        <v>135.6</v>
      </c>
      <c r="AD197" s="6">
        <v>140.5</v>
      </c>
    </row>
    <row r="198" spans="1:30">
      <c r="A198" s="3" t="s">
        <v>32</v>
      </c>
      <c r="B198" s="4">
        <v>2018</v>
      </c>
      <c r="C198" s="4" t="s">
        <v>38</v>
      </c>
      <c r="D198" s="4">
        <v>135.30000000000001</v>
      </c>
      <c r="E198" s="4">
        <v>149.69999999999999</v>
      </c>
      <c r="F198" s="4">
        <v>133.9</v>
      </c>
      <c r="G198" s="4">
        <v>140.80000000000001</v>
      </c>
      <c r="H198" s="4">
        <v>116.6</v>
      </c>
      <c r="I198" s="4">
        <v>152.19999999999999</v>
      </c>
      <c r="J198" s="4">
        <v>144</v>
      </c>
      <c r="K198" s="4">
        <v>112.3</v>
      </c>
      <c r="L198" s="4">
        <v>108.4</v>
      </c>
      <c r="M198" s="4">
        <v>140</v>
      </c>
      <c r="N198" s="4">
        <v>126.7</v>
      </c>
      <c r="O198" s="4">
        <v>149</v>
      </c>
      <c r="P198" s="4">
        <v>138.4</v>
      </c>
      <c r="Q198" s="4">
        <v>161</v>
      </c>
      <c r="R198" s="4">
        <v>138.9</v>
      </c>
      <c r="S198" s="4">
        <v>128.69999999999999</v>
      </c>
      <c r="T198" s="4">
        <v>137.4</v>
      </c>
      <c r="U198" s="4">
        <v>142.5</v>
      </c>
      <c r="V198" s="4">
        <v>126.5</v>
      </c>
      <c r="W198" s="4">
        <v>133.1</v>
      </c>
      <c r="X198" s="4">
        <v>132.6</v>
      </c>
      <c r="Y198" s="4">
        <v>120.4</v>
      </c>
      <c r="Z198" s="4">
        <v>128.5</v>
      </c>
      <c r="AA198" s="4">
        <v>141.19999999999999</v>
      </c>
      <c r="AB198" s="4">
        <v>128.19999999999999</v>
      </c>
      <c r="AC198" s="4">
        <v>129.5</v>
      </c>
      <c r="AD198" s="4">
        <v>136.19999999999999</v>
      </c>
    </row>
    <row r="199" spans="1:30">
      <c r="A199" s="5" t="s">
        <v>33</v>
      </c>
      <c r="B199" s="6">
        <v>2018</v>
      </c>
      <c r="C199" s="6" t="s">
        <v>38</v>
      </c>
      <c r="D199" s="6">
        <v>136.9</v>
      </c>
      <c r="E199" s="6">
        <v>148.69999999999999</v>
      </c>
      <c r="F199" s="6">
        <v>135.6</v>
      </c>
      <c r="G199" s="6">
        <v>142.30000000000001</v>
      </c>
      <c r="H199" s="6">
        <v>121.3</v>
      </c>
      <c r="I199" s="6">
        <v>153.19999999999999</v>
      </c>
      <c r="J199" s="6">
        <v>143.69999999999999</v>
      </c>
      <c r="K199" s="6">
        <v>121.4</v>
      </c>
      <c r="L199" s="6">
        <v>111.1</v>
      </c>
      <c r="M199" s="6">
        <v>138.4</v>
      </c>
      <c r="N199" s="6">
        <v>130.30000000000001</v>
      </c>
      <c r="O199" s="6">
        <v>151.80000000000001</v>
      </c>
      <c r="P199" s="6">
        <v>139.4</v>
      </c>
      <c r="Q199" s="6">
        <v>158.30000000000001</v>
      </c>
      <c r="R199" s="6">
        <v>146.4</v>
      </c>
      <c r="S199" s="6">
        <v>138.1</v>
      </c>
      <c r="T199" s="6">
        <v>145.19999999999999</v>
      </c>
      <c r="U199" s="6">
        <v>142.5</v>
      </c>
      <c r="V199" s="6">
        <v>138.1</v>
      </c>
      <c r="W199" s="6">
        <v>137.9</v>
      </c>
      <c r="X199" s="6">
        <v>136.19999999999999</v>
      </c>
      <c r="Y199" s="6">
        <v>123.7</v>
      </c>
      <c r="Z199" s="6">
        <v>132.6</v>
      </c>
      <c r="AA199" s="6">
        <v>142.80000000000001</v>
      </c>
      <c r="AB199" s="6">
        <v>130.1</v>
      </c>
      <c r="AC199" s="6">
        <v>132.6</v>
      </c>
      <c r="AD199" s="6">
        <v>138.5</v>
      </c>
    </row>
    <row r="200" spans="1:30">
      <c r="A200" s="3" t="s">
        <v>30</v>
      </c>
      <c r="B200" s="4">
        <v>2018</v>
      </c>
      <c r="C200" s="4" t="s">
        <v>39</v>
      </c>
      <c r="D200" s="4">
        <v>138.4</v>
      </c>
      <c r="E200" s="4">
        <v>149.30000000000001</v>
      </c>
      <c r="F200" s="4">
        <v>139.30000000000001</v>
      </c>
      <c r="G200" s="4">
        <v>143.4</v>
      </c>
      <c r="H200" s="4">
        <v>124.1</v>
      </c>
      <c r="I200" s="4">
        <v>153.30000000000001</v>
      </c>
      <c r="J200" s="4">
        <v>154.19999999999999</v>
      </c>
      <c r="K200" s="4">
        <v>126.4</v>
      </c>
      <c r="L200" s="4">
        <v>114.3</v>
      </c>
      <c r="M200" s="4">
        <v>138.19999999999999</v>
      </c>
      <c r="N200" s="4">
        <v>132.80000000000001</v>
      </c>
      <c r="O200" s="4">
        <v>154.80000000000001</v>
      </c>
      <c r="P200" s="4">
        <v>142</v>
      </c>
      <c r="Q200" s="4">
        <v>156.1</v>
      </c>
      <c r="R200" s="4">
        <v>151.5</v>
      </c>
      <c r="S200" s="4">
        <v>145.1</v>
      </c>
      <c r="T200" s="4">
        <v>150.6</v>
      </c>
      <c r="U200" s="4">
        <v>144.1</v>
      </c>
      <c r="V200" s="4">
        <v>146.80000000000001</v>
      </c>
      <c r="W200" s="4">
        <v>143.1</v>
      </c>
      <c r="X200" s="4">
        <v>139</v>
      </c>
      <c r="Y200" s="4">
        <v>127.5</v>
      </c>
      <c r="Z200" s="4">
        <v>138.4</v>
      </c>
      <c r="AA200" s="4">
        <v>145.80000000000001</v>
      </c>
      <c r="AB200" s="4">
        <v>131.4</v>
      </c>
      <c r="AC200" s="4">
        <v>136</v>
      </c>
      <c r="AD200" s="4">
        <v>141.80000000000001</v>
      </c>
    </row>
    <row r="201" spans="1:30">
      <c r="A201" s="5" t="s">
        <v>32</v>
      </c>
      <c r="B201" s="6">
        <v>2018</v>
      </c>
      <c r="C201" s="6" t="s">
        <v>39</v>
      </c>
      <c r="D201" s="6">
        <v>135.6</v>
      </c>
      <c r="E201" s="6">
        <v>148.6</v>
      </c>
      <c r="F201" s="6">
        <v>139.1</v>
      </c>
      <c r="G201" s="6">
        <v>141</v>
      </c>
      <c r="H201" s="6">
        <v>116.7</v>
      </c>
      <c r="I201" s="6">
        <v>149.69999999999999</v>
      </c>
      <c r="J201" s="6">
        <v>159.19999999999999</v>
      </c>
      <c r="K201" s="6">
        <v>112.6</v>
      </c>
      <c r="L201" s="6">
        <v>111.8</v>
      </c>
      <c r="M201" s="6">
        <v>140.30000000000001</v>
      </c>
      <c r="N201" s="6">
        <v>126.8</v>
      </c>
      <c r="O201" s="6">
        <v>149.4</v>
      </c>
      <c r="P201" s="6">
        <v>140.30000000000001</v>
      </c>
      <c r="Q201" s="6">
        <v>161.4</v>
      </c>
      <c r="R201" s="6">
        <v>139.6</v>
      </c>
      <c r="S201" s="6">
        <v>128.9</v>
      </c>
      <c r="T201" s="6">
        <v>137.9</v>
      </c>
      <c r="U201" s="6">
        <v>143.6</v>
      </c>
      <c r="V201" s="6">
        <v>128.1</v>
      </c>
      <c r="W201" s="6">
        <v>133.6</v>
      </c>
      <c r="X201" s="6">
        <v>133.6</v>
      </c>
      <c r="Y201" s="6">
        <v>120.1</v>
      </c>
      <c r="Z201" s="6">
        <v>129</v>
      </c>
      <c r="AA201" s="6">
        <v>144</v>
      </c>
      <c r="AB201" s="6">
        <v>128.19999999999999</v>
      </c>
      <c r="AC201" s="6">
        <v>130.19999999999999</v>
      </c>
      <c r="AD201" s="6">
        <v>137.5</v>
      </c>
    </row>
    <row r="202" spans="1:30">
      <c r="A202" s="3" t="s">
        <v>33</v>
      </c>
      <c r="B202" s="4">
        <v>2018</v>
      </c>
      <c r="C202" s="4" t="s">
        <v>39</v>
      </c>
      <c r="D202" s="4">
        <v>137.5</v>
      </c>
      <c r="E202" s="4">
        <v>149.1</v>
      </c>
      <c r="F202" s="4">
        <v>139.19999999999999</v>
      </c>
      <c r="G202" s="4">
        <v>142.5</v>
      </c>
      <c r="H202" s="4">
        <v>121.4</v>
      </c>
      <c r="I202" s="4">
        <v>151.6</v>
      </c>
      <c r="J202" s="4">
        <v>155.9</v>
      </c>
      <c r="K202" s="4">
        <v>121.7</v>
      </c>
      <c r="L202" s="4">
        <v>113.5</v>
      </c>
      <c r="M202" s="4">
        <v>138.9</v>
      </c>
      <c r="N202" s="4">
        <v>130.30000000000001</v>
      </c>
      <c r="O202" s="4">
        <v>152.30000000000001</v>
      </c>
      <c r="P202" s="4">
        <v>141.4</v>
      </c>
      <c r="Q202" s="4">
        <v>157.5</v>
      </c>
      <c r="R202" s="4">
        <v>146.80000000000001</v>
      </c>
      <c r="S202" s="4">
        <v>138.4</v>
      </c>
      <c r="T202" s="4">
        <v>145.6</v>
      </c>
      <c r="U202" s="4">
        <v>143.6</v>
      </c>
      <c r="V202" s="4">
        <v>139.69999999999999</v>
      </c>
      <c r="W202" s="4">
        <v>138.6</v>
      </c>
      <c r="X202" s="4">
        <v>137</v>
      </c>
      <c r="Y202" s="4">
        <v>123.6</v>
      </c>
      <c r="Z202" s="4">
        <v>133.1</v>
      </c>
      <c r="AA202" s="4">
        <v>144.69999999999999</v>
      </c>
      <c r="AB202" s="4">
        <v>130.1</v>
      </c>
      <c r="AC202" s="4">
        <v>133.19999999999999</v>
      </c>
      <c r="AD202" s="4">
        <v>139.80000000000001</v>
      </c>
    </row>
    <row r="203" spans="1:30">
      <c r="A203" s="5" t="s">
        <v>30</v>
      </c>
      <c r="B203" s="6">
        <v>2018</v>
      </c>
      <c r="C203" s="6" t="s">
        <v>40</v>
      </c>
      <c r="D203" s="6">
        <v>139.19999999999999</v>
      </c>
      <c r="E203" s="6">
        <v>148.80000000000001</v>
      </c>
      <c r="F203" s="6">
        <v>139.1</v>
      </c>
      <c r="G203" s="6">
        <v>143.5</v>
      </c>
      <c r="H203" s="6">
        <v>125</v>
      </c>
      <c r="I203" s="6">
        <v>154.4</v>
      </c>
      <c r="J203" s="6">
        <v>156.30000000000001</v>
      </c>
      <c r="K203" s="6">
        <v>126.8</v>
      </c>
      <c r="L203" s="6">
        <v>115.4</v>
      </c>
      <c r="M203" s="6">
        <v>138.6</v>
      </c>
      <c r="N203" s="6">
        <v>133.80000000000001</v>
      </c>
      <c r="O203" s="6">
        <v>155.19999999999999</v>
      </c>
      <c r="P203" s="6">
        <v>142.69999999999999</v>
      </c>
      <c r="Q203" s="6">
        <v>156.4</v>
      </c>
      <c r="R203" s="6">
        <v>152.1</v>
      </c>
      <c r="S203" s="6">
        <v>145.80000000000001</v>
      </c>
      <c r="T203" s="6">
        <v>151.30000000000001</v>
      </c>
      <c r="U203" s="6">
        <v>144.1</v>
      </c>
      <c r="V203" s="6">
        <v>147.69999999999999</v>
      </c>
      <c r="W203" s="6">
        <v>143.80000000000001</v>
      </c>
      <c r="X203" s="6">
        <v>139.4</v>
      </c>
      <c r="Y203" s="6">
        <v>128.30000000000001</v>
      </c>
      <c r="Z203" s="6">
        <v>138.6</v>
      </c>
      <c r="AA203" s="6">
        <v>146.9</v>
      </c>
      <c r="AB203" s="6">
        <v>131.30000000000001</v>
      </c>
      <c r="AC203" s="6">
        <v>136.6</v>
      </c>
      <c r="AD203" s="6">
        <v>142.5</v>
      </c>
    </row>
    <row r="204" spans="1:30">
      <c r="A204" s="3" t="s">
        <v>32</v>
      </c>
      <c r="B204" s="4">
        <v>2018</v>
      </c>
      <c r="C204" s="4" t="s">
        <v>40</v>
      </c>
      <c r="D204" s="4">
        <v>136.5</v>
      </c>
      <c r="E204" s="4">
        <v>146.4</v>
      </c>
      <c r="F204" s="4">
        <v>136.6</v>
      </c>
      <c r="G204" s="4">
        <v>141.19999999999999</v>
      </c>
      <c r="H204" s="4">
        <v>117.4</v>
      </c>
      <c r="I204" s="4">
        <v>146.30000000000001</v>
      </c>
      <c r="J204" s="4">
        <v>157.30000000000001</v>
      </c>
      <c r="K204" s="4">
        <v>113.6</v>
      </c>
      <c r="L204" s="4">
        <v>113.3</v>
      </c>
      <c r="M204" s="4">
        <v>141.1</v>
      </c>
      <c r="N204" s="4">
        <v>127.4</v>
      </c>
      <c r="O204" s="4">
        <v>150.4</v>
      </c>
      <c r="P204" s="4">
        <v>140.1</v>
      </c>
      <c r="Q204" s="4">
        <v>162.1</v>
      </c>
      <c r="R204" s="4">
        <v>140</v>
      </c>
      <c r="S204" s="4">
        <v>129</v>
      </c>
      <c r="T204" s="4">
        <v>138.30000000000001</v>
      </c>
      <c r="U204" s="4">
        <v>144.6</v>
      </c>
      <c r="V204" s="4">
        <v>129.80000000000001</v>
      </c>
      <c r="W204" s="4">
        <v>134.4</v>
      </c>
      <c r="X204" s="4">
        <v>134.9</v>
      </c>
      <c r="Y204" s="4">
        <v>120.7</v>
      </c>
      <c r="Z204" s="4">
        <v>129.80000000000001</v>
      </c>
      <c r="AA204" s="4">
        <v>145.30000000000001</v>
      </c>
      <c r="AB204" s="4">
        <v>128.30000000000001</v>
      </c>
      <c r="AC204" s="4">
        <v>131</v>
      </c>
      <c r="AD204" s="4">
        <v>138</v>
      </c>
    </row>
    <row r="205" spans="1:30">
      <c r="A205" s="5" t="s">
        <v>33</v>
      </c>
      <c r="B205" s="6">
        <v>2018</v>
      </c>
      <c r="C205" s="6" t="s">
        <v>40</v>
      </c>
      <c r="D205" s="6">
        <v>138.30000000000001</v>
      </c>
      <c r="E205" s="6">
        <v>148</v>
      </c>
      <c r="F205" s="6">
        <v>138.1</v>
      </c>
      <c r="G205" s="6">
        <v>142.6</v>
      </c>
      <c r="H205" s="6">
        <v>122.2</v>
      </c>
      <c r="I205" s="6">
        <v>150.6</v>
      </c>
      <c r="J205" s="6">
        <v>156.6</v>
      </c>
      <c r="K205" s="6">
        <v>122.4</v>
      </c>
      <c r="L205" s="6">
        <v>114.7</v>
      </c>
      <c r="M205" s="6">
        <v>139.4</v>
      </c>
      <c r="N205" s="6">
        <v>131.1</v>
      </c>
      <c r="O205" s="6">
        <v>153</v>
      </c>
      <c r="P205" s="6">
        <v>141.69999999999999</v>
      </c>
      <c r="Q205" s="6">
        <v>157.9</v>
      </c>
      <c r="R205" s="6">
        <v>147.30000000000001</v>
      </c>
      <c r="S205" s="6">
        <v>138.80000000000001</v>
      </c>
      <c r="T205" s="6">
        <v>146.1</v>
      </c>
      <c r="U205" s="6">
        <v>144.6</v>
      </c>
      <c r="V205" s="6">
        <v>140.9</v>
      </c>
      <c r="W205" s="6">
        <v>139.4</v>
      </c>
      <c r="X205" s="6">
        <v>137.69999999999999</v>
      </c>
      <c r="Y205" s="6">
        <v>124.3</v>
      </c>
      <c r="Z205" s="6">
        <v>133.6</v>
      </c>
      <c r="AA205" s="6">
        <v>146</v>
      </c>
      <c r="AB205" s="6">
        <v>130.1</v>
      </c>
      <c r="AC205" s="6">
        <v>133.9</v>
      </c>
      <c r="AD205" s="6">
        <v>140.4</v>
      </c>
    </row>
    <row r="206" spans="1:30">
      <c r="A206" s="3" t="s">
        <v>30</v>
      </c>
      <c r="B206" s="4">
        <v>2018</v>
      </c>
      <c r="C206" s="4" t="s">
        <v>41</v>
      </c>
      <c r="D206" s="4">
        <v>139.4</v>
      </c>
      <c r="E206" s="4">
        <v>147.19999999999999</v>
      </c>
      <c r="F206" s="4">
        <v>136.6</v>
      </c>
      <c r="G206" s="4">
        <v>143.69999999999999</v>
      </c>
      <c r="H206" s="4">
        <v>124.6</v>
      </c>
      <c r="I206" s="4">
        <v>150.1</v>
      </c>
      <c r="J206" s="4">
        <v>149.4</v>
      </c>
      <c r="K206" s="4">
        <v>125.4</v>
      </c>
      <c r="L206" s="4">
        <v>114.4</v>
      </c>
      <c r="M206" s="4">
        <v>138.69999999999999</v>
      </c>
      <c r="N206" s="4">
        <v>133.1</v>
      </c>
      <c r="O206" s="4">
        <v>155.9</v>
      </c>
      <c r="P206" s="4">
        <v>141.30000000000001</v>
      </c>
      <c r="Q206" s="4">
        <v>157.69999999999999</v>
      </c>
      <c r="R206" s="4">
        <v>152.1</v>
      </c>
      <c r="S206" s="4">
        <v>146.1</v>
      </c>
      <c r="T206" s="4">
        <v>151.30000000000001</v>
      </c>
      <c r="U206" s="4">
        <v>145.95000000000002</v>
      </c>
      <c r="V206" s="4">
        <v>149</v>
      </c>
      <c r="W206" s="4">
        <v>144</v>
      </c>
      <c r="X206" s="4">
        <v>140</v>
      </c>
      <c r="Y206" s="4">
        <v>129.9</v>
      </c>
      <c r="Z206" s="4">
        <v>140</v>
      </c>
      <c r="AA206" s="4">
        <v>147.6</v>
      </c>
      <c r="AB206" s="4">
        <v>132</v>
      </c>
      <c r="AC206" s="4">
        <v>137.4</v>
      </c>
      <c r="AD206" s="4">
        <v>142.1</v>
      </c>
    </row>
    <row r="207" spans="1:30">
      <c r="A207" s="5" t="s">
        <v>32</v>
      </c>
      <c r="B207" s="6">
        <v>2018</v>
      </c>
      <c r="C207" s="6" t="s">
        <v>41</v>
      </c>
      <c r="D207" s="6">
        <v>137</v>
      </c>
      <c r="E207" s="6">
        <v>143.1</v>
      </c>
      <c r="F207" s="6">
        <v>132.80000000000001</v>
      </c>
      <c r="G207" s="6">
        <v>141.5</v>
      </c>
      <c r="H207" s="6">
        <v>117.8</v>
      </c>
      <c r="I207" s="6">
        <v>140</v>
      </c>
      <c r="J207" s="6">
        <v>151.30000000000001</v>
      </c>
      <c r="K207" s="6">
        <v>113.5</v>
      </c>
      <c r="L207" s="6">
        <v>112.3</v>
      </c>
      <c r="M207" s="6">
        <v>141.19999999999999</v>
      </c>
      <c r="N207" s="6">
        <v>127.7</v>
      </c>
      <c r="O207" s="6">
        <v>151.30000000000001</v>
      </c>
      <c r="P207" s="6">
        <v>138.9</v>
      </c>
      <c r="Q207" s="6">
        <v>163.30000000000001</v>
      </c>
      <c r="R207" s="6">
        <v>140.80000000000001</v>
      </c>
      <c r="S207" s="6">
        <v>129.30000000000001</v>
      </c>
      <c r="T207" s="6">
        <v>139.1</v>
      </c>
      <c r="U207" s="6">
        <v>145.30000000000001</v>
      </c>
      <c r="V207" s="6">
        <v>131.19999999999999</v>
      </c>
      <c r="W207" s="6">
        <v>134.9</v>
      </c>
      <c r="X207" s="6">
        <v>135.69999999999999</v>
      </c>
      <c r="Y207" s="6">
        <v>122.5</v>
      </c>
      <c r="Z207" s="6">
        <v>130.19999999999999</v>
      </c>
      <c r="AA207" s="6">
        <v>145.19999999999999</v>
      </c>
      <c r="AB207" s="6">
        <v>129.30000000000001</v>
      </c>
      <c r="AC207" s="6">
        <v>131.9</v>
      </c>
      <c r="AD207" s="6">
        <v>138.1</v>
      </c>
    </row>
    <row r="208" spans="1:30">
      <c r="A208" s="3" t="s">
        <v>33</v>
      </c>
      <c r="B208" s="4">
        <v>2018</v>
      </c>
      <c r="C208" s="4" t="s">
        <v>41</v>
      </c>
      <c r="D208" s="4">
        <v>138.6</v>
      </c>
      <c r="E208" s="4">
        <v>145.80000000000001</v>
      </c>
      <c r="F208" s="4">
        <v>135.1</v>
      </c>
      <c r="G208" s="4">
        <v>142.9</v>
      </c>
      <c r="H208" s="4">
        <v>122.1</v>
      </c>
      <c r="I208" s="4">
        <v>145.4</v>
      </c>
      <c r="J208" s="4">
        <v>150</v>
      </c>
      <c r="K208" s="4">
        <v>121.4</v>
      </c>
      <c r="L208" s="4">
        <v>113.7</v>
      </c>
      <c r="M208" s="4">
        <v>139.5</v>
      </c>
      <c r="N208" s="4">
        <v>130.80000000000001</v>
      </c>
      <c r="O208" s="4">
        <v>153.80000000000001</v>
      </c>
      <c r="P208" s="4">
        <v>140.4</v>
      </c>
      <c r="Q208" s="4">
        <v>159.19999999999999</v>
      </c>
      <c r="R208" s="4">
        <v>147.69999999999999</v>
      </c>
      <c r="S208" s="4">
        <v>139.1</v>
      </c>
      <c r="T208" s="4">
        <v>146.5</v>
      </c>
      <c r="U208" s="4">
        <v>145.30000000000001</v>
      </c>
      <c r="V208" s="4">
        <v>142.30000000000001</v>
      </c>
      <c r="W208" s="4">
        <v>139.69999999999999</v>
      </c>
      <c r="X208" s="4">
        <v>138.4</v>
      </c>
      <c r="Y208" s="4">
        <v>126</v>
      </c>
      <c r="Z208" s="4">
        <v>134.5</v>
      </c>
      <c r="AA208" s="4">
        <v>146.19999999999999</v>
      </c>
      <c r="AB208" s="4">
        <v>130.9</v>
      </c>
      <c r="AC208" s="4">
        <v>134.69999999999999</v>
      </c>
      <c r="AD208" s="4">
        <v>140.19999999999999</v>
      </c>
    </row>
    <row r="209" spans="1:30">
      <c r="A209" s="5" t="s">
        <v>30</v>
      </c>
      <c r="B209" s="6">
        <v>2018</v>
      </c>
      <c r="C209" s="6" t="s">
        <v>42</v>
      </c>
      <c r="D209" s="6">
        <v>139.30000000000001</v>
      </c>
      <c r="E209" s="6">
        <v>147.6</v>
      </c>
      <c r="F209" s="6">
        <v>134.6</v>
      </c>
      <c r="G209" s="6">
        <v>141.9</v>
      </c>
      <c r="H209" s="6">
        <v>123.5</v>
      </c>
      <c r="I209" s="6">
        <v>144.5</v>
      </c>
      <c r="J209" s="6">
        <v>147.6</v>
      </c>
      <c r="K209" s="6">
        <v>121.4</v>
      </c>
      <c r="L209" s="6">
        <v>112.3</v>
      </c>
      <c r="M209" s="6">
        <v>139.5</v>
      </c>
      <c r="N209" s="6">
        <v>134.6</v>
      </c>
      <c r="O209" s="6">
        <v>155.19999999999999</v>
      </c>
      <c r="P209" s="6">
        <v>140.19999999999999</v>
      </c>
      <c r="Q209" s="6">
        <v>159.6</v>
      </c>
      <c r="R209" s="6">
        <v>150.69999999999999</v>
      </c>
      <c r="S209" s="6">
        <v>144.5</v>
      </c>
      <c r="T209" s="6">
        <v>149.80000000000001</v>
      </c>
      <c r="U209" s="6">
        <v>145.94999999999999</v>
      </c>
      <c r="V209" s="6">
        <v>149.69999999999999</v>
      </c>
      <c r="W209" s="6">
        <v>147.5</v>
      </c>
      <c r="X209" s="6">
        <v>144.80000000000001</v>
      </c>
      <c r="Y209" s="6">
        <v>130.80000000000001</v>
      </c>
      <c r="Z209" s="6">
        <v>140.1</v>
      </c>
      <c r="AA209" s="6">
        <v>148</v>
      </c>
      <c r="AB209" s="6">
        <v>134.4</v>
      </c>
      <c r="AC209" s="6">
        <v>139.80000000000001</v>
      </c>
      <c r="AD209" s="6">
        <v>142.19999999999999</v>
      </c>
    </row>
    <row r="210" spans="1:30">
      <c r="A210" s="3" t="s">
        <v>32</v>
      </c>
      <c r="B210" s="4">
        <v>2018</v>
      </c>
      <c r="C210" s="4" t="s">
        <v>42</v>
      </c>
      <c r="D210" s="4">
        <v>137.6</v>
      </c>
      <c r="E210" s="4">
        <v>144.9</v>
      </c>
      <c r="F210" s="4">
        <v>133.5</v>
      </c>
      <c r="G210" s="4">
        <v>141.5</v>
      </c>
      <c r="H210" s="4">
        <v>118</v>
      </c>
      <c r="I210" s="4">
        <v>139.5</v>
      </c>
      <c r="J210" s="4">
        <v>153</v>
      </c>
      <c r="K210" s="4">
        <v>113.2</v>
      </c>
      <c r="L210" s="4">
        <v>112.8</v>
      </c>
      <c r="M210" s="4">
        <v>141.1</v>
      </c>
      <c r="N210" s="4">
        <v>127.6</v>
      </c>
      <c r="O210" s="4">
        <v>152</v>
      </c>
      <c r="P210" s="4">
        <v>139.4</v>
      </c>
      <c r="Q210" s="4">
        <v>164</v>
      </c>
      <c r="R210" s="4">
        <v>141.5</v>
      </c>
      <c r="S210" s="4">
        <v>129.80000000000001</v>
      </c>
      <c r="T210" s="4">
        <v>139.69999999999999</v>
      </c>
      <c r="U210" s="4">
        <v>146.30000000000001</v>
      </c>
      <c r="V210" s="4">
        <v>133.4</v>
      </c>
      <c r="W210" s="4">
        <v>135.1</v>
      </c>
      <c r="X210" s="4">
        <v>136.19999999999999</v>
      </c>
      <c r="Y210" s="4">
        <v>123.3</v>
      </c>
      <c r="Z210" s="4">
        <v>130.69999999999999</v>
      </c>
      <c r="AA210" s="4">
        <v>145.5</v>
      </c>
      <c r="AB210" s="4">
        <v>130.4</v>
      </c>
      <c r="AC210" s="4">
        <v>132.5</v>
      </c>
      <c r="AD210" s="4">
        <v>138.9</v>
      </c>
    </row>
    <row r="211" spans="1:30">
      <c r="A211" s="5" t="s">
        <v>33</v>
      </c>
      <c r="B211" s="6">
        <v>2018</v>
      </c>
      <c r="C211" s="6" t="s">
        <v>42</v>
      </c>
      <c r="D211" s="6">
        <v>137.4</v>
      </c>
      <c r="E211" s="6">
        <v>149.5</v>
      </c>
      <c r="F211" s="6">
        <v>137.30000000000001</v>
      </c>
      <c r="G211" s="6">
        <v>141.9</v>
      </c>
      <c r="H211" s="6">
        <v>121.1</v>
      </c>
      <c r="I211" s="6">
        <v>142.5</v>
      </c>
      <c r="J211" s="6">
        <v>146.69999999999999</v>
      </c>
      <c r="K211" s="6">
        <v>119.1</v>
      </c>
      <c r="L211" s="6">
        <v>111.9</v>
      </c>
      <c r="M211" s="6">
        <v>141</v>
      </c>
      <c r="N211" s="6">
        <v>133.6</v>
      </c>
      <c r="O211" s="6">
        <v>154.5</v>
      </c>
      <c r="P211" s="6">
        <v>139.69999999999999</v>
      </c>
      <c r="Q211" s="6">
        <v>162.6</v>
      </c>
      <c r="R211" s="6">
        <v>148</v>
      </c>
      <c r="S211" s="6">
        <v>139.19999999999999</v>
      </c>
      <c r="T211" s="6">
        <v>146.80000000000001</v>
      </c>
      <c r="U211" s="6">
        <v>146.9</v>
      </c>
      <c r="V211" s="6">
        <v>145.30000000000001</v>
      </c>
      <c r="W211" s="6">
        <v>142.19999999999999</v>
      </c>
      <c r="X211" s="6">
        <v>142.1</v>
      </c>
      <c r="Y211" s="6">
        <v>125.5</v>
      </c>
      <c r="Z211" s="6">
        <v>136.5</v>
      </c>
      <c r="AA211" s="6">
        <v>147.80000000000001</v>
      </c>
      <c r="AB211" s="6">
        <v>132</v>
      </c>
      <c r="AC211" s="6">
        <v>136.30000000000001</v>
      </c>
      <c r="AD211" s="6">
        <v>140.80000000000001</v>
      </c>
    </row>
    <row r="212" spans="1:30">
      <c r="A212" s="3" t="s">
        <v>30</v>
      </c>
      <c r="B212" s="4">
        <v>2018</v>
      </c>
      <c r="C212" s="4" t="s">
        <v>43</v>
      </c>
      <c r="D212" s="4">
        <v>137.1</v>
      </c>
      <c r="E212" s="4">
        <v>150.80000000000001</v>
      </c>
      <c r="F212" s="4">
        <v>136.69999999999999</v>
      </c>
      <c r="G212" s="4">
        <v>141.9</v>
      </c>
      <c r="H212" s="4">
        <v>122.8</v>
      </c>
      <c r="I212" s="4">
        <v>143.9</v>
      </c>
      <c r="J212" s="4">
        <v>147.5</v>
      </c>
      <c r="K212" s="4">
        <v>121</v>
      </c>
      <c r="L212" s="4">
        <v>111.6</v>
      </c>
      <c r="M212" s="4">
        <v>140.6</v>
      </c>
      <c r="N212" s="4">
        <v>137.5</v>
      </c>
      <c r="O212" s="4">
        <v>156.1</v>
      </c>
      <c r="P212" s="4">
        <v>140</v>
      </c>
      <c r="Q212" s="4">
        <v>161.9</v>
      </c>
      <c r="R212" s="4">
        <v>151.69999999999999</v>
      </c>
      <c r="S212" s="4">
        <v>145.5</v>
      </c>
      <c r="T212" s="4">
        <v>150.80000000000001</v>
      </c>
      <c r="U212" s="4">
        <v>146.69999999999999</v>
      </c>
      <c r="V212" s="4">
        <v>150.30000000000001</v>
      </c>
      <c r="W212" s="4">
        <v>148</v>
      </c>
      <c r="X212" s="4">
        <v>145.4</v>
      </c>
      <c r="Y212" s="4">
        <v>130.30000000000001</v>
      </c>
      <c r="Z212" s="4">
        <v>143.1</v>
      </c>
      <c r="AA212" s="4">
        <v>150.19999999999999</v>
      </c>
      <c r="AB212" s="4">
        <v>133.1</v>
      </c>
      <c r="AC212" s="4">
        <v>140.1</v>
      </c>
      <c r="AD212" s="4">
        <v>142.4</v>
      </c>
    </row>
    <row r="213" spans="1:30">
      <c r="A213" s="5" t="s">
        <v>32</v>
      </c>
      <c r="B213" s="6">
        <v>2018</v>
      </c>
      <c r="C213" s="6" t="s">
        <v>43</v>
      </c>
      <c r="D213" s="6">
        <v>138.1</v>
      </c>
      <c r="E213" s="6">
        <v>146.30000000000001</v>
      </c>
      <c r="F213" s="6">
        <v>137.80000000000001</v>
      </c>
      <c r="G213" s="6">
        <v>141.6</v>
      </c>
      <c r="H213" s="6">
        <v>118.1</v>
      </c>
      <c r="I213" s="6">
        <v>141.5</v>
      </c>
      <c r="J213" s="6">
        <v>145.19999999999999</v>
      </c>
      <c r="K213" s="6">
        <v>115.3</v>
      </c>
      <c r="L213" s="6">
        <v>112.5</v>
      </c>
      <c r="M213" s="6">
        <v>141.4</v>
      </c>
      <c r="N213" s="6">
        <v>128</v>
      </c>
      <c r="O213" s="6">
        <v>152.6</v>
      </c>
      <c r="P213" s="6">
        <v>139.1</v>
      </c>
      <c r="Q213" s="6">
        <v>164.4</v>
      </c>
      <c r="R213" s="6">
        <v>142.4</v>
      </c>
      <c r="S213" s="6">
        <v>130.19999999999999</v>
      </c>
      <c r="T213" s="6">
        <v>140.5</v>
      </c>
      <c r="U213" s="6">
        <v>146.9</v>
      </c>
      <c r="V213" s="6">
        <v>136.69999999999999</v>
      </c>
      <c r="W213" s="6">
        <v>135.80000000000001</v>
      </c>
      <c r="X213" s="6">
        <v>136.80000000000001</v>
      </c>
      <c r="Y213" s="6">
        <v>121.2</v>
      </c>
      <c r="Z213" s="6">
        <v>131.30000000000001</v>
      </c>
      <c r="AA213" s="6">
        <v>146.1</v>
      </c>
      <c r="AB213" s="6">
        <v>130.5</v>
      </c>
      <c r="AC213" s="6">
        <v>132.19999999999999</v>
      </c>
      <c r="AD213" s="6">
        <v>139</v>
      </c>
    </row>
    <row r="214" spans="1:30">
      <c r="A214" s="3" t="s">
        <v>33</v>
      </c>
      <c r="B214" s="4">
        <v>2018</v>
      </c>
      <c r="C214" s="4" t="s">
        <v>43</v>
      </c>
      <c r="D214" s="4">
        <v>137.4</v>
      </c>
      <c r="E214" s="4">
        <v>149.19999999999999</v>
      </c>
      <c r="F214" s="4">
        <v>137.1</v>
      </c>
      <c r="G214" s="4">
        <v>141.80000000000001</v>
      </c>
      <c r="H214" s="4">
        <v>121.1</v>
      </c>
      <c r="I214" s="4">
        <v>142.80000000000001</v>
      </c>
      <c r="J214" s="4">
        <v>146.69999999999999</v>
      </c>
      <c r="K214" s="4">
        <v>119.1</v>
      </c>
      <c r="L214" s="4">
        <v>111.9</v>
      </c>
      <c r="M214" s="4">
        <v>140.9</v>
      </c>
      <c r="N214" s="4">
        <v>133.5</v>
      </c>
      <c r="O214" s="4">
        <v>154.5</v>
      </c>
      <c r="P214" s="4">
        <v>139.69999999999999</v>
      </c>
      <c r="Q214" s="4">
        <v>162.6</v>
      </c>
      <c r="R214" s="4">
        <v>148</v>
      </c>
      <c r="S214" s="4">
        <v>139.1</v>
      </c>
      <c r="T214" s="4">
        <v>146.69999999999999</v>
      </c>
      <c r="U214" s="4">
        <v>146.9</v>
      </c>
      <c r="V214" s="4">
        <v>145.1</v>
      </c>
      <c r="W214" s="4">
        <v>142.19999999999999</v>
      </c>
      <c r="X214" s="4">
        <v>142.1</v>
      </c>
      <c r="Y214" s="4">
        <v>125.5</v>
      </c>
      <c r="Z214" s="4">
        <v>136.5</v>
      </c>
      <c r="AA214" s="4">
        <v>147.80000000000001</v>
      </c>
      <c r="AB214" s="4">
        <v>132</v>
      </c>
      <c r="AC214" s="4">
        <v>136.30000000000001</v>
      </c>
      <c r="AD214" s="4">
        <v>140.80000000000001</v>
      </c>
    </row>
    <row r="215" spans="1:30">
      <c r="A215" s="5" t="s">
        <v>30</v>
      </c>
      <c r="B215" s="6">
        <v>2018</v>
      </c>
      <c r="C215" s="6" t="s">
        <v>44</v>
      </c>
      <c r="D215" s="6">
        <v>137.1</v>
      </c>
      <c r="E215" s="6">
        <v>151.9</v>
      </c>
      <c r="F215" s="6">
        <v>137.4</v>
      </c>
      <c r="G215" s="6">
        <v>142.4</v>
      </c>
      <c r="H215" s="6">
        <v>124.2</v>
      </c>
      <c r="I215" s="6">
        <v>140.19999999999999</v>
      </c>
      <c r="J215" s="6">
        <v>136.6</v>
      </c>
      <c r="K215" s="6">
        <v>120.9</v>
      </c>
      <c r="L215" s="6">
        <v>109.9</v>
      </c>
      <c r="M215" s="6">
        <v>140.19999999999999</v>
      </c>
      <c r="N215" s="6">
        <v>137.80000000000001</v>
      </c>
      <c r="O215" s="6">
        <v>156</v>
      </c>
      <c r="P215" s="6">
        <v>138.5</v>
      </c>
      <c r="Q215" s="6">
        <v>162.4</v>
      </c>
      <c r="R215" s="6">
        <v>151.6</v>
      </c>
      <c r="S215" s="6">
        <v>145.9</v>
      </c>
      <c r="T215" s="6">
        <v>150.80000000000001</v>
      </c>
      <c r="U215" s="6">
        <v>146.69999999999999</v>
      </c>
      <c r="V215" s="6">
        <v>149</v>
      </c>
      <c r="W215" s="6">
        <v>149.5</v>
      </c>
      <c r="X215" s="6">
        <v>149.6</v>
      </c>
      <c r="Y215" s="6">
        <v>128.9</v>
      </c>
      <c r="Z215" s="6">
        <v>143.30000000000001</v>
      </c>
      <c r="AA215" s="6">
        <v>155.1</v>
      </c>
      <c r="AB215" s="6">
        <v>133.19999999999999</v>
      </c>
      <c r="AC215" s="6">
        <v>141.6</v>
      </c>
      <c r="AD215" s="6">
        <v>141.9</v>
      </c>
    </row>
    <row r="216" spans="1:30">
      <c r="A216" s="3" t="s">
        <v>32</v>
      </c>
      <c r="B216" s="4">
        <v>2018</v>
      </c>
      <c r="C216" s="4" t="s">
        <v>44</v>
      </c>
      <c r="D216" s="4">
        <v>138.5</v>
      </c>
      <c r="E216" s="4">
        <v>147.80000000000001</v>
      </c>
      <c r="F216" s="4">
        <v>141.1</v>
      </c>
      <c r="G216" s="4">
        <v>141.6</v>
      </c>
      <c r="H216" s="4">
        <v>118.1</v>
      </c>
      <c r="I216" s="4">
        <v>138.5</v>
      </c>
      <c r="J216" s="4">
        <v>132.4</v>
      </c>
      <c r="K216" s="4">
        <v>117.5</v>
      </c>
      <c r="L216" s="4">
        <v>111</v>
      </c>
      <c r="M216" s="4">
        <v>141.5</v>
      </c>
      <c r="N216" s="4">
        <v>128.1</v>
      </c>
      <c r="O216" s="4">
        <v>152.9</v>
      </c>
      <c r="P216" s="4">
        <v>137.6</v>
      </c>
      <c r="Q216" s="4">
        <v>164.6</v>
      </c>
      <c r="R216" s="4">
        <v>142.69999999999999</v>
      </c>
      <c r="S216" s="4">
        <v>130.30000000000001</v>
      </c>
      <c r="T216" s="4">
        <v>140.80000000000001</v>
      </c>
      <c r="U216" s="4">
        <v>146.5</v>
      </c>
      <c r="V216" s="4">
        <v>132.4</v>
      </c>
      <c r="W216" s="4">
        <v>136.19999999999999</v>
      </c>
      <c r="X216" s="4">
        <v>137.30000000000001</v>
      </c>
      <c r="Y216" s="4">
        <v>118.8</v>
      </c>
      <c r="Z216" s="4">
        <v>131.69999999999999</v>
      </c>
      <c r="AA216" s="4">
        <v>146.5</v>
      </c>
      <c r="AB216" s="4">
        <v>130.80000000000001</v>
      </c>
      <c r="AC216" s="4">
        <v>131.69999999999999</v>
      </c>
      <c r="AD216" s="4">
        <v>138</v>
      </c>
    </row>
    <row r="217" spans="1:30">
      <c r="A217" s="5" t="s">
        <v>33</v>
      </c>
      <c r="B217" s="6">
        <v>2018</v>
      </c>
      <c r="C217" s="6" t="s">
        <v>44</v>
      </c>
      <c r="D217" s="6">
        <v>137.5</v>
      </c>
      <c r="E217" s="6">
        <v>150.5</v>
      </c>
      <c r="F217" s="6">
        <v>138.80000000000001</v>
      </c>
      <c r="G217" s="6">
        <v>142.1</v>
      </c>
      <c r="H217" s="6">
        <v>122</v>
      </c>
      <c r="I217" s="6">
        <v>139.4</v>
      </c>
      <c r="J217" s="6">
        <v>135.19999999999999</v>
      </c>
      <c r="K217" s="6">
        <v>119.8</v>
      </c>
      <c r="L217" s="6">
        <v>110.3</v>
      </c>
      <c r="M217" s="6">
        <v>140.6</v>
      </c>
      <c r="N217" s="6">
        <v>133.80000000000001</v>
      </c>
      <c r="O217" s="6">
        <v>154.6</v>
      </c>
      <c r="P217" s="6">
        <v>138.19999999999999</v>
      </c>
      <c r="Q217" s="6">
        <v>163</v>
      </c>
      <c r="R217" s="6">
        <v>148.1</v>
      </c>
      <c r="S217" s="6">
        <v>139.4</v>
      </c>
      <c r="T217" s="6">
        <v>146.80000000000001</v>
      </c>
      <c r="U217" s="6">
        <v>146.5</v>
      </c>
      <c r="V217" s="6">
        <v>142.69999999999999</v>
      </c>
      <c r="W217" s="6">
        <v>143.19999999999999</v>
      </c>
      <c r="X217" s="6">
        <v>144.9</v>
      </c>
      <c r="Y217" s="6">
        <v>123.6</v>
      </c>
      <c r="Z217" s="6">
        <v>136.80000000000001</v>
      </c>
      <c r="AA217" s="6">
        <v>150.1</v>
      </c>
      <c r="AB217" s="6">
        <v>132.19999999999999</v>
      </c>
      <c r="AC217" s="6">
        <v>136.80000000000001</v>
      </c>
      <c r="AD217" s="6">
        <v>140.1</v>
      </c>
    </row>
    <row r="218" spans="1:30">
      <c r="A218" s="3" t="s">
        <v>30</v>
      </c>
      <c r="B218" s="4">
        <v>2019</v>
      </c>
      <c r="C218" s="4" t="s">
        <v>31</v>
      </c>
      <c r="D218" s="4">
        <v>136.6</v>
      </c>
      <c r="E218" s="4">
        <v>152.5</v>
      </c>
      <c r="F218" s="4">
        <v>138.19999999999999</v>
      </c>
      <c r="G218" s="4">
        <v>142.4</v>
      </c>
      <c r="H218" s="4">
        <v>123.9</v>
      </c>
      <c r="I218" s="4">
        <v>135.5</v>
      </c>
      <c r="J218" s="4">
        <v>131.69999999999999</v>
      </c>
      <c r="K218" s="4">
        <v>121.3</v>
      </c>
      <c r="L218" s="4">
        <v>108.4</v>
      </c>
      <c r="M218" s="4">
        <v>138.9</v>
      </c>
      <c r="N218" s="4">
        <v>137</v>
      </c>
      <c r="O218" s="4">
        <v>155.80000000000001</v>
      </c>
      <c r="P218" s="4">
        <v>137.4</v>
      </c>
      <c r="Q218" s="4">
        <v>162.69999999999999</v>
      </c>
      <c r="R218" s="4">
        <v>150.6</v>
      </c>
      <c r="S218" s="4">
        <v>145.1</v>
      </c>
      <c r="T218" s="4">
        <v>149.9</v>
      </c>
      <c r="U218" s="4">
        <v>148.1</v>
      </c>
      <c r="V218" s="4">
        <v>146.19999999999999</v>
      </c>
      <c r="W218" s="4">
        <v>150.1</v>
      </c>
      <c r="X218" s="4">
        <v>149.6</v>
      </c>
      <c r="Y218" s="4">
        <v>128.6</v>
      </c>
      <c r="Z218" s="4">
        <v>142.9</v>
      </c>
      <c r="AA218" s="4">
        <v>155.19999999999999</v>
      </c>
      <c r="AB218" s="4">
        <v>133.5</v>
      </c>
      <c r="AC218" s="4">
        <v>141.69999999999999</v>
      </c>
      <c r="AD218" s="4">
        <v>141</v>
      </c>
    </row>
    <row r="219" spans="1:30">
      <c r="A219" s="5" t="s">
        <v>32</v>
      </c>
      <c r="B219" s="6">
        <v>2019</v>
      </c>
      <c r="C219" s="6" t="s">
        <v>31</v>
      </c>
      <c r="D219" s="6">
        <v>138.30000000000001</v>
      </c>
      <c r="E219" s="6">
        <v>149.4</v>
      </c>
      <c r="F219" s="6">
        <v>143.5</v>
      </c>
      <c r="G219" s="6">
        <v>141.69999999999999</v>
      </c>
      <c r="H219" s="6">
        <v>118.1</v>
      </c>
      <c r="I219" s="6">
        <v>135.19999999999999</v>
      </c>
      <c r="J219" s="6">
        <v>130.5</v>
      </c>
      <c r="K219" s="6">
        <v>118.2</v>
      </c>
      <c r="L219" s="6">
        <v>110.4</v>
      </c>
      <c r="M219" s="6">
        <v>140.4</v>
      </c>
      <c r="N219" s="6">
        <v>128.1</v>
      </c>
      <c r="O219" s="6">
        <v>153.19999999999999</v>
      </c>
      <c r="P219" s="6">
        <v>137.30000000000001</v>
      </c>
      <c r="Q219" s="6">
        <v>164.7</v>
      </c>
      <c r="R219" s="6">
        <v>143</v>
      </c>
      <c r="S219" s="6">
        <v>130.4</v>
      </c>
      <c r="T219" s="6">
        <v>141.1</v>
      </c>
      <c r="U219" s="6">
        <v>147.69999999999999</v>
      </c>
      <c r="V219" s="6">
        <v>128.6</v>
      </c>
      <c r="W219" s="6">
        <v>136.30000000000001</v>
      </c>
      <c r="X219" s="6">
        <v>137.80000000000001</v>
      </c>
      <c r="Y219" s="6">
        <v>118.6</v>
      </c>
      <c r="Z219" s="6">
        <v>131.9</v>
      </c>
      <c r="AA219" s="6">
        <v>146.6</v>
      </c>
      <c r="AB219" s="6">
        <v>131.69999999999999</v>
      </c>
      <c r="AC219" s="6">
        <v>131.80000000000001</v>
      </c>
      <c r="AD219" s="6">
        <v>138</v>
      </c>
    </row>
    <row r="220" spans="1:30">
      <c r="A220" s="3" t="s">
        <v>33</v>
      </c>
      <c r="B220" s="4">
        <v>2019</v>
      </c>
      <c r="C220" s="4" t="s">
        <v>31</v>
      </c>
      <c r="D220" s="4">
        <v>137.1</v>
      </c>
      <c r="E220" s="4">
        <v>151.4</v>
      </c>
      <c r="F220" s="4">
        <v>140.19999999999999</v>
      </c>
      <c r="G220" s="4">
        <v>142.1</v>
      </c>
      <c r="H220" s="4">
        <v>121.8</v>
      </c>
      <c r="I220" s="4">
        <v>135.4</v>
      </c>
      <c r="J220" s="4">
        <v>131.30000000000001</v>
      </c>
      <c r="K220" s="4">
        <v>120.3</v>
      </c>
      <c r="L220" s="4">
        <v>109.1</v>
      </c>
      <c r="M220" s="4">
        <v>139.4</v>
      </c>
      <c r="N220" s="4">
        <v>133.30000000000001</v>
      </c>
      <c r="O220" s="4">
        <v>154.6</v>
      </c>
      <c r="P220" s="4">
        <v>137.4</v>
      </c>
      <c r="Q220" s="4">
        <v>163.19999999999999</v>
      </c>
      <c r="R220" s="4">
        <v>147.6</v>
      </c>
      <c r="S220" s="4">
        <v>139</v>
      </c>
      <c r="T220" s="4">
        <v>146.4</v>
      </c>
      <c r="U220" s="4">
        <v>147.69999999999999</v>
      </c>
      <c r="V220" s="4">
        <v>139.5</v>
      </c>
      <c r="W220" s="4">
        <v>143.6</v>
      </c>
      <c r="X220" s="4">
        <v>145.1</v>
      </c>
      <c r="Y220" s="4">
        <v>123.3</v>
      </c>
      <c r="Z220" s="4">
        <v>136.69999999999999</v>
      </c>
      <c r="AA220" s="4">
        <v>150.19999999999999</v>
      </c>
      <c r="AB220" s="4">
        <v>132.80000000000001</v>
      </c>
      <c r="AC220" s="4">
        <v>136.9</v>
      </c>
      <c r="AD220" s="4">
        <v>139.6</v>
      </c>
    </row>
    <row r="221" spans="1:30">
      <c r="A221" s="5" t="s">
        <v>30</v>
      </c>
      <c r="B221" s="6">
        <v>2019</v>
      </c>
      <c r="C221" s="6" t="s">
        <v>34</v>
      </c>
      <c r="D221" s="6">
        <v>136.80000000000001</v>
      </c>
      <c r="E221" s="6">
        <v>153</v>
      </c>
      <c r="F221" s="6">
        <v>139.1</v>
      </c>
      <c r="G221" s="6">
        <v>142.5</v>
      </c>
      <c r="H221" s="6">
        <v>124.1</v>
      </c>
      <c r="I221" s="6">
        <v>135.80000000000001</v>
      </c>
      <c r="J221" s="6">
        <v>128.69999999999999</v>
      </c>
      <c r="K221" s="6">
        <v>121.5</v>
      </c>
      <c r="L221" s="6">
        <v>108.3</v>
      </c>
      <c r="M221" s="6">
        <v>139.19999999999999</v>
      </c>
      <c r="N221" s="6">
        <v>137.4</v>
      </c>
      <c r="O221" s="6">
        <v>156.19999999999999</v>
      </c>
      <c r="P221" s="6">
        <v>137.19999999999999</v>
      </c>
      <c r="Q221" s="6">
        <v>162.80000000000001</v>
      </c>
      <c r="R221" s="6">
        <v>150.5</v>
      </c>
      <c r="S221" s="6">
        <v>146.1</v>
      </c>
      <c r="T221" s="6">
        <v>149.9</v>
      </c>
      <c r="U221" s="6">
        <v>0</v>
      </c>
      <c r="V221" s="6">
        <v>145.30000000000001</v>
      </c>
      <c r="W221" s="6">
        <v>150.1</v>
      </c>
      <c r="X221" s="6">
        <v>149.9</v>
      </c>
      <c r="Y221" s="6">
        <v>129.19999999999999</v>
      </c>
      <c r="Z221" s="6">
        <v>143.4</v>
      </c>
      <c r="AA221" s="6">
        <v>155.5</v>
      </c>
      <c r="AB221" s="6">
        <v>134.9</v>
      </c>
      <c r="AC221" s="6">
        <v>142.19999999999999</v>
      </c>
      <c r="AD221" s="6">
        <v>141</v>
      </c>
    </row>
    <row r="222" spans="1:30">
      <c r="A222" s="3" t="s">
        <v>32</v>
      </c>
      <c r="B222" s="4">
        <v>2019</v>
      </c>
      <c r="C222" s="4" t="s">
        <v>34</v>
      </c>
      <c r="D222" s="4">
        <v>139.4</v>
      </c>
      <c r="E222" s="4">
        <v>150.1</v>
      </c>
      <c r="F222" s="4">
        <v>145.30000000000001</v>
      </c>
      <c r="G222" s="4">
        <v>141.69999999999999</v>
      </c>
      <c r="H222" s="4">
        <v>118.4</v>
      </c>
      <c r="I222" s="4">
        <v>137</v>
      </c>
      <c r="J222" s="4">
        <v>131.6</v>
      </c>
      <c r="K222" s="4">
        <v>119.9</v>
      </c>
      <c r="L222" s="4">
        <v>110.4</v>
      </c>
      <c r="M222" s="4">
        <v>140.80000000000001</v>
      </c>
      <c r="N222" s="4">
        <v>128.30000000000001</v>
      </c>
      <c r="O222" s="4">
        <v>153.5</v>
      </c>
      <c r="P222" s="4">
        <v>138</v>
      </c>
      <c r="Q222" s="4">
        <v>164.9</v>
      </c>
      <c r="R222" s="4">
        <v>143.30000000000001</v>
      </c>
      <c r="S222" s="4">
        <v>130.80000000000001</v>
      </c>
      <c r="T222" s="4">
        <v>141.4</v>
      </c>
      <c r="U222" s="4">
        <v>148.5</v>
      </c>
      <c r="V222" s="4">
        <v>127.1</v>
      </c>
      <c r="W222" s="4">
        <v>136.6</v>
      </c>
      <c r="X222" s="4">
        <v>138.5</v>
      </c>
      <c r="Y222" s="4">
        <v>119.2</v>
      </c>
      <c r="Z222" s="4">
        <v>132.19999999999999</v>
      </c>
      <c r="AA222" s="4">
        <v>146.6</v>
      </c>
      <c r="AB222" s="4">
        <v>133</v>
      </c>
      <c r="AC222" s="4">
        <v>132.4</v>
      </c>
      <c r="AD222" s="4">
        <v>138.6</v>
      </c>
    </row>
    <row r="223" spans="1:30">
      <c r="A223" s="5" t="s">
        <v>33</v>
      </c>
      <c r="B223" s="6">
        <v>2019</v>
      </c>
      <c r="C223" s="6" t="s">
        <v>34</v>
      </c>
      <c r="D223" s="6">
        <v>137.6</v>
      </c>
      <c r="E223" s="6">
        <v>152</v>
      </c>
      <c r="F223" s="6">
        <v>141.5</v>
      </c>
      <c r="G223" s="6">
        <v>142.19999999999999</v>
      </c>
      <c r="H223" s="6">
        <v>122</v>
      </c>
      <c r="I223" s="6">
        <v>136.4</v>
      </c>
      <c r="J223" s="6">
        <v>129.69999999999999</v>
      </c>
      <c r="K223" s="6">
        <v>121</v>
      </c>
      <c r="L223" s="6">
        <v>109</v>
      </c>
      <c r="M223" s="6">
        <v>139.69999999999999</v>
      </c>
      <c r="N223" s="6">
        <v>133.6</v>
      </c>
      <c r="O223" s="6">
        <v>154.9</v>
      </c>
      <c r="P223" s="6">
        <v>137.5</v>
      </c>
      <c r="Q223" s="6">
        <v>163.4</v>
      </c>
      <c r="R223" s="6">
        <v>147.69999999999999</v>
      </c>
      <c r="S223" s="6">
        <v>139.69999999999999</v>
      </c>
      <c r="T223" s="6">
        <v>146.5</v>
      </c>
      <c r="U223" s="6">
        <v>148.5</v>
      </c>
      <c r="V223" s="6">
        <v>138.4</v>
      </c>
      <c r="W223" s="6">
        <v>143.69999999999999</v>
      </c>
      <c r="X223" s="6">
        <v>145.6</v>
      </c>
      <c r="Y223" s="6">
        <v>123.9</v>
      </c>
      <c r="Z223" s="6">
        <v>137.1</v>
      </c>
      <c r="AA223" s="6">
        <v>150.30000000000001</v>
      </c>
      <c r="AB223" s="6">
        <v>134.1</v>
      </c>
      <c r="AC223" s="6">
        <v>137.4</v>
      </c>
      <c r="AD223" s="6">
        <v>139.9</v>
      </c>
    </row>
    <row r="224" spans="1:30">
      <c r="A224" s="3" t="s">
        <v>30</v>
      </c>
      <c r="B224" s="4">
        <v>2019</v>
      </c>
      <c r="C224" s="4" t="s">
        <v>35</v>
      </c>
      <c r="D224" s="4">
        <v>136.9</v>
      </c>
      <c r="E224" s="4">
        <v>154.1</v>
      </c>
      <c r="F224" s="4">
        <v>138.69999999999999</v>
      </c>
      <c r="G224" s="4">
        <v>142.5</v>
      </c>
      <c r="H224" s="4">
        <v>124.1</v>
      </c>
      <c r="I224" s="4">
        <v>136.1</v>
      </c>
      <c r="J224" s="4">
        <v>128.19999999999999</v>
      </c>
      <c r="K224" s="4">
        <v>122.3</v>
      </c>
      <c r="L224" s="4">
        <v>108.3</v>
      </c>
      <c r="M224" s="4">
        <v>138.9</v>
      </c>
      <c r="N224" s="4">
        <v>137.4</v>
      </c>
      <c r="O224" s="4">
        <v>156.4</v>
      </c>
      <c r="P224" s="4">
        <v>137.30000000000001</v>
      </c>
      <c r="Q224" s="4">
        <v>162.9</v>
      </c>
      <c r="R224" s="4">
        <v>150.80000000000001</v>
      </c>
      <c r="S224" s="4">
        <v>146.1</v>
      </c>
      <c r="T224" s="4">
        <v>150.1</v>
      </c>
      <c r="U224" s="4">
        <v>149.55000000000001</v>
      </c>
      <c r="V224" s="4">
        <v>146.4</v>
      </c>
      <c r="W224" s="4">
        <v>150</v>
      </c>
      <c r="X224" s="4">
        <v>150.4</v>
      </c>
      <c r="Y224" s="4">
        <v>129.9</v>
      </c>
      <c r="Z224" s="4">
        <v>143.80000000000001</v>
      </c>
      <c r="AA224" s="4">
        <v>155.5</v>
      </c>
      <c r="AB224" s="4">
        <v>134</v>
      </c>
      <c r="AC224" s="4">
        <v>142.4</v>
      </c>
      <c r="AD224" s="4">
        <v>141.19999999999999</v>
      </c>
    </row>
    <row r="225" spans="1:30">
      <c r="A225" s="5" t="s">
        <v>32</v>
      </c>
      <c r="B225" s="6">
        <v>2019</v>
      </c>
      <c r="C225" s="6" t="s">
        <v>35</v>
      </c>
      <c r="D225" s="6">
        <v>139.69999999999999</v>
      </c>
      <c r="E225" s="6">
        <v>151.1</v>
      </c>
      <c r="F225" s="6">
        <v>142.9</v>
      </c>
      <c r="G225" s="6">
        <v>141.9</v>
      </c>
      <c r="H225" s="6">
        <v>118.4</v>
      </c>
      <c r="I225" s="6">
        <v>139.4</v>
      </c>
      <c r="J225" s="6">
        <v>141.19999999999999</v>
      </c>
      <c r="K225" s="6">
        <v>120.7</v>
      </c>
      <c r="L225" s="6">
        <v>110.4</v>
      </c>
      <c r="M225" s="6">
        <v>140.69999999999999</v>
      </c>
      <c r="N225" s="6">
        <v>128.5</v>
      </c>
      <c r="O225" s="6">
        <v>153.9</v>
      </c>
      <c r="P225" s="6">
        <v>139.6</v>
      </c>
      <c r="Q225" s="6">
        <v>165.3</v>
      </c>
      <c r="R225" s="6">
        <v>143.5</v>
      </c>
      <c r="S225" s="6">
        <v>131.19999999999999</v>
      </c>
      <c r="T225" s="6">
        <v>141.6</v>
      </c>
      <c r="U225" s="6">
        <v>149</v>
      </c>
      <c r="V225" s="6">
        <v>128.80000000000001</v>
      </c>
      <c r="W225" s="6">
        <v>136.80000000000001</v>
      </c>
      <c r="X225" s="6">
        <v>139.19999999999999</v>
      </c>
      <c r="Y225" s="6">
        <v>119.9</v>
      </c>
      <c r="Z225" s="6">
        <v>133</v>
      </c>
      <c r="AA225" s="6">
        <v>146.69999999999999</v>
      </c>
      <c r="AB225" s="6">
        <v>132.5</v>
      </c>
      <c r="AC225" s="6">
        <v>132.80000000000001</v>
      </c>
      <c r="AD225" s="6">
        <v>139.5</v>
      </c>
    </row>
    <row r="226" spans="1:30">
      <c r="A226" s="3" t="s">
        <v>33</v>
      </c>
      <c r="B226" s="4">
        <v>2019</v>
      </c>
      <c r="C226" s="4" t="s">
        <v>35</v>
      </c>
      <c r="D226" s="4">
        <v>137.80000000000001</v>
      </c>
      <c r="E226" s="4">
        <v>153</v>
      </c>
      <c r="F226" s="4">
        <v>140.30000000000001</v>
      </c>
      <c r="G226" s="4">
        <v>142.30000000000001</v>
      </c>
      <c r="H226" s="4">
        <v>122</v>
      </c>
      <c r="I226" s="4">
        <v>137.6</v>
      </c>
      <c r="J226" s="4">
        <v>132.6</v>
      </c>
      <c r="K226" s="4">
        <v>121.8</v>
      </c>
      <c r="L226" s="4">
        <v>109</v>
      </c>
      <c r="M226" s="4">
        <v>139.5</v>
      </c>
      <c r="N226" s="4">
        <v>133.69999999999999</v>
      </c>
      <c r="O226" s="4">
        <v>155.19999999999999</v>
      </c>
      <c r="P226" s="4">
        <v>138.1</v>
      </c>
      <c r="Q226" s="4">
        <v>163.5</v>
      </c>
      <c r="R226" s="4">
        <v>147.9</v>
      </c>
      <c r="S226" s="4">
        <v>139.9</v>
      </c>
      <c r="T226" s="4">
        <v>146.69999999999999</v>
      </c>
      <c r="U226" s="4">
        <v>149</v>
      </c>
      <c r="V226" s="4">
        <v>139.69999999999999</v>
      </c>
      <c r="W226" s="4">
        <v>143.80000000000001</v>
      </c>
      <c r="X226" s="4">
        <v>146.19999999999999</v>
      </c>
      <c r="Y226" s="4">
        <v>124.6</v>
      </c>
      <c r="Z226" s="4">
        <v>137.69999999999999</v>
      </c>
      <c r="AA226" s="4">
        <v>150.30000000000001</v>
      </c>
      <c r="AB226" s="4">
        <v>133.4</v>
      </c>
      <c r="AC226" s="4">
        <v>137.69999999999999</v>
      </c>
      <c r="AD226" s="4">
        <v>140.4</v>
      </c>
    </row>
    <row r="227" spans="1:30">
      <c r="A227" s="5" t="s">
        <v>30</v>
      </c>
      <c r="B227" s="6">
        <v>2019</v>
      </c>
      <c r="C227" s="6" t="s">
        <v>37</v>
      </c>
      <c r="D227" s="6">
        <v>137.4</v>
      </c>
      <c r="E227" s="6">
        <v>159.5</v>
      </c>
      <c r="F227" s="6">
        <v>134.5</v>
      </c>
      <c r="G227" s="6">
        <v>142.6</v>
      </c>
      <c r="H227" s="6">
        <v>124</v>
      </c>
      <c r="I227" s="6">
        <v>143.69999999999999</v>
      </c>
      <c r="J227" s="6">
        <v>133.4</v>
      </c>
      <c r="K227" s="6">
        <v>125.1</v>
      </c>
      <c r="L227" s="6">
        <v>109.3</v>
      </c>
      <c r="M227" s="6">
        <v>139.30000000000001</v>
      </c>
      <c r="N227" s="6">
        <v>137.69999999999999</v>
      </c>
      <c r="O227" s="6">
        <v>156.4</v>
      </c>
      <c r="P227" s="6">
        <v>139.19999999999999</v>
      </c>
      <c r="Q227" s="6">
        <v>163.30000000000001</v>
      </c>
      <c r="R227" s="6">
        <v>151.30000000000001</v>
      </c>
      <c r="S227" s="6">
        <v>146.6</v>
      </c>
      <c r="T227" s="6">
        <v>150.69999999999999</v>
      </c>
      <c r="U227" s="6">
        <v>0</v>
      </c>
      <c r="V227" s="6">
        <v>146.9</v>
      </c>
      <c r="W227" s="6">
        <v>149.5</v>
      </c>
      <c r="X227" s="6">
        <v>151.30000000000001</v>
      </c>
      <c r="Y227" s="6">
        <v>130.19999999999999</v>
      </c>
      <c r="Z227" s="6">
        <v>145.9</v>
      </c>
      <c r="AA227" s="6">
        <v>156.69999999999999</v>
      </c>
      <c r="AB227" s="6">
        <v>133.9</v>
      </c>
      <c r="AC227" s="6">
        <v>142.9</v>
      </c>
      <c r="AD227" s="6">
        <v>142.4</v>
      </c>
    </row>
    <row r="228" spans="1:30">
      <c r="A228" s="3" t="s">
        <v>32</v>
      </c>
      <c r="B228" s="4">
        <v>2019</v>
      </c>
      <c r="C228" s="4" t="s">
        <v>37</v>
      </c>
      <c r="D228" s="4">
        <v>140.4</v>
      </c>
      <c r="E228" s="4">
        <v>156.69999999999999</v>
      </c>
      <c r="F228" s="4">
        <v>138.30000000000001</v>
      </c>
      <c r="G228" s="4">
        <v>142.4</v>
      </c>
      <c r="H228" s="4">
        <v>118.6</v>
      </c>
      <c r="I228" s="4">
        <v>149.69999999999999</v>
      </c>
      <c r="J228" s="4">
        <v>161.6</v>
      </c>
      <c r="K228" s="4">
        <v>124.4</v>
      </c>
      <c r="L228" s="4">
        <v>111.2</v>
      </c>
      <c r="M228" s="4">
        <v>141</v>
      </c>
      <c r="N228" s="4">
        <v>128.9</v>
      </c>
      <c r="O228" s="4">
        <v>154.5</v>
      </c>
      <c r="P228" s="4">
        <v>143.80000000000001</v>
      </c>
      <c r="Q228" s="4">
        <v>166.2</v>
      </c>
      <c r="R228" s="4">
        <v>144</v>
      </c>
      <c r="S228" s="4">
        <v>131.69999999999999</v>
      </c>
      <c r="T228" s="4">
        <v>142.19999999999999</v>
      </c>
      <c r="U228" s="4">
        <v>150.1</v>
      </c>
      <c r="V228" s="4">
        <v>129.4</v>
      </c>
      <c r="W228" s="4">
        <v>137.19999999999999</v>
      </c>
      <c r="X228" s="4">
        <v>139.80000000000001</v>
      </c>
      <c r="Y228" s="4">
        <v>120.1</v>
      </c>
      <c r="Z228" s="4">
        <v>134</v>
      </c>
      <c r="AA228" s="4">
        <v>148</v>
      </c>
      <c r="AB228" s="4">
        <v>132.6</v>
      </c>
      <c r="AC228" s="4">
        <v>133.30000000000001</v>
      </c>
      <c r="AD228" s="4">
        <v>141.5</v>
      </c>
    </row>
    <row r="229" spans="1:30">
      <c r="A229" s="5" t="s">
        <v>33</v>
      </c>
      <c r="B229" s="6">
        <v>2019</v>
      </c>
      <c r="C229" s="6" t="s">
        <v>37</v>
      </c>
      <c r="D229" s="6">
        <v>138.30000000000001</v>
      </c>
      <c r="E229" s="6">
        <v>158.5</v>
      </c>
      <c r="F229" s="6">
        <v>136</v>
      </c>
      <c r="G229" s="6">
        <v>142.5</v>
      </c>
      <c r="H229" s="6">
        <v>122</v>
      </c>
      <c r="I229" s="6">
        <v>146.5</v>
      </c>
      <c r="J229" s="6">
        <v>143</v>
      </c>
      <c r="K229" s="6">
        <v>124.9</v>
      </c>
      <c r="L229" s="6">
        <v>109.9</v>
      </c>
      <c r="M229" s="6">
        <v>139.9</v>
      </c>
      <c r="N229" s="6">
        <v>134</v>
      </c>
      <c r="O229" s="6">
        <v>155.5</v>
      </c>
      <c r="P229" s="6">
        <v>140.9</v>
      </c>
      <c r="Q229" s="6">
        <v>164.1</v>
      </c>
      <c r="R229" s="6">
        <v>148.4</v>
      </c>
      <c r="S229" s="6">
        <v>140.4</v>
      </c>
      <c r="T229" s="6">
        <v>147.30000000000001</v>
      </c>
      <c r="U229" s="6">
        <v>150.1</v>
      </c>
      <c r="V229" s="6">
        <v>140.30000000000001</v>
      </c>
      <c r="W229" s="6">
        <v>143.69999999999999</v>
      </c>
      <c r="X229" s="6">
        <v>146.9</v>
      </c>
      <c r="Y229" s="6">
        <v>124.9</v>
      </c>
      <c r="Z229" s="6">
        <v>139.19999999999999</v>
      </c>
      <c r="AA229" s="6">
        <v>151.6</v>
      </c>
      <c r="AB229" s="6">
        <v>133.4</v>
      </c>
      <c r="AC229" s="6">
        <v>138.19999999999999</v>
      </c>
      <c r="AD229" s="6">
        <v>142</v>
      </c>
    </row>
    <row r="230" spans="1:30">
      <c r="A230" s="3" t="s">
        <v>30</v>
      </c>
      <c r="B230" s="4">
        <v>2019</v>
      </c>
      <c r="C230" s="4" t="s">
        <v>38</v>
      </c>
      <c r="D230" s="4">
        <v>137.80000000000001</v>
      </c>
      <c r="E230" s="4">
        <v>163.5</v>
      </c>
      <c r="F230" s="4">
        <v>136.19999999999999</v>
      </c>
      <c r="G230" s="4">
        <v>143.19999999999999</v>
      </c>
      <c r="H230" s="4">
        <v>124.3</v>
      </c>
      <c r="I230" s="4">
        <v>143.30000000000001</v>
      </c>
      <c r="J230" s="4">
        <v>140.6</v>
      </c>
      <c r="K230" s="4">
        <v>128.69999999999999</v>
      </c>
      <c r="L230" s="4">
        <v>110.6</v>
      </c>
      <c r="M230" s="4">
        <v>140.4</v>
      </c>
      <c r="N230" s="4">
        <v>138</v>
      </c>
      <c r="O230" s="4">
        <v>156.6</v>
      </c>
      <c r="P230" s="4">
        <v>141</v>
      </c>
      <c r="Q230" s="4">
        <v>164.2</v>
      </c>
      <c r="R230" s="4">
        <v>151.4</v>
      </c>
      <c r="S230" s="4">
        <v>146.5</v>
      </c>
      <c r="T230" s="4">
        <v>150.69999999999999</v>
      </c>
      <c r="U230" s="4">
        <v>150</v>
      </c>
      <c r="V230" s="4">
        <v>147.80000000000001</v>
      </c>
      <c r="W230" s="4">
        <v>149.6</v>
      </c>
      <c r="X230" s="4">
        <v>151.69999999999999</v>
      </c>
      <c r="Y230" s="4">
        <v>130.19999999999999</v>
      </c>
      <c r="Z230" s="4">
        <v>146.4</v>
      </c>
      <c r="AA230" s="4">
        <v>157.69999999999999</v>
      </c>
      <c r="AB230" s="4">
        <v>134.80000000000001</v>
      </c>
      <c r="AC230" s="4">
        <v>143.30000000000001</v>
      </c>
      <c r="AD230" s="4">
        <v>143.6</v>
      </c>
    </row>
    <row r="231" spans="1:30">
      <c r="A231" s="5" t="s">
        <v>32</v>
      </c>
      <c r="B231" s="6">
        <v>2019</v>
      </c>
      <c r="C231" s="6" t="s">
        <v>38</v>
      </c>
      <c r="D231" s="6">
        <v>140.69999999999999</v>
      </c>
      <c r="E231" s="6">
        <v>159.6</v>
      </c>
      <c r="F231" s="6">
        <v>140.4</v>
      </c>
      <c r="G231" s="6">
        <v>143.4</v>
      </c>
      <c r="H231" s="6">
        <v>118.6</v>
      </c>
      <c r="I231" s="6">
        <v>150.9</v>
      </c>
      <c r="J231" s="6">
        <v>169.8</v>
      </c>
      <c r="K231" s="6">
        <v>127.4</v>
      </c>
      <c r="L231" s="6">
        <v>111.8</v>
      </c>
      <c r="M231" s="6">
        <v>141</v>
      </c>
      <c r="N231" s="6">
        <v>129</v>
      </c>
      <c r="O231" s="6">
        <v>155.1</v>
      </c>
      <c r="P231" s="6">
        <v>145.6</v>
      </c>
      <c r="Q231" s="6">
        <v>166.7</v>
      </c>
      <c r="R231" s="6">
        <v>144.30000000000001</v>
      </c>
      <c r="S231" s="6">
        <v>131.69999999999999</v>
      </c>
      <c r="T231" s="6">
        <v>142.4</v>
      </c>
      <c r="U231" s="6">
        <v>149.4</v>
      </c>
      <c r="V231" s="6">
        <v>130.5</v>
      </c>
      <c r="W231" s="6">
        <v>137.4</v>
      </c>
      <c r="X231" s="6">
        <v>140.30000000000001</v>
      </c>
      <c r="Y231" s="6">
        <v>119.6</v>
      </c>
      <c r="Z231" s="6">
        <v>134.30000000000001</v>
      </c>
      <c r="AA231" s="6">
        <v>148.9</v>
      </c>
      <c r="AB231" s="6">
        <v>133.69999999999999</v>
      </c>
      <c r="AC231" s="6">
        <v>133.6</v>
      </c>
      <c r="AD231" s="6">
        <v>142.1</v>
      </c>
    </row>
    <row r="232" spans="1:30">
      <c r="A232" s="3" t="s">
        <v>33</v>
      </c>
      <c r="B232" s="4">
        <v>2019</v>
      </c>
      <c r="C232" s="4" t="s">
        <v>38</v>
      </c>
      <c r="D232" s="4">
        <v>138.69999999999999</v>
      </c>
      <c r="E232" s="4">
        <v>162.1</v>
      </c>
      <c r="F232" s="4">
        <v>137.80000000000001</v>
      </c>
      <c r="G232" s="4">
        <v>143.30000000000001</v>
      </c>
      <c r="H232" s="4">
        <v>122.2</v>
      </c>
      <c r="I232" s="4">
        <v>146.80000000000001</v>
      </c>
      <c r="J232" s="4">
        <v>150.5</v>
      </c>
      <c r="K232" s="4">
        <v>128.30000000000001</v>
      </c>
      <c r="L232" s="4">
        <v>111</v>
      </c>
      <c r="M232" s="4">
        <v>140.6</v>
      </c>
      <c r="N232" s="4">
        <v>134.19999999999999</v>
      </c>
      <c r="O232" s="4">
        <v>155.9</v>
      </c>
      <c r="P232" s="4">
        <v>142.69999999999999</v>
      </c>
      <c r="Q232" s="4">
        <v>164.9</v>
      </c>
      <c r="R232" s="4">
        <v>148.6</v>
      </c>
      <c r="S232" s="4">
        <v>140.4</v>
      </c>
      <c r="T232" s="4">
        <v>147.4</v>
      </c>
      <c r="U232" s="4">
        <v>149.4</v>
      </c>
      <c r="V232" s="4">
        <v>141.19999999999999</v>
      </c>
      <c r="W232" s="4">
        <v>143.80000000000001</v>
      </c>
      <c r="X232" s="4">
        <v>147.4</v>
      </c>
      <c r="Y232" s="4">
        <v>124.6</v>
      </c>
      <c r="Z232" s="4">
        <v>139.6</v>
      </c>
      <c r="AA232" s="4">
        <v>152.5</v>
      </c>
      <c r="AB232" s="4">
        <v>134.30000000000001</v>
      </c>
      <c r="AC232" s="4">
        <v>138.6</v>
      </c>
      <c r="AD232" s="4">
        <v>142.9</v>
      </c>
    </row>
    <row r="233" spans="1:30">
      <c r="A233" s="5" t="s">
        <v>30</v>
      </c>
      <c r="B233" s="6">
        <v>2019</v>
      </c>
      <c r="C233" s="6" t="s">
        <v>39</v>
      </c>
      <c r="D233" s="6">
        <v>138.4</v>
      </c>
      <c r="E233" s="6">
        <v>164</v>
      </c>
      <c r="F233" s="6">
        <v>138.4</v>
      </c>
      <c r="G233" s="6">
        <v>143.9</v>
      </c>
      <c r="H233" s="6">
        <v>124.4</v>
      </c>
      <c r="I233" s="6">
        <v>146.4</v>
      </c>
      <c r="J233" s="6">
        <v>150.1</v>
      </c>
      <c r="K233" s="6">
        <v>130.6</v>
      </c>
      <c r="L233" s="6">
        <v>110.8</v>
      </c>
      <c r="M233" s="6">
        <v>141.69999999999999</v>
      </c>
      <c r="N233" s="6">
        <v>138.5</v>
      </c>
      <c r="O233" s="6">
        <v>156.69999999999999</v>
      </c>
      <c r="P233" s="6">
        <v>143</v>
      </c>
      <c r="Q233" s="6">
        <v>164.5</v>
      </c>
      <c r="R233" s="6">
        <v>151.6</v>
      </c>
      <c r="S233" s="6">
        <v>146.6</v>
      </c>
      <c r="T233" s="6">
        <v>150.9</v>
      </c>
      <c r="U233" s="6">
        <v>0</v>
      </c>
      <c r="V233" s="6">
        <v>146.80000000000001</v>
      </c>
      <c r="W233" s="6">
        <v>150</v>
      </c>
      <c r="X233" s="6">
        <v>152.19999999999999</v>
      </c>
      <c r="Y233" s="6">
        <v>131.19999999999999</v>
      </c>
      <c r="Z233" s="6">
        <v>147.5</v>
      </c>
      <c r="AA233" s="6">
        <v>159.1</v>
      </c>
      <c r="AB233" s="6">
        <v>136.1</v>
      </c>
      <c r="AC233" s="6">
        <v>144.19999999999999</v>
      </c>
      <c r="AD233" s="6">
        <v>144.9</v>
      </c>
    </row>
    <row r="234" spans="1:30">
      <c r="A234" s="3" t="s">
        <v>32</v>
      </c>
      <c r="B234" s="4">
        <v>2019</v>
      </c>
      <c r="C234" s="4" t="s">
        <v>39</v>
      </c>
      <c r="D234" s="4">
        <v>141.4</v>
      </c>
      <c r="E234" s="4">
        <v>160.19999999999999</v>
      </c>
      <c r="F234" s="4">
        <v>142.5</v>
      </c>
      <c r="G234" s="4">
        <v>144.1</v>
      </c>
      <c r="H234" s="4">
        <v>119.3</v>
      </c>
      <c r="I234" s="4">
        <v>154.69999999999999</v>
      </c>
      <c r="J234" s="4">
        <v>180.1</v>
      </c>
      <c r="K234" s="4">
        <v>128.9</v>
      </c>
      <c r="L234" s="4">
        <v>111.8</v>
      </c>
      <c r="M234" s="4">
        <v>141.6</v>
      </c>
      <c r="N234" s="4">
        <v>129.5</v>
      </c>
      <c r="O234" s="4">
        <v>155.6</v>
      </c>
      <c r="P234" s="4">
        <v>147.69999999999999</v>
      </c>
      <c r="Q234" s="4">
        <v>167.2</v>
      </c>
      <c r="R234" s="4">
        <v>144.69999999999999</v>
      </c>
      <c r="S234" s="4">
        <v>131.9</v>
      </c>
      <c r="T234" s="4">
        <v>142.69999999999999</v>
      </c>
      <c r="U234" s="4">
        <v>150.6</v>
      </c>
      <c r="V234" s="4">
        <v>127</v>
      </c>
      <c r="W234" s="4">
        <v>137.69999999999999</v>
      </c>
      <c r="X234" s="4">
        <v>140.80000000000001</v>
      </c>
      <c r="Y234" s="4">
        <v>120.6</v>
      </c>
      <c r="Z234" s="4">
        <v>135</v>
      </c>
      <c r="AA234" s="4">
        <v>150.4</v>
      </c>
      <c r="AB234" s="4">
        <v>135.1</v>
      </c>
      <c r="AC234" s="4">
        <v>134.5</v>
      </c>
      <c r="AD234" s="4">
        <v>143.30000000000001</v>
      </c>
    </row>
    <row r="235" spans="1:30">
      <c r="A235" s="5" t="s">
        <v>33</v>
      </c>
      <c r="B235" s="6">
        <v>2019</v>
      </c>
      <c r="C235" s="6" t="s">
        <v>39</v>
      </c>
      <c r="D235" s="6">
        <v>139.30000000000001</v>
      </c>
      <c r="E235" s="6">
        <v>162.69999999999999</v>
      </c>
      <c r="F235" s="6">
        <v>140</v>
      </c>
      <c r="G235" s="6">
        <v>144</v>
      </c>
      <c r="H235" s="6">
        <v>122.5</v>
      </c>
      <c r="I235" s="6">
        <v>150.30000000000001</v>
      </c>
      <c r="J235" s="6">
        <v>160.30000000000001</v>
      </c>
      <c r="K235" s="6">
        <v>130</v>
      </c>
      <c r="L235" s="6">
        <v>111.1</v>
      </c>
      <c r="M235" s="6">
        <v>141.69999999999999</v>
      </c>
      <c r="N235" s="6">
        <v>134.69999999999999</v>
      </c>
      <c r="O235" s="6">
        <v>156.19999999999999</v>
      </c>
      <c r="P235" s="6">
        <v>144.69999999999999</v>
      </c>
      <c r="Q235" s="6">
        <v>165.2</v>
      </c>
      <c r="R235" s="6">
        <v>148.9</v>
      </c>
      <c r="S235" s="6">
        <v>140.5</v>
      </c>
      <c r="T235" s="6">
        <v>147.6</v>
      </c>
      <c r="U235" s="6">
        <v>150.6</v>
      </c>
      <c r="V235" s="6">
        <v>139.30000000000001</v>
      </c>
      <c r="W235" s="6">
        <v>144.19999999999999</v>
      </c>
      <c r="X235" s="6">
        <v>147.9</v>
      </c>
      <c r="Y235" s="6">
        <v>125.6</v>
      </c>
      <c r="Z235" s="6">
        <v>140.5</v>
      </c>
      <c r="AA235" s="6">
        <v>154</v>
      </c>
      <c r="AB235" s="6">
        <v>135.69999999999999</v>
      </c>
      <c r="AC235" s="6">
        <v>139.5</v>
      </c>
      <c r="AD235" s="6">
        <v>144.19999999999999</v>
      </c>
    </row>
    <row r="236" spans="1:30">
      <c r="A236" s="3" t="s">
        <v>30</v>
      </c>
      <c r="B236" s="4">
        <v>2019</v>
      </c>
      <c r="C236" s="4" t="s">
        <v>40</v>
      </c>
      <c r="D236" s="4">
        <v>139.19999999999999</v>
      </c>
      <c r="E236" s="4">
        <v>161.9</v>
      </c>
      <c r="F236" s="4">
        <v>137.1</v>
      </c>
      <c r="G236" s="4">
        <v>144.6</v>
      </c>
      <c r="H236" s="4">
        <v>124.7</v>
      </c>
      <c r="I236" s="4">
        <v>145.5</v>
      </c>
      <c r="J236" s="4">
        <v>156.19999999999999</v>
      </c>
      <c r="K236" s="4">
        <v>131.5</v>
      </c>
      <c r="L236" s="4">
        <v>111.7</v>
      </c>
      <c r="M236" s="4">
        <v>142.69999999999999</v>
      </c>
      <c r="N236" s="4">
        <v>138.5</v>
      </c>
      <c r="O236" s="4">
        <v>156.9</v>
      </c>
      <c r="P236" s="4">
        <v>144</v>
      </c>
      <c r="Q236" s="4">
        <v>165.1</v>
      </c>
      <c r="R236" s="4">
        <v>151.80000000000001</v>
      </c>
      <c r="S236" s="4">
        <v>146.6</v>
      </c>
      <c r="T236" s="4">
        <v>151.1</v>
      </c>
      <c r="U236" s="4">
        <v>151.89999999999998</v>
      </c>
      <c r="V236" s="4">
        <v>146.4</v>
      </c>
      <c r="W236" s="4">
        <v>150.19999999999999</v>
      </c>
      <c r="X236" s="4">
        <v>152.69999999999999</v>
      </c>
      <c r="Y236" s="4">
        <v>131.4</v>
      </c>
      <c r="Z236" s="4">
        <v>148</v>
      </c>
      <c r="AA236" s="4">
        <v>159.69999999999999</v>
      </c>
      <c r="AB236" s="4">
        <v>138.80000000000001</v>
      </c>
      <c r="AC236" s="4">
        <v>144.9</v>
      </c>
      <c r="AD236" s="4">
        <v>145.69999999999999</v>
      </c>
    </row>
    <row r="237" spans="1:30">
      <c r="A237" s="5" t="s">
        <v>32</v>
      </c>
      <c r="B237" s="6">
        <v>2019</v>
      </c>
      <c r="C237" s="6" t="s">
        <v>40</v>
      </c>
      <c r="D237" s="6">
        <v>142.1</v>
      </c>
      <c r="E237" s="6">
        <v>158.30000000000001</v>
      </c>
      <c r="F237" s="6">
        <v>140.80000000000001</v>
      </c>
      <c r="G237" s="6">
        <v>144.9</v>
      </c>
      <c r="H237" s="6">
        <v>119.9</v>
      </c>
      <c r="I237" s="6">
        <v>153.9</v>
      </c>
      <c r="J237" s="6">
        <v>189.1</v>
      </c>
      <c r="K237" s="6">
        <v>129.80000000000001</v>
      </c>
      <c r="L237" s="6">
        <v>112.7</v>
      </c>
      <c r="M237" s="6">
        <v>142.5</v>
      </c>
      <c r="N237" s="6">
        <v>129.80000000000001</v>
      </c>
      <c r="O237" s="6">
        <v>156.19999999999999</v>
      </c>
      <c r="P237" s="6">
        <v>149.1</v>
      </c>
      <c r="Q237" s="6">
        <v>167.9</v>
      </c>
      <c r="R237" s="6">
        <v>145</v>
      </c>
      <c r="S237" s="6">
        <v>132.19999999999999</v>
      </c>
      <c r="T237" s="6">
        <v>143</v>
      </c>
      <c r="U237" s="6">
        <v>151.6</v>
      </c>
      <c r="V237" s="6">
        <v>125.5</v>
      </c>
      <c r="W237" s="6">
        <v>138.1</v>
      </c>
      <c r="X237" s="6">
        <v>141.5</v>
      </c>
      <c r="Y237" s="6">
        <v>120.8</v>
      </c>
      <c r="Z237" s="6">
        <v>135.4</v>
      </c>
      <c r="AA237" s="6">
        <v>151.5</v>
      </c>
      <c r="AB237" s="6">
        <v>137.80000000000001</v>
      </c>
      <c r="AC237" s="6">
        <v>135.30000000000001</v>
      </c>
      <c r="AD237" s="6">
        <v>144.19999999999999</v>
      </c>
    </row>
    <row r="238" spans="1:30">
      <c r="A238" s="3" t="s">
        <v>33</v>
      </c>
      <c r="B238" s="4">
        <v>2019</v>
      </c>
      <c r="C238" s="4" t="s">
        <v>40</v>
      </c>
      <c r="D238" s="4">
        <v>140.1</v>
      </c>
      <c r="E238" s="4">
        <v>160.6</v>
      </c>
      <c r="F238" s="4">
        <v>138.5</v>
      </c>
      <c r="G238" s="4">
        <v>144.69999999999999</v>
      </c>
      <c r="H238" s="4">
        <v>122.9</v>
      </c>
      <c r="I238" s="4">
        <v>149.4</v>
      </c>
      <c r="J238" s="4">
        <v>167.4</v>
      </c>
      <c r="K238" s="4">
        <v>130.9</v>
      </c>
      <c r="L238" s="4">
        <v>112</v>
      </c>
      <c r="M238" s="4">
        <v>142.6</v>
      </c>
      <c r="N238" s="4">
        <v>134.9</v>
      </c>
      <c r="O238" s="4">
        <v>156.6</v>
      </c>
      <c r="P238" s="4">
        <v>145.9</v>
      </c>
      <c r="Q238" s="4">
        <v>165.8</v>
      </c>
      <c r="R238" s="4">
        <v>149.1</v>
      </c>
      <c r="S238" s="4">
        <v>140.6</v>
      </c>
      <c r="T238" s="4">
        <v>147.9</v>
      </c>
      <c r="U238" s="4">
        <v>151.6</v>
      </c>
      <c r="V238" s="4">
        <v>138.5</v>
      </c>
      <c r="W238" s="4">
        <v>144.5</v>
      </c>
      <c r="X238" s="4">
        <v>148.5</v>
      </c>
      <c r="Y238" s="4">
        <v>125.8</v>
      </c>
      <c r="Z238" s="4">
        <v>140.9</v>
      </c>
      <c r="AA238" s="4">
        <v>154.9</v>
      </c>
      <c r="AB238" s="4">
        <v>138.4</v>
      </c>
      <c r="AC238" s="4">
        <v>140.19999999999999</v>
      </c>
      <c r="AD238" s="4">
        <v>145</v>
      </c>
    </row>
    <row r="239" spans="1:30">
      <c r="A239" s="5" t="s">
        <v>30</v>
      </c>
      <c r="B239" s="6">
        <v>2019</v>
      </c>
      <c r="C239" s="6" t="s">
        <v>41</v>
      </c>
      <c r="D239" s="6">
        <v>140.1</v>
      </c>
      <c r="E239" s="6">
        <v>161.9</v>
      </c>
      <c r="F239" s="6">
        <v>138.30000000000001</v>
      </c>
      <c r="G239" s="6">
        <v>145.69999999999999</v>
      </c>
      <c r="H239" s="6">
        <v>125.1</v>
      </c>
      <c r="I239" s="6">
        <v>143.80000000000001</v>
      </c>
      <c r="J239" s="6">
        <v>163.4</v>
      </c>
      <c r="K239" s="6">
        <v>132.19999999999999</v>
      </c>
      <c r="L239" s="6">
        <v>112.8</v>
      </c>
      <c r="M239" s="6">
        <v>144.19999999999999</v>
      </c>
      <c r="N239" s="6">
        <v>138.5</v>
      </c>
      <c r="O239" s="6">
        <v>157.19999999999999</v>
      </c>
      <c r="P239" s="6">
        <v>145.5</v>
      </c>
      <c r="Q239" s="6">
        <v>165.7</v>
      </c>
      <c r="R239" s="6">
        <v>151.69999999999999</v>
      </c>
      <c r="S239" s="6">
        <v>146.6</v>
      </c>
      <c r="T239" s="6">
        <v>151</v>
      </c>
      <c r="U239" s="6">
        <v>0</v>
      </c>
      <c r="V239" s="6">
        <v>146.9</v>
      </c>
      <c r="W239" s="6">
        <v>150.30000000000001</v>
      </c>
      <c r="X239" s="6">
        <v>153.4</v>
      </c>
      <c r="Y239" s="6">
        <v>131.6</v>
      </c>
      <c r="Z239" s="6">
        <v>148.30000000000001</v>
      </c>
      <c r="AA239" s="6">
        <v>160.19999999999999</v>
      </c>
      <c r="AB239" s="6">
        <v>140.19999999999999</v>
      </c>
      <c r="AC239" s="6">
        <v>145.4</v>
      </c>
      <c r="AD239" s="6">
        <v>146.69999999999999</v>
      </c>
    </row>
    <row r="240" spans="1:30">
      <c r="A240" s="3" t="s">
        <v>32</v>
      </c>
      <c r="B240" s="4">
        <v>2019</v>
      </c>
      <c r="C240" s="4" t="s">
        <v>41</v>
      </c>
      <c r="D240" s="4">
        <v>142.69999999999999</v>
      </c>
      <c r="E240" s="4">
        <v>158.69999999999999</v>
      </c>
      <c r="F240" s="4">
        <v>141.6</v>
      </c>
      <c r="G240" s="4">
        <v>144.9</v>
      </c>
      <c r="H240" s="4">
        <v>120.8</v>
      </c>
      <c r="I240" s="4">
        <v>149.80000000000001</v>
      </c>
      <c r="J240" s="4">
        <v>192.4</v>
      </c>
      <c r="K240" s="4">
        <v>130.30000000000001</v>
      </c>
      <c r="L240" s="4">
        <v>114</v>
      </c>
      <c r="M240" s="4">
        <v>143.80000000000001</v>
      </c>
      <c r="N240" s="4">
        <v>130</v>
      </c>
      <c r="O240" s="4">
        <v>156.4</v>
      </c>
      <c r="P240" s="4">
        <v>149.5</v>
      </c>
      <c r="Q240" s="4">
        <v>168.6</v>
      </c>
      <c r="R240" s="4">
        <v>145.30000000000001</v>
      </c>
      <c r="S240" s="4">
        <v>132.19999999999999</v>
      </c>
      <c r="T240" s="4">
        <v>143.30000000000001</v>
      </c>
      <c r="U240" s="4">
        <v>152.19999999999999</v>
      </c>
      <c r="V240" s="4">
        <v>126.6</v>
      </c>
      <c r="W240" s="4">
        <v>138.30000000000001</v>
      </c>
      <c r="X240" s="4">
        <v>141.9</v>
      </c>
      <c r="Y240" s="4">
        <v>121.2</v>
      </c>
      <c r="Z240" s="4">
        <v>135.9</v>
      </c>
      <c r="AA240" s="4">
        <v>151.6</v>
      </c>
      <c r="AB240" s="4">
        <v>139</v>
      </c>
      <c r="AC240" s="4">
        <v>135.69999999999999</v>
      </c>
      <c r="AD240" s="4">
        <v>144.69999999999999</v>
      </c>
    </row>
    <row r="241" spans="1:30">
      <c r="A241" s="5" t="s">
        <v>33</v>
      </c>
      <c r="B241" s="6">
        <v>2019</v>
      </c>
      <c r="C241" s="6" t="s">
        <v>41</v>
      </c>
      <c r="D241" s="6">
        <v>140.9</v>
      </c>
      <c r="E241" s="6">
        <v>160.80000000000001</v>
      </c>
      <c r="F241" s="6">
        <v>139.6</v>
      </c>
      <c r="G241" s="6">
        <v>145.4</v>
      </c>
      <c r="H241" s="6">
        <v>123.5</v>
      </c>
      <c r="I241" s="6">
        <v>146.6</v>
      </c>
      <c r="J241" s="6">
        <v>173.2</v>
      </c>
      <c r="K241" s="6">
        <v>131.6</v>
      </c>
      <c r="L241" s="6">
        <v>113.2</v>
      </c>
      <c r="M241" s="6">
        <v>144.1</v>
      </c>
      <c r="N241" s="6">
        <v>135</v>
      </c>
      <c r="O241" s="6">
        <v>156.80000000000001</v>
      </c>
      <c r="P241" s="6">
        <v>147</v>
      </c>
      <c r="Q241" s="6">
        <v>166.5</v>
      </c>
      <c r="R241" s="6">
        <v>149.19999999999999</v>
      </c>
      <c r="S241" s="6">
        <v>140.6</v>
      </c>
      <c r="T241" s="6">
        <v>147.9</v>
      </c>
      <c r="U241" s="6">
        <v>152.19999999999999</v>
      </c>
      <c r="V241" s="6">
        <v>139.19999999999999</v>
      </c>
      <c r="W241" s="6">
        <v>144.6</v>
      </c>
      <c r="X241" s="6">
        <v>149</v>
      </c>
      <c r="Y241" s="6">
        <v>126.1</v>
      </c>
      <c r="Z241" s="6">
        <v>141.30000000000001</v>
      </c>
      <c r="AA241" s="6">
        <v>155.19999999999999</v>
      </c>
      <c r="AB241" s="6">
        <v>139.69999999999999</v>
      </c>
      <c r="AC241" s="6">
        <v>140.69999999999999</v>
      </c>
      <c r="AD241" s="6">
        <v>145.80000000000001</v>
      </c>
    </row>
    <row r="242" spans="1:30">
      <c r="A242" s="3" t="s">
        <v>30</v>
      </c>
      <c r="B242" s="4">
        <v>2019</v>
      </c>
      <c r="C242" s="4" t="s">
        <v>42</v>
      </c>
      <c r="D242" s="4">
        <v>141</v>
      </c>
      <c r="E242" s="4">
        <v>161.6</v>
      </c>
      <c r="F242" s="4">
        <v>141.19999999999999</v>
      </c>
      <c r="G242" s="4">
        <v>146.5</v>
      </c>
      <c r="H242" s="4">
        <v>125.6</v>
      </c>
      <c r="I242" s="4">
        <v>145.69999999999999</v>
      </c>
      <c r="J242" s="4">
        <v>178.8</v>
      </c>
      <c r="K242" s="4">
        <v>133.1</v>
      </c>
      <c r="L242" s="4">
        <v>113.6</v>
      </c>
      <c r="M242" s="4">
        <v>145.5</v>
      </c>
      <c r="N242" s="4">
        <v>138.6</v>
      </c>
      <c r="O242" s="4">
        <v>157.4</v>
      </c>
      <c r="P242" s="4">
        <v>148.30000000000001</v>
      </c>
      <c r="Q242" s="4">
        <v>166.3</v>
      </c>
      <c r="R242" s="4">
        <v>151.69999999999999</v>
      </c>
      <c r="S242" s="4">
        <v>146.69999999999999</v>
      </c>
      <c r="T242" s="4">
        <v>151</v>
      </c>
      <c r="U242" s="4">
        <v>153.25</v>
      </c>
      <c r="V242" s="4">
        <v>147.69999999999999</v>
      </c>
      <c r="W242" s="4">
        <v>150.6</v>
      </c>
      <c r="X242" s="4">
        <v>153.69999999999999</v>
      </c>
      <c r="Y242" s="4">
        <v>131.69999999999999</v>
      </c>
      <c r="Z242" s="4">
        <v>148.69999999999999</v>
      </c>
      <c r="AA242" s="4">
        <v>160.69999999999999</v>
      </c>
      <c r="AB242" s="4">
        <v>140.30000000000001</v>
      </c>
      <c r="AC242" s="4">
        <v>145.69999999999999</v>
      </c>
      <c r="AD242" s="4">
        <v>148.30000000000001</v>
      </c>
    </row>
    <row r="243" spans="1:30">
      <c r="A243" s="5" t="s">
        <v>32</v>
      </c>
      <c r="B243" s="6">
        <v>2019</v>
      </c>
      <c r="C243" s="6" t="s">
        <v>42</v>
      </c>
      <c r="D243" s="6">
        <v>143.5</v>
      </c>
      <c r="E243" s="6">
        <v>159.80000000000001</v>
      </c>
      <c r="F243" s="6">
        <v>144.69999999999999</v>
      </c>
      <c r="G243" s="6">
        <v>145.6</v>
      </c>
      <c r="H243" s="6">
        <v>121.1</v>
      </c>
      <c r="I243" s="6">
        <v>150.6</v>
      </c>
      <c r="J243" s="6">
        <v>207.2</v>
      </c>
      <c r="K243" s="6">
        <v>131.19999999999999</v>
      </c>
      <c r="L243" s="6">
        <v>114.8</v>
      </c>
      <c r="M243" s="6">
        <v>145.19999999999999</v>
      </c>
      <c r="N243" s="6">
        <v>130.19999999999999</v>
      </c>
      <c r="O243" s="6">
        <v>156.80000000000001</v>
      </c>
      <c r="P243" s="6">
        <v>151.9</v>
      </c>
      <c r="Q243" s="6">
        <v>169.3</v>
      </c>
      <c r="R243" s="6">
        <v>145.9</v>
      </c>
      <c r="S243" s="6">
        <v>132.4</v>
      </c>
      <c r="T243" s="6">
        <v>143.9</v>
      </c>
      <c r="U243" s="6">
        <v>153</v>
      </c>
      <c r="V243" s="6">
        <v>128.9</v>
      </c>
      <c r="W243" s="6">
        <v>138.69999999999999</v>
      </c>
      <c r="X243" s="6">
        <v>142.4</v>
      </c>
      <c r="Y243" s="6">
        <v>121.5</v>
      </c>
      <c r="Z243" s="6">
        <v>136.19999999999999</v>
      </c>
      <c r="AA243" s="6">
        <v>151.69999999999999</v>
      </c>
      <c r="AB243" s="6">
        <v>139.5</v>
      </c>
      <c r="AC243" s="6">
        <v>136</v>
      </c>
      <c r="AD243" s="6">
        <v>146</v>
      </c>
    </row>
    <row r="244" spans="1:30">
      <c r="A244" s="3" t="s">
        <v>33</v>
      </c>
      <c r="B244" s="4">
        <v>2019</v>
      </c>
      <c r="C244" s="4" t="s">
        <v>42</v>
      </c>
      <c r="D244" s="4">
        <v>141.80000000000001</v>
      </c>
      <c r="E244" s="4">
        <v>161</v>
      </c>
      <c r="F244" s="4">
        <v>142.6</v>
      </c>
      <c r="G244" s="4">
        <v>146.19999999999999</v>
      </c>
      <c r="H244" s="4">
        <v>123.9</v>
      </c>
      <c r="I244" s="4">
        <v>148</v>
      </c>
      <c r="J244" s="4">
        <v>188.4</v>
      </c>
      <c r="K244" s="4">
        <v>132.5</v>
      </c>
      <c r="L244" s="4">
        <v>114</v>
      </c>
      <c r="M244" s="4">
        <v>145.4</v>
      </c>
      <c r="N244" s="4">
        <v>135.1</v>
      </c>
      <c r="O244" s="4">
        <v>157.1</v>
      </c>
      <c r="P244" s="4">
        <v>149.6</v>
      </c>
      <c r="Q244" s="4">
        <v>167.1</v>
      </c>
      <c r="R244" s="4">
        <v>149.4</v>
      </c>
      <c r="S244" s="4">
        <v>140.80000000000001</v>
      </c>
      <c r="T244" s="4">
        <v>148.19999999999999</v>
      </c>
      <c r="U244" s="4">
        <v>153</v>
      </c>
      <c r="V244" s="4">
        <v>140.6</v>
      </c>
      <c r="W244" s="4">
        <v>145</v>
      </c>
      <c r="X244" s="4">
        <v>149.4</v>
      </c>
      <c r="Y244" s="4">
        <v>126.3</v>
      </c>
      <c r="Z244" s="4">
        <v>141.69999999999999</v>
      </c>
      <c r="AA244" s="4">
        <v>155.4</v>
      </c>
      <c r="AB244" s="4">
        <v>140</v>
      </c>
      <c r="AC244" s="4">
        <v>141</v>
      </c>
      <c r="AD244" s="4">
        <v>147.19999999999999</v>
      </c>
    </row>
    <row r="245" spans="1:30">
      <c r="A245" s="5" t="s">
        <v>30</v>
      </c>
      <c r="B245" s="6">
        <v>2019</v>
      </c>
      <c r="C245" s="6" t="s">
        <v>43</v>
      </c>
      <c r="D245" s="6">
        <v>141.80000000000001</v>
      </c>
      <c r="E245" s="6">
        <v>163.69999999999999</v>
      </c>
      <c r="F245" s="6">
        <v>143.80000000000001</v>
      </c>
      <c r="G245" s="6">
        <v>147.1</v>
      </c>
      <c r="H245" s="6">
        <v>126</v>
      </c>
      <c r="I245" s="6">
        <v>146.19999999999999</v>
      </c>
      <c r="J245" s="6">
        <v>191.4</v>
      </c>
      <c r="K245" s="6">
        <v>136.19999999999999</v>
      </c>
      <c r="L245" s="6">
        <v>113.8</v>
      </c>
      <c r="M245" s="6">
        <v>147.30000000000001</v>
      </c>
      <c r="N245" s="6">
        <v>138.69999999999999</v>
      </c>
      <c r="O245" s="6">
        <v>157.69999999999999</v>
      </c>
      <c r="P245" s="6">
        <v>150.9</v>
      </c>
      <c r="Q245" s="6">
        <v>167.2</v>
      </c>
      <c r="R245" s="6">
        <v>152.30000000000001</v>
      </c>
      <c r="S245" s="6">
        <v>147</v>
      </c>
      <c r="T245" s="6">
        <v>151.5</v>
      </c>
      <c r="U245" s="6">
        <v>0</v>
      </c>
      <c r="V245" s="6">
        <v>148.4</v>
      </c>
      <c r="W245" s="6">
        <v>150.9</v>
      </c>
      <c r="X245" s="6">
        <v>154.30000000000001</v>
      </c>
      <c r="Y245" s="6">
        <v>132.1</v>
      </c>
      <c r="Z245" s="6">
        <v>149.1</v>
      </c>
      <c r="AA245" s="6">
        <v>160.80000000000001</v>
      </c>
      <c r="AB245" s="6">
        <v>140.6</v>
      </c>
      <c r="AC245" s="6">
        <v>146.1</v>
      </c>
      <c r="AD245" s="6">
        <v>149.9</v>
      </c>
    </row>
    <row r="246" spans="1:30">
      <c r="A246" s="3" t="s">
        <v>32</v>
      </c>
      <c r="B246" s="4">
        <v>2019</v>
      </c>
      <c r="C246" s="4" t="s">
        <v>43</v>
      </c>
      <c r="D246" s="4">
        <v>144.1</v>
      </c>
      <c r="E246" s="4">
        <v>162.4</v>
      </c>
      <c r="F246" s="4">
        <v>148.4</v>
      </c>
      <c r="G246" s="4">
        <v>145.9</v>
      </c>
      <c r="H246" s="4">
        <v>121.5</v>
      </c>
      <c r="I246" s="4">
        <v>148.80000000000001</v>
      </c>
      <c r="J246" s="4">
        <v>215.7</v>
      </c>
      <c r="K246" s="4">
        <v>134.6</v>
      </c>
      <c r="L246" s="4">
        <v>115</v>
      </c>
      <c r="M246" s="4">
        <v>146.30000000000001</v>
      </c>
      <c r="N246" s="4">
        <v>130.5</v>
      </c>
      <c r="O246" s="4">
        <v>157.19999999999999</v>
      </c>
      <c r="P246" s="4">
        <v>153.6</v>
      </c>
      <c r="Q246" s="4">
        <v>169.9</v>
      </c>
      <c r="R246" s="4">
        <v>146.30000000000001</v>
      </c>
      <c r="S246" s="4">
        <v>132.6</v>
      </c>
      <c r="T246" s="4">
        <v>144.19999999999999</v>
      </c>
      <c r="U246" s="4">
        <v>153.5</v>
      </c>
      <c r="V246" s="4">
        <v>132.19999999999999</v>
      </c>
      <c r="W246" s="4">
        <v>139.1</v>
      </c>
      <c r="X246" s="4">
        <v>142.80000000000001</v>
      </c>
      <c r="Y246" s="4">
        <v>121.7</v>
      </c>
      <c r="Z246" s="4">
        <v>136.69999999999999</v>
      </c>
      <c r="AA246" s="4">
        <v>151.80000000000001</v>
      </c>
      <c r="AB246" s="4">
        <v>139.80000000000001</v>
      </c>
      <c r="AC246" s="4">
        <v>136.30000000000001</v>
      </c>
      <c r="AD246" s="4">
        <v>147</v>
      </c>
    </row>
    <row r="247" spans="1:30">
      <c r="A247" s="5" t="s">
        <v>33</v>
      </c>
      <c r="B247" s="6">
        <v>2019</v>
      </c>
      <c r="C247" s="6" t="s">
        <v>43</v>
      </c>
      <c r="D247" s="6">
        <v>142.5</v>
      </c>
      <c r="E247" s="6">
        <v>163.19999999999999</v>
      </c>
      <c r="F247" s="6">
        <v>145.6</v>
      </c>
      <c r="G247" s="6">
        <v>146.69999999999999</v>
      </c>
      <c r="H247" s="6">
        <v>124.3</v>
      </c>
      <c r="I247" s="6">
        <v>147.4</v>
      </c>
      <c r="J247" s="6">
        <v>199.6</v>
      </c>
      <c r="K247" s="6">
        <v>135.69999999999999</v>
      </c>
      <c r="L247" s="6">
        <v>114.2</v>
      </c>
      <c r="M247" s="6">
        <v>147</v>
      </c>
      <c r="N247" s="6">
        <v>135.30000000000001</v>
      </c>
      <c r="O247" s="6">
        <v>157.5</v>
      </c>
      <c r="P247" s="6">
        <v>151.9</v>
      </c>
      <c r="Q247" s="6">
        <v>167.9</v>
      </c>
      <c r="R247" s="6">
        <v>149.9</v>
      </c>
      <c r="S247" s="6">
        <v>141</v>
      </c>
      <c r="T247" s="6">
        <v>148.6</v>
      </c>
      <c r="U247" s="6">
        <v>153.5</v>
      </c>
      <c r="V247" s="6">
        <v>142.30000000000001</v>
      </c>
      <c r="W247" s="6">
        <v>145.30000000000001</v>
      </c>
      <c r="X247" s="6">
        <v>149.9</v>
      </c>
      <c r="Y247" s="6">
        <v>126.6</v>
      </c>
      <c r="Z247" s="6">
        <v>142.1</v>
      </c>
      <c r="AA247" s="6">
        <v>155.5</v>
      </c>
      <c r="AB247" s="6">
        <v>140.30000000000001</v>
      </c>
      <c r="AC247" s="6">
        <v>141.30000000000001</v>
      </c>
      <c r="AD247" s="6">
        <v>148.6</v>
      </c>
    </row>
    <row r="248" spans="1:30">
      <c r="A248" s="3" t="s">
        <v>30</v>
      </c>
      <c r="B248" s="4">
        <v>2019</v>
      </c>
      <c r="C248" s="4" t="s">
        <v>44</v>
      </c>
      <c r="D248" s="4">
        <v>142.80000000000001</v>
      </c>
      <c r="E248" s="4">
        <v>165.3</v>
      </c>
      <c r="F248" s="4">
        <v>149.5</v>
      </c>
      <c r="G248" s="4">
        <v>148.69999999999999</v>
      </c>
      <c r="H248" s="4">
        <v>127.5</v>
      </c>
      <c r="I248" s="4">
        <v>144.30000000000001</v>
      </c>
      <c r="J248" s="4">
        <v>209.5</v>
      </c>
      <c r="K248" s="4">
        <v>138.80000000000001</v>
      </c>
      <c r="L248" s="4">
        <v>113.6</v>
      </c>
      <c r="M248" s="4">
        <v>149.1</v>
      </c>
      <c r="N248" s="4">
        <v>139.30000000000001</v>
      </c>
      <c r="O248" s="4">
        <v>158.30000000000001</v>
      </c>
      <c r="P248" s="4">
        <v>154.30000000000001</v>
      </c>
      <c r="Q248" s="4">
        <v>167.8</v>
      </c>
      <c r="R248" s="4">
        <v>152.6</v>
      </c>
      <c r="S248" s="4">
        <v>147.30000000000001</v>
      </c>
      <c r="T248" s="4">
        <v>151.9</v>
      </c>
      <c r="U248" s="4">
        <v>153.35</v>
      </c>
      <c r="V248" s="4">
        <v>149.9</v>
      </c>
      <c r="W248" s="4">
        <v>151.19999999999999</v>
      </c>
      <c r="X248" s="4">
        <v>154.80000000000001</v>
      </c>
      <c r="Y248" s="4">
        <v>135</v>
      </c>
      <c r="Z248" s="4">
        <v>149.5</v>
      </c>
      <c r="AA248" s="4">
        <v>161.1</v>
      </c>
      <c r="AB248" s="4">
        <v>140.6</v>
      </c>
      <c r="AC248" s="4">
        <v>147.1</v>
      </c>
      <c r="AD248" s="4">
        <v>152.30000000000001</v>
      </c>
    </row>
    <row r="249" spans="1:30">
      <c r="A249" s="5" t="s">
        <v>32</v>
      </c>
      <c r="B249" s="6">
        <v>2019</v>
      </c>
      <c r="C249" s="6" t="s">
        <v>44</v>
      </c>
      <c r="D249" s="6">
        <v>144.9</v>
      </c>
      <c r="E249" s="6">
        <v>164.5</v>
      </c>
      <c r="F249" s="6">
        <v>153.69999999999999</v>
      </c>
      <c r="G249" s="6">
        <v>147.5</v>
      </c>
      <c r="H249" s="6">
        <v>122.7</v>
      </c>
      <c r="I249" s="6">
        <v>147.19999999999999</v>
      </c>
      <c r="J249" s="6">
        <v>231.5</v>
      </c>
      <c r="K249" s="6">
        <v>137.19999999999999</v>
      </c>
      <c r="L249" s="6">
        <v>114.7</v>
      </c>
      <c r="M249" s="6">
        <v>148</v>
      </c>
      <c r="N249" s="6">
        <v>130.80000000000001</v>
      </c>
      <c r="O249" s="6">
        <v>157.69999999999999</v>
      </c>
      <c r="P249" s="6">
        <v>156.30000000000001</v>
      </c>
      <c r="Q249" s="6">
        <v>170.4</v>
      </c>
      <c r="R249" s="6">
        <v>146.80000000000001</v>
      </c>
      <c r="S249" s="6">
        <v>132.80000000000001</v>
      </c>
      <c r="T249" s="6">
        <v>144.6</v>
      </c>
      <c r="U249" s="6">
        <v>152.80000000000001</v>
      </c>
      <c r="V249" s="6">
        <v>133.6</v>
      </c>
      <c r="W249" s="6">
        <v>139.80000000000001</v>
      </c>
      <c r="X249" s="6">
        <v>143.19999999999999</v>
      </c>
      <c r="Y249" s="6">
        <v>125.2</v>
      </c>
      <c r="Z249" s="6">
        <v>136.80000000000001</v>
      </c>
      <c r="AA249" s="6">
        <v>151.9</v>
      </c>
      <c r="AB249" s="6">
        <v>140.19999999999999</v>
      </c>
      <c r="AC249" s="6">
        <v>137.69999999999999</v>
      </c>
      <c r="AD249" s="6">
        <v>148.30000000000001</v>
      </c>
    </row>
    <row r="250" spans="1:30">
      <c r="A250" s="3" t="s">
        <v>33</v>
      </c>
      <c r="B250" s="4">
        <v>2019</v>
      </c>
      <c r="C250" s="4" t="s">
        <v>44</v>
      </c>
      <c r="D250" s="4">
        <v>143.5</v>
      </c>
      <c r="E250" s="4">
        <v>165</v>
      </c>
      <c r="F250" s="4">
        <v>151.1</v>
      </c>
      <c r="G250" s="4">
        <v>148.30000000000001</v>
      </c>
      <c r="H250" s="4">
        <v>125.7</v>
      </c>
      <c r="I250" s="4">
        <v>145.69999999999999</v>
      </c>
      <c r="J250" s="4">
        <v>217</v>
      </c>
      <c r="K250" s="4">
        <v>138.30000000000001</v>
      </c>
      <c r="L250" s="4">
        <v>114</v>
      </c>
      <c r="M250" s="4">
        <v>148.69999999999999</v>
      </c>
      <c r="N250" s="4">
        <v>135.80000000000001</v>
      </c>
      <c r="O250" s="4">
        <v>158</v>
      </c>
      <c r="P250" s="4">
        <v>155</v>
      </c>
      <c r="Q250" s="4">
        <v>168.5</v>
      </c>
      <c r="R250" s="4">
        <v>150.30000000000001</v>
      </c>
      <c r="S250" s="4">
        <v>141.30000000000001</v>
      </c>
      <c r="T250" s="4">
        <v>149</v>
      </c>
      <c r="U250" s="4">
        <v>152.80000000000001</v>
      </c>
      <c r="V250" s="4">
        <v>143.69999999999999</v>
      </c>
      <c r="W250" s="4">
        <v>145.80000000000001</v>
      </c>
      <c r="X250" s="4">
        <v>150.4</v>
      </c>
      <c r="Y250" s="4">
        <v>129.80000000000001</v>
      </c>
      <c r="Z250" s="4">
        <v>142.30000000000001</v>
      </c>
      <c r="AA250" s="4">
        <v>155.69999999999999</v>
      </c>
      <c r="AB250" s="4">
        <v>140.4</v>
      </c>
      <c r="AC250" s="4">
        <v>142.5</v>
      </c>
      <c r="AD250" s="4">
        <v>150.4</v>
      </c>
    </row>
    <row r="251" spans="1:30">
      <c r="A251" s="5" t="s">
        <v>30</v>
      </c>
      <c r="B251" s="6">
        <v>2020</v>
      </c>
      <c r="C251" s="6" t="s">
        <v>31</v>
      </c>
      <c r="D251" s="6">
        <v>143.69999999999999</v>
      </c>
      <c r="E251" s="6">
        <v>167.3</v>
      </c>
      <c r="F251" s="6">
        <v>153.5</v>
      </c>
      <c r="G251" s="6">
        <v>150.5</v>
      </c>
      <c r="H251" s="6">
        <v>132</v>
      </c>
      <c r="I251" s="6">
        <v>142.19999999999999</v>
      </c>
      <c r="J251" s="6">
        <v>191.5</v>
      </c>
      <c r="K251" s="6">
        <v>141.1</v>
      </c>
      <c r="L251" s="6">
        <v>113.8</v>
      </c>
      <c r="M251" s="6">
        <v>151.6</v>
      </c>
      <c r="N251" s="6">
        <v>139.69999999999999</v>
      </c>
      <c r="O251" s="6">
        <v>158.69999999999999</v>
      </c>
      <c r="P251" s="6">
        <v>153</v>
      </c>
      <c r="Q251" s="6">
        <v>168.6</v>
      </c>
      <c r="R251" s="6">
        <v>152.80000000000001</v>
      </c>
      <c r="S251" s="6">
        <v>147.4</v>
      </c>
      <c r="T251" s="6">
        <v>152.1</v>
      </c>
      <c r="U251" s="6">
        <v>0</v>
      </c>
      <c r="V251" s="6">
        <v>150.4</v>
      </c>
      <c r="W251" s="6">
        <v>151.69999999999999</v>
      </c>
      <c r="X251" s="6">
        <v>155.69999999999999</v>
      </c>
      <c r="Y251" s="6">
        <v>136.30000000000001</v>
      </c>
      <c r="Z251" s="6">
        <v>150.1</v>
      </c>
      <c r="AA251" s="6">
        <v>161.69999999999999</v>
      </c>
      <c r="AB251" s="6">
        <v>142.5</v>
      </c>
      <c r="AC251" s="6">
        <v>148.1</v>
      </c>
      <c r="AD251" s="6">
        <v>151.9</v>
      </c>
    </row>
    <row r="252" spans="1:30">
      <c r="A252" s="3" t="s">
        <v>32</v>
      </c>
      <c r="B252" s="4">
        <v>2020</v>
      </c>
      <c r="C252" s="4" t="s">
        <v>31</v>
      </c>
      <c r="D252" s="4">
        <v>145.6</v>
      </c>
      <c r="E252" s="4">
        <v>167.6</v>
      </c>
      <c r="F252" s="4">
        <v>157</v>
      </c>
      <c r="G252" s="4">
        <v>149.30000000000001</v>
      </c>
      <c r="H252" s="4">
        <v>126.3</v>
      </c>
      <c r="I252" s="4">
        <v>144.4</v>
      </c>
      <c r="J252" s="4">
        <v>207.8</v>
      </c>
      <c r="K252" s="4">
        <v>139.1</v>
      </c>
      <c r="L252" s="4">
        <v>114.8</v>
      </c>
      <c r="M252" s="4">
        <v>149.5</v>
      </c>
      <c r="N252" s="4">
        <v>131.1</v>
      </c>
      <c r="O252" s="4">
        <v>158.5</v>
      </c>
      <c r="P252" s="4">
        <v>154.4</v>
      </c>
      <c r="Q252" s="4">
        <v>170.8</v>
      </c>
      <c r="R252" s="4">
        <v>147</v>
      </c>
      <c r="S252" s="4">
        <v>133.19999999999999</v>
      </c>
      <c r="T252" s="4">
        <v>144.9</v>
      </c>
      <c r="U252" s="4">
        <v>153.9</v>
      </c>
      <c r="V252" s="4">
        <v>135.1</v>
      </c>
      <c r="W252" s="4">
        <v>140.1</v>
      </c>
      <c r="X252" s="4">
        <v>143.80000000000001</v>
      </c>
      <c r="Y252" s="4">
        <v>126.1</v>
      </c>
      <c r="Z252" s="4">
        <v>137.19999999999999</v>
      </c>
      <c r="AA252" s="4">
        <v>152.1</v>
      </c>
      <c r="AB252" s="4">
        <v>142.1</v>
      </c>
      <c r="AC252" s="4">
        <v>138.4</v>
      </c>
      <c r="AD252" s="4">
        <v>148.19999999999999</v>
      </c>
    </row>
    <row r="253" spans="1:30">
      <c r="A253" s="5" t="s">
        <v>33</v>
      </c>
      <c r="B253" s="6">
        <v>2020</v>
      </c>
      <c r="C253" s="6" t="s">
        <v>31</v>
      </c>
      <c r="D253" s="6">
        <v>144.30000000000001</v>
      </c>
      <c r="E253" s="6">
        <v>167.4</v>
      </c>
      <c r="F253" s="6">
        <v>154.9</v>
      </c>
      <c r="G253" s="6">
        <v>150.1</v>
      </c>
      <c r="H253" s="6">
        <v>129.9</v>
      </c>
      <c r="I253" s="6">
        <v>143.19999999999999</v>
      </c>
      <c r="J253" s="6">
        <v>197</v>
      </c>
      <c r="K253" s="6">
        <v>140.4</v>
      </c>
      <c r="L253" s="6">
        <v>114.1</v>
      </c>
      <c r="M253" s="6">
        <v>150.9</v>
      </c>
      <c r="N253" s="6">
        <v>136.1</v>
      </c>
      <c r="O253" s="6">
        <v>158.6</v>
      </c>
      <c r="P253" s="6">
        <v>153.5</v>
      </c>
      <c r="Q253" s="6">
        <v>169.2</v>
      </c>
      <c r="R253" s="6">
        <v>150.5</v>
      </c>
      <c r="S253" s="6">
        <v>141.5</v>
      </c>
      <c r="T253" s="6">
        <v>149.19999999999999</v>
      </c>
      <c r="U253" s="6">
        <v>153.9</v>
      </c>
      <c r="V253" s="6">
        <v>144.6</v>
      </c>
      <c r="W253" s="6">
        <v>146.19999999999999</v>
      </c>
      <c r="X253" s="6">
        <v>151.19999999999999</v>
      </c>
      <c r="Y253" s="6">
        <v>130.9</v>
      </c>
      <c r="Z253" s="6">
        <v>142.80000000000001</v>
      </c>
      <c r="AA253" s="6">
        <v>156.1</v>
      </c>
      <c r="AB253" s="6">
        <v>142.30000000000001</v>
      </c>
      <c r="AC253" s="6">
        <v>143.4</v>
      </c>
      <c r="AD253" s="6">
        <v>150.19999999999999</v>
      </c>
    </row>
    <row r="254" spans="1:30">
      <c r="A254" s="3" t="s">
        <v>30</v>
      </c>
      <c r="B254" s="4">
        <v>2020</v>
      </c>
      <c r="C254" s="4" t="s">
        <v>34</v>
      </c>
      <c r="D254" s="4">
        <v>144.19999999999999</v>
      </c>
      <c r="E254" s="4">
        <v>167.5</v>
      </c>
      <c r="F254" s="4">
        <v>150.9</v>
      </c>
      <c r="G254" s="4">
        <v>150.9</v>
      </c>
      <c r="H254" s="4">
        <v>133.69999999999999</v>
      </c>
      <c r="I254" s="4">
        <v>140.69999999999999</v>
      </c>
      <c r="J254" s="4">
        <v>165.1</v>
      </c>
      <c r="K254" s="4">
        <v>141.80000000000001</v>
      </c>
      <c r="L254" s="4">
        <v>113.1</v>
      </c>
      <c r="M254" s="4">
        <v>152.80000000000001</v>
      </c>
      <c r="N254" s="4">
        <v>140.1</v>
      </c>
      <c r="O254" s="4">
        <v>159.19999999999999</v>
      </c>
      <c r="P254" s="4">
        <v>149.80000000000001</v>
      </c>
      <c r="Q254" s="4">
        <v>169.4</v>
      </c>
      <c r="R254" s="4">
        <v>153</v>
      </c>
      <c r="S254" s="4">
        <v>147.5</v>
      </c>
      <c r="T254" s="4">
        <v>152.30000000000001</v>
      </c>
      <c r="U254" s="4">
        <v>154.65</v>
      </c>
      <c r="V254" s="4">
        <v>152.30000000000001</v>
      </c>
      <c r="W254" s="4">
        <v>151.80000000000001</v>
      </c>
      <c r="X254" s="4">
        <v>156.19999999999999</v>
      </c>
      <c r="Y254" s="4">
        <v>136</v>
      </c>
      <c r="Z254" s="4">
        <v>150.4</v>
      </c>
      <c r="AA254" s="4">
        <v>161.9</v>
      </c>
      <c r="AB254" s="4">
        <v>143.4</v>
      </c>
      <c r="AC254" s="4">
        <v>148.4</v>
      </c>
      <c r="AD254" s="4">
        <v>150.4</v>
      </c>
    </row>
    <row r="255" spans="1:30">
      <c r="A255" s="5" t="s">
        <v>32</v>
      </c>
      <c r="B255" s="6">
        <v>2020</v>
      </c>
      <c r="C255" s="6" t="s">
        <v>34</v>
      </c>
      <c r="D255" s="6">
        <v>146.19999999999999</v>
      </c>
      <c r="E255" s="6">
        <v>167.6</v>
      </c>
      <c r="F255" s="6">
        <v>153.1</v>
      </c>
      <c r="G255" s="6">
        <v>150.69999999999999</v>
      </c>
      <c r="H255" s="6">
        <v>127.4</v>
      </c>
      <c r="I255" s="6">
        <v>143.1</v>
      </c>
      <c r="J255" s="6">
        <v>181.7</v>
      </c>
      <c r="K255" s="6">
        <v>139.6</v>
      </c>
      <c r="L255" s="6">
        <v>114.6</v>
      </c>
      <c r="M255" s="6">
        <v>150.4</v>
      </c>
      <c r="N255" s="6">
        <v>131.5</v>
      </c>
      <c r="O255" s="6">
        <v>159</v>
      </c>
      <c r="P255" s="6">
        <v>151.69999999999999</v>
      </c>
      <c r="Q255" s="6">
        <v>172</v>
      </c>
      <c r="R255" s="6">
        <v>147.30000000000001</v>
      </c>
      <c r="S255" s="6">
        <v>133.5</v>
      </c>
      <c r="T255" s="6">
        <v>145.19999999999999</v>
      </c>
      <c r="U255" s="6">
        <v>154.80000000000001</v>
      </c>
      <c r="V255" s="6">
        <v>138.9</v>
      </c>
      <c r="W255" s="6">
        <v>140.4</v>
      </c>
      <c r="X255" s="6">
        <v>144.4</v>
      </c>
      <c r="Y255" s="6">
        <v>125.2</v>
      </c>
      <c r="Z255" s="6">
        <v>137.69999999999999</v>
      </c>
      <c r="AA255" s="6">
        <v>152.19999999999999</v>
      </c>
      <c r="AB255" s="6">
        <v>143.5</v>
      </c>
      <c r="AC255" s="6">
        <v>138.4</v>
      </c>
      <c r="AD255" s="6">
        <v>147.69999999999999</v>
      </c>
    </row>
    <row r="256" spans="1:30">
      <c r="A256" s="3" t="s">
        <v>33</v>
      </c>
      <c r="B256" s="4">
        <v>2020</v>
      </c>
      <c r="C256" s="4" t="s">
        <v>34</v>
      </c>
      <c r="D256" s="4">
        <v>144.80000000000001</v>
      </c>
      <c r="E256" s="4">
        <v>167.5</v>
      </c>
      <c r="F256" s="4">
        <v>151.80000000000001</v>
      </c>
      <c r="G256" s="4">
        <v>150.80000000000001</v>
      </c>
      <c r="H256" s="4">
        <v>131.4</v>
      </c>
      <c r="I256" s="4">
        <v>141.80000000000001</v>
      </c>
      <c r="J256" s="4">
        <v>170.7</v>
      </c>
      <c r="K256" s="4">
        <v>141.1</v>
      </c>
      <c r="L256" s="4">
        <v>113.6</v>
      </c>
      <c r="M256" s="4">
        <v>152</v>
      </c>
      <c r="N256" s="4">
        <v>136.5</v>
      </c>
      <c r="O256" s="4">
        <v>159.1</v>
      </c>
      <c r="P256" s="4">
        <v>150.5</v>
      </c>
      <c r="Q256" s="4">
        <v>170.1</v>
      </c>
      <c r="R256" s="4">
        <v>150.80000000000001</v>
      </c>
      <c r="S256" s="4">
        <v>141.69999999999999</v>
      </c>
      <c r="T256" s="4">
        <v>149.5</v>
      </c>
      <c r="U256" s="4">
        <v>154.80000000000001</v>
      </c>
      <c r="V256" s="4">
        <v>147.19999999999999</v>
      </c>
      <c r="W256" s="4">
        <v>146.4</v>
      </c>
      <c r="X256" s="4">
        <v>151.69999999999999</v>
      </c>
      <c r="Y256" s="4">
        <v>130.30000000000001</v>
      </c>
      <c r="Z256" s="4">
        <v>143.19999999999999</v>
      </c>
      <c r="AA256" s="4">
        <v>156.19999999999999</v>
      </c>
      <c r="AB256" s="4">
        <v>143.4</v>
      </c>
      <c r="AC256" s="4">
        <v>143.6</v>
      </c>
      <c r="AD256" s="4">
        <v>149.1</v>
      </c>
    </row>
    <row r="257" spans="1:30">
      <c r="A257" s="5" t="s">
        <v>30</v>
      </c>
      <c r="B257" s="6">
        <v>2020</v>
      </c>
      <c r="C257" s="6" t="s">
        <v>35</v>
      </c>
      <c r="D257" s="6">
        <v>144.4</v>
      </c>
      <c r="E257" s="6">
        <v>166.8</v>
      </c>
      <c r="F257" s="6">
        <v>147.6</v>
      </c>
      <c r="G257" s="6">
        <v>151.69999999999999</v>
      </c>
      <c r="H257" s="6">
        <v>133.30000000000001</v>
      </c>
      <c r="I257" s="6">
        <v>141.80000000000001</v>
      </c>
      <c r="J257" s="6">
        <v>152.30000000000001</v>
      </c>
      <c r="K257" s="6">
        <v>141.80000000000001</v>
      </c>
      <c r="L257" s="6">
        <v>112.6</v>
      </c>
      <c r="M257" s="6">
        <v>154</v>
      </c>
      <c r="N257" s="6">
        <v>140.1</v>
      </c>
      <c r="O257" s="6">
        <v>160</v>
      </c>
      <c r="P257" s="6">
        <v>148.19999999999999</v>
      </c>
      <c r="Q257" s="6">
        <v>170.5</v>
      </c>
      <c r="R257" s="6">
        <v>153.4</v>
      </c>
      <c r="S257" s="6">
        <v>147.6</v>
      </c>
      <c r="T257" s="6">
        <v>152.5</v>
      </c>
      <c r="U257" s="6">
        <v>0</v>
      </c>
      <c r="V257" s="6">
        <v>153.4</v>
      </c>
      <c r="W257" s="6">
        <v>151.5</v>
      </c>
      <c r="X257" s="6">
        <v>156.69999999999999</v>
      </c>
      <c r="Y257" s="6">
        <v>135.80000000000001</v>
      </c>
      <c r="Z257" s="6">
        <v>151.19999999999999</v>
      </c>
      <c r="AA257" s="6">
        <v>161.19999999999999</v>
      </c>
      <c r="AB257" s="6">
        <v>145.1</v>
      </c>
      <c r="AC257" s="6">
        <v>148.6</v>
      </c>
      <c r="AD257" s="6">
        <v>149.80000000000001</v>
      </c>
    </row>
    <row r="258" spans="1:30">
      <c r="A258" s="3" t="s">
        <v>32</v>
      </c>
      <c r="B258" s="4">
        <v>2020</v>
      </c>
      <c r="C258" s="4" t="s">
        <v>35</v>
      </c>
      <c r="D258" s="4">
        <v>146.5</v>
      </c>
      <c r="E258" s="4">
        <v>167.5</v>
      </c>
      <c r="F258" s="4">
        <v>148.9</v>
      </c>
      <c r="G258" s="4">
        <v>151.1</v>
      </c>
      <c r="H258" s="4">
        <v>127.5</v>
      </c>
      <c r="I258" s="4">
        <v>143.30000000000001</v>
      </c>
      <c r="J258" s="4">
        <v>167</v>
      </c>
      <c r="K258" s="4">
        <v>139.69999999999999</v>
      </c>
      <c r="L258" s="4">
        <v>114.4</v>
      </c>
      <c r="M258" s="4">
        <v>151.5</v>
      </c>
      <c r="N258" s="4">
        <v>131.9</v>
      </c>
      <c r="O258" s="4">
        <v>159.1</v>
      </c>
      <c r="P258" s="4">
        <v>150.1</v>
      </c>
      <c r="Q258" s="4">
        <v>173.3</v>
      </c>
      <c r="R258" s="4">
        <v>147.69999999999999</v>
      </c>
      <c r="S258" s="4">
        <v>133.80000000000001</v>
      </c>
      <c r="T258" s="4">
        <v>145.6</v>
      </c>
      <c r="U258" s="4">
        <v>154.5</v>
      </c>
      <c r="V258" s="4">
        <v>141.4</v>
      </c>
      <c r="W258" s="4">
        <v>140.80000000000001</v>
      </c>
      <c r="X258" s="4">
        <v>145</v>
      </c>
      <c r="Y258" s="4">
        <v>124.6</v>
      </c>
      <c r="Z258" s="4">
        <v>137.9</v>
      </c>
      <c r="AA258" s="4">
        <v>152.5</v>
      </c>
      <c r="AB258" s="4">
        <v>145.30000000000001</v>
      </c>
      <c r="AC258" s="4">
        <v>138.69999999999999</v>
      </c>
      <c r="AD258" s="4">
        <v>147.30000000000001</v>
      </c>
    </row>
    <row r="259" spans="1:30">
      <c r="A259" s="5" t="s">
        <v>33</v>
      </c>
      <c r="B259" s="6">
        <v>2020</v>
      </c>
      <c r="C259" s="6" t="s">
        <v>35</v>
      </c>
      <c r="D259" s="6">
        <v>145.1</v>
      </c>
      <c r="E259" s="6">
        <v>167</v>
      </c>
      <c r="F259" s="6">
        <v>148.1</v>
      </c>
      <c r="G259" s="6">
        <v>151.5</v>
      </c>
      <c r="H259" s="6">
        <v>131.19999999999999</v>
      </c>
      <c r="I259" s="6">
        <v>142.5</v>
      </c>
      <c r="J259" s="6">
        <v>157.30000000000001</v>
      </c>
      <c r="K259" s="6">
        <v>141.1</v>
      </c>
      <c r="L259" s="6">
        <v>113.2</v>
      </c>
      <c r="M259" s="6">
        <v>153.19999999999999</v>
      </c>
      <c r="N259" s="6">
        <v>136.69999999999999</v>
      </c>
      <c r="O259" s="6">
        <v>159.6</v>
      </c>
      <c r="P259" s="6">
        <v>148.9</v>
      </c>
      <c r="Q259" s="6">
        <v>171.2</v>
      </c>
      <c r="R259" s="6">
        <v>151.19999999999999</v>
      </c>
      <c r="S259" s="6">
        <v>141.9</v>
      </c>
      <c r="T259" s="6">
        <v>149.80000000000001</v>
      </c>
      <c r="U259" s="6">
        <v>154.5</v>
      </c>
      <c r="V259" s="6">
        <v>148.9</v>
      </c>
      <c r="W259" s="6">
        <v>146.4</v>
      </c>
      <c r="X259" s="6">
        <v>152.30000000000001</v>
      </c>
      <c r="Y259" s="6">
        <v>129.9</v>
      </c>
      <c r="Z259" s="6">
        <v>143.69999999999999</v>
      </c>
      <c r="AA259" s="6">
        <v>156.1</v>
      </c>
      <c r="AB259" s="6">
        <v>145.19999999999999</v>
      </c>
      <c r="AC259" s="6">
        <v>143.80000000000001</v>
      </c>
      <c r="AD259" s="6">
        <v>148.6</v>
      </c>
    </row>
    <row r="260" spans="1:30">
      <c r="A260" s="3" t="s">
        <v>30</v>
      </c>
      <c r="B260" s="4">
        <v>2020</v>
      </c>
      <c r="C260" s="4" t="s">
        <v>36</v>
      </c>
      <c r="D260" s="4">
        <v>147.19999999999999</v>
      </c>
      <c r="E260" s="4">
        <f>167+(190.3-167)*(1/6)</f>
        <v>170.88333333333333</v>
      </c>
      <c r="F260" s="4">
        <v>146.9</v>
      </c>
      <c r="G260" s="4">
        <v>155.6</v>
      </c>
      <c r="H260" s="4">
        <v>137.1</v>
      </c>
      <c r="I260" s="4">
        <v>147.30000000000001</v>
      </c>
      <c r="J260" s="4">
        <v>162.69999999999999</v>
      </c>
      <c r="K260" s="4">
        <v>150.19999999999999</v>
      </c>
      <c r="L260" s="4">
        <v>119.8</v>
      </c>
      <c r="M260" s="4">
        <v>158.69999999999999</v>
      </c>
      <c r="N260" s="4">
        <v>139.19999999999999</v>
      </c>
      <c r="O260" s="4">
        <f>O259+(O266-O259)*1/6</f>
        <v>159.96666666666667</v>
      </c>
      <c r="P260" s="4">
        <v>150.1</v>
      </c>
      <c r="Q260" s="4">
        <f>Q259+(Q266-Q259)*1/6</f>
        <v>173.06666666666666</v>
      </c>
      <c r="R260" s="4">
        <f t="shared" ref="R260:S260" si="0">R259+(R266-R259)*1/6</f>
        <v>151.78333333333333</v>
      </c>
      <c r="S260" s="4">
        <f t="shared" si="0"/>
        <v>143.25</v>
      </c>
      <c r="T260" s="4">
        <f>T259+(T266-T259)*1/6</f>
        <v>150.51666666666668</v>
      </c>
      <c r="U260" s="4">
        <v>155</v>
      </c>
      <c r="V260" s="4">
        <v>148.4</v>
      </c>
      <c r="W260" s="4">
        <f>W259+(W266-W259)*1/6</f>
        <v>147.28333333333333</v>
      </c>
      <c r="X260" s="4">
        <v>154.30000000000001</v>
      </c>
      <c r="Y260" s="4">
        <f>Y259+(Y266-Y259)*1/6</f>
        <v>131.81666666666666</v>
      </c>
      <c r="Z260" s="4">
        <f t="shared" ref="Z260:AD260" si="1">Z259+(Z266-Z259)*1/6</f>
        <v>145.28333333333333</v>
      </c>
      <c r="AA260" s="4">
        <f t="shared" si="1"/>
        <v>157.05000000000001</v>
      </c>
      <c r="AB260" s="4">
        <f t="shared" si="1"/>
        <v>146.19999999999999</v>
      </c>
      <c r="AC260" s="4">
        <f t="shared" si="1"/>
        <v>145.11666666666667</v>
      </c>
      <c r="AD260" s="4">
        <f t="shared" si="1"/>
        <v>149.28333333333333</v>
      </c>
    </row>
    <row r="261" spans="1:30">
      <c r="A261" s="5" t="s">
        <v>32</v>
      </c>
      <c r="B261" s="6">
        <v>2020</v>
      </c>
      <c r="C261" s="6" t="s">
        <v>36</v>
      </c>
      <c r="D261" s="6">
        <v>151.80000000000001</v>
      </c>
      <c r="E261" s="6">
        <f>167+(190.3-167)*(2/6)</f>
        <v>174.76666666666668</v>
      </c>
      <c r="F261" s="6">
        <v>151.9</v>
      </c>
      <c r="G261" s="6">
        <v>155.5</v>
      </c>
      <c r="H261" s="6">
        <v>131.6</v>
      </c>
      <c r="I261" s="6">
        <v>152.9</v>
      </c>
      <c r="J261" s="6">
        <v>180</v>
      </c>
      <c r="K261" s="6">
        <v>150.80000000000001</v>
      </c>
      <c r="L261" s="6">
        <v>121.2</v>
      </c>
      <c r="M261" s="6">
        <v>154</v>
      </c>
      <c r="N261" s="6">
        <v>133.5</v>
      </c>
      <c r="O261" s="6">
        <f>O259+(O266-O259)*2/6</f>
        <v>160.33333333333334</v>
      </c>
      <c r="P261" s="6">
        <v>153.5</v>
      </c>
      <c r="Q261" s="6">
        <f>Q259+(Q266-Q259)*2/6</f>
        <v>174.93333333333334</v>
      </c>
      <c r="R261" s="6">
        <f t="shared" ref="R261:S261" si="2">R259+(R266-R259)*2/6</f>
        <v>152.36666666666665</v>
      </c>
      <c r="S261" s="6">
        <f t="shared" si="2"/>
        <v>144.6</v>
      </c>
      <c r="T261" s="6">
        <f>T259+(T266-T259)*2/6</f>
        <v>151.23333333333335</v>
      </c>
      <c r="U261" s="6">
        <v>155.6</v>
      </c>
      <c r="V261" s="6">
        <v>137.1</v>
      </c>
      <c r="W261" s="6">
        <f>W259+(W266-W259)*2/6</f>
        <v>148.16666666666666</v>
      </c>
      <c r="X261" s="6">
        <v>144.80000000000001</v>
      </c>
      <c r="Y261" s="6">
        <f>Y259+(Y266-Y259)*2/6</f>
        <v>133.73333333333335</v>
      </c>
      <c r="Z261" s="6">
        <f t="shared" ref="Z261:AD261" si="3">Z259+(Z266-Z259)*2/6</f>
        <v>146.86666666666665</v>
      </c>
      <c r="AA261" s="6">
        <f t="shared" si="3"/>
        <v>158</v>
      </c>
      <c r="AB261" s="6">
        <f t="shared" si="3"/>
        <v>147.19999999999999</v>
      </c>
      <c r="AC261" s="6">
        <f t="shared" si="3"/>
        <v>146.43333333333334</v>
      </c>
      <c r="AD261" s="6">
        <f t="shared" si="3"/>
        <v>149.96666666666667</v>
      </c>
    </row>
    <row r="262" spans="1:30">
      <c r="A262" s="3" t="s">
        <v>33</v>
      </c>
      <c r="B262" s="4">
        <v>2020</v>
      </c>
      <c r="C262" s="4" t="s">
        <v>36</v>
      </c>
      <c r="D262" s="4">
        <v>148.69999999999999</v>
      </c>
      <c r="E262" s="4">
        <f>167+(190.3-167)*(3/6)</f>
        <v>178.65</v>
      </c>
      <c r="F262" s="4">
        <v>148.80000000000001</v>
      </c>
      <c r="G262" s="4">
        <v>155.6</v>
      </c>
      <c r="H262" s="4">
        <v>135.1</v>
      </c>
      <c r="I262" s="4">
        <v>149.9</v>
      </c>
      <c r="J262" s="4">
        <v>168.6</v>
      </c>
      <c r="K262" s="4">
        <v>150.4</v>
      </c>
      <c r="L262" s="4">
        <v>120.3</v>
      </c>
      <c r="M262" s="4">
        <v>157.1</v>
      </c>
      <c r="N262" s="4">
        <v>136.80000000000001</v>
      </c>
      <c r="O262" s="4">
        <f>O259+(O266-O259)*3/6</f>
        <v>160.69999999999999</v>
      </c>
      <c r="P262" s="4">
        <v>151.4</v>
      </c>
      <c r="Q262" s="4">
        <f>Q259+(Q266-Q259)*3/6</f>
        <v>176.8</v>
      </c>
      <c r="R262" s="4">
        <f t="shared" ref="R262:S262" si="4">R259+(R266-R259)*3/6</f>
        <v>152.94999999999999</v>
      </c>
      <c r="S262" s="4">
        <f t="shared" si="4"/>
        <v>145.94999999999999</v>
      </c>
      <c r="T262" s="4">
        <f>T259+(T266-T259)*3/6</f>
        <v>151.94999999999999</v>
      </c>
      <c r="U262" s="4">
        <v>155.6</v>
      </c>
      <c r="V262" s="4">
        <v>144.1</v>
      </c>
      <c r="W262" s="4">
        <f>W259+(W266-W259)*3/6</f>
        <v>149.05000000000001</v>
      </c>
      <c r="X262" s="4">
        <v>150.69999999999999</v>
      </c>
      <c r="Y262" s="4">
        <f>Y259+(Y266-Y259)*3/6</f>
        <v>135.65</v>
      </c>
      <c r="Z262" s="4">
        <f t="shared" ref="Z262:AD262" si="5">Z259+(Z266-Z259)*3/6</f>
        <v>148.44999999999999</v>
      </c>
      <c r="AA262" s="4">
        <f t="shared" si="5"/>
        <v>158.94999999999999</v>
      </c>
      <c r="AB262" s="4">
        <f t="shared" si="5"/>
        <v>148.19999999999999</v>
      </c>
      <c r="AC262" s="4">
        <f t="shared" si="5"/>
        <v>147.75</v>
      </c>
      <c r="AD262" s="4">
        <f t="shared" si="5"/>
        <v>150.64999999999998</v>
      </c>
    </row>
    <row r="263" spans="1:30">
      <c r="A263" s="5" t="s">
        <v>30</v>
      </c>
      <c r="B263" s="6">
        <v>2020</v>
      </c>
      <c r="C263" s="6" t="s">
        <v>37</v>
      </c>
      <c r="D263" s="6">
        <f>D262+(D266-D262)*(1/3)</f>
        <v>148.53333333333333</v>
      </c>
      <c r="E263" s="6">
        <f>167+(190.3-167)*(4/6)</f>
        <v>182.53333333333333</v>
      </c>
      <c r="F263" s="6">
        <f>F262+(F266-F262)*1/3</f>
        <v>149</v>
      </c>
      <c r="G263" s="6">
        <f>G262+(G266-G262)*1/3</f>
        <v>154.83333333333334</v>
      </c>
      <c r="H263" s="6">
        <f>H262+(H266-H262)*1/3</f>
        <v>136.13333333333333</v>
      </c>
      <c r="I263" s="6">
        <f t="shared" ref="I263:N263" si="6">I262+(I266-I262)*1/3</f>
        <v>147.66666666666666</v>
      </c>
      <c r="J263" s="6">
        <f t="shared" si="6"/>
        <v>162.03333333333333</v>
      </c>
      <c r="K263" s="6">
        <f t="shared" si="6"/>
        <v>150.36666666666667</v>
      </c>
      <c r="L263" s="6">
        <f t="shared" si="6"/>
        <v>117.93333333333334</v>
      </c>
      <c r="M263" s="6">
        <f t="shared" si="6"/>
        <v>158</v>
      </c>
      <c r="N263" s="6">
        <f t="shared" si="6"/>
        <v>138.56666666666666</v>
      </c>
      <c r="O263" s="6">
        <f>O259+(O266-O259)*4/6</f>
        <v>161.06666666666666</v>
      </c>
      <c r="P263" s="6">
        <f t="shared" ref="P263" si="7">P262+(P266-P262)*1/3</f>
        <v>151.70000000000002</v>
      </c>
      <c r="Q263" s="6">
        <f>Q259+(Q266-Q259)*4/6</f>
        <v>178.66666666666666</v>
      </c>
      <c r="R263" s="6">
        <f t="shared" ref="R263:S263" si="8">R259+(R266-R259)*4/6</f>
        <v>153.53333333333333</v>
      </c>
      <c r="S263" s="6">
        <f t="shared" si="8"/>
        <v>147.30000000000001</v>
      </c>
      <c r="T263" s="6">
        <f>T259+(T266-T259)*4/6</f>
        <v>152.66666666666666</v>
      </c>
      <c r="U263" s="6">
        <v>155</v>
      </c>
      <c r="V263" s="6">
        <f>V262+(V266-V262)*1/3</f>
        <v>144.36666666666667</v>
      </c>
      <c r="W263" s="6">
        <f>W259+(W266-W259)*4/6</f>
        <v>149.93333333333334</v>
      </c>
      <c r="X263" s="6">
        <f>X262+(X266-X262)*1/3</f>
        <v>153.19999999999999</v>
      </c>
      <c r="Y263" s="6">
        <f>Y259+(Y266-Y259)*4/6</f>
        <v>137.56666666666666</v>
      </c>
      <c r="Z263" s="6">
        <f t="shared" ref="Z263:AD263" si="9">Z259+(Z266-Z259)*4/6</f>
        <v>150.03333333333333</v>
      </c>
      <c r="AA263" s="6">
        <f t="shared" si="9"/>
        <v>159.9</v>
      </c>
      <c r="AB263" s="6">
        <f t="shared" si="9"/>
        <v>149.19999999999999</v>
      </c>
      <c r="AC263" s="6">
        <f t="shared" si="9"/>
        <v>149.06666666666666</v>
      </c>
      <c r="AD263" s="6">
        <f t="shared" si="9"/>
        <v>151.33333333333331</v>
      </c>
    </row>
    <row r="264" spans="1:30">
      <c r="A264" s="3" t="s">
        <v>32</v>
      </c>
      <c r="B264" s="4">
        <v>2020</v>
      </c>
      <c r="C264" s="4" t="s">
        <v>37</v>
      </c>
      <c r="D264" s="4">
        <f>D262+(D266-D262)*(2/3)</f>
        <v>148.36666666666665</v>
      </c>
      <c r="E264" s="4">
        <f>167+(190.3-167)*(5/6)</f>
        <v>186.41666666666669</v>
      </c>
      <c r="F264" s="4">
        <f>F262+(F266-F262)*2/3</f>
        <v>149.20000000000002</v>
      </c>
      <c r="G264" s="4">
        <f>G262+(G266-G262)*2/3</f>
        <v>154.06666666666666</v>
      </c>
      <c r="H264" s="4">
        <f t="shared" ref="H264:P264" si="10">H262+(H266-H262)*2/3</f>
        <v>137.16666666666666</v>
      </c>
      <c r="I264" s="4">
        <f t="shared" si="10"/>
        <v>145.43333333333334</v>
      </c>
      <c r="J264" s="4">
        <f t="shared" si="10"/>
        <v>155.46666666666667</v>
      </c>
      <c r="K264" s="4">
        <f t="shared" si="10"/>
        <v>150.33333333333334</v>
      </c>
      <c r="L264" s="4">
        <f t="shared" si="10"/>
        <v>115.56666666666666</v>
      </c>
      <c r="M264" s="4">
        <f t="shared" si="10"/>
        <v>158.9</v>
      </c>
      <c r="N264" s="4">
        <f t="shared" si="10"/>
        <v>140.33333333333334</v>
      </c>
      <c r="O264" s="4">
        <f>O259+(O266-O259)*5/6</f>
        <v>161.43333333333334</v>
      </c>
      <c r="P264" s="4">
        <f t="shared" si="10"/>
        <v>152</v>
      </c>
      <c r="Q264" s="4">
        <f>Q259+(Q266-Q259)*5/6</f>
        <v>180.53333333333333</v>
      </c>
      <c r="R264" s="4">
        <f t="shared" ref="R264:S264" si="11">R259+(R266-R259)*5/6</f>
        <v>154.11666666666665</v>
      </c>
      <c r="S264" s="4">
        <f t="shared" si="11"/>
        <v>148.65</v>
      </c>
      <c r="T264" s="4">
        <f>T259+(T266-T259)*5/6</f>
        <v>153.38333333333333</v>
      </c>
      <c r="U264" s="4">
        <v>155</v>
      </c>
      <c r="V264" s="4">
        <f>V262+(V266-V262)*2/3</f>
        <v>144.63333333333333</v>
      </c>
      <c r="W264" s="4">
        <f>W259+(W266-W259)*5/6</f>
        <v>150.81666666666666</v>
      </c>
      <c r="X264" s="4">
        <f>X262+(X266-X262)*2/3</f>
        <v>155.69999999999999</v>
      </c>
      <c r="Y264" s="4">
        <f>Y259+(Y266-Y259)*5/6</f>
        <v>139.48333333333335</v>
      </c>
      <c r="Z264" s="4">
        <f t="shared" ref="Z264:AD264" si="12">Z259+(Z266-Z259)*5/6</f>
        <v>151.61666666666665</v>
      </c>
      <c r="AA264" s="4">
        <f t="shared" si="12"/>
        <v>160.85000000000002</v>
      </c>
      <c r="AB264" s="4">
        <f t="shared" si="12"/>
        <v>150.19999999999999</v>
      </c>
      <c r="AC264" s="4">
        <f t="shared" si="12"/>
        <v>150.38333333333333</v>
      </c>
      <c r="AD264" s="4">
        <f t="shared" si="12"/>
        <v>152.01666666666665</v>
      </c>
    </row>
    <row r="265" spans="1:30">
      <c r="A265" s="5" t="s">
        <v>33</v>
      </c>
      <c r="B265" s="6">
        <v>2020</v>
      </c>
      <c r="C265" s="6" t="s">
        <v>37</v>
      </c>
      <c r="D265" s="6">
        <f>D262+(D266-D262)*(3/3)</f>
        <v>148.19999999999999</v>
      </c>
      <c r="E265" s="6">
        <f>167+(190.3-167)*(6/6)</f>
        <v>190.3</v>
      </c>
      <c r="F265" s="6">
        <f>F262+(F266-F262)*3/3</f>
        <v>149.4</v>
      </c>
      <c r="G265" s="6">
        <f>G262+(G266-G262)*3/3</f>
        <v>153.30000000000001</v>
      </c>
      <c r="H265" s="6">
        <f t="shared" ref="H265:N265" si="13">H262+(H266-H262)*3/3</f>
        <v>138.19999999999999</v>
      </c>
      <c r="I265" s="6">
        <f t="shared" si="13"/>
        <v>143.19999999999999</v>
      </c>
      <c r="J265" s="6">
        <f t="shared" si="13"/>
        <v>148.9</v>
      </c>
      <c r="K265" s="6">
        <f t="shared" si="13"/>
        <v>150.30000000000001</v>
      </c>
      <c r="L265" s="6">
        <f t="shared" si="13"/>
        <v>113.2</v>
      </c>
      <c r="M265" s="6">
        <f t="shared" si="13"/>
        <v>159.80000000000001</v>
      </c>
      <c r="N265" s="6">
        <f t="shared" si="13"/>
        <v>142.1</v>
      </c>
      <c r="O265" s="6">
        <f>O259+(O266-O259)*6/6</f>
        <v>161.80000000000001</v>
      </c>
      <c r="P265" s="6">
        <f t="shared" ref="P265" si="14">P262+(P266-P262)*3/3</f>
        <v>152.30000000000001</v>
      </c>
      <c r="Q265" s="6">
        <f>Q259+(Q266-Q259)*6/6</f>
        <v>182.4</v>
      </c>
      <c r="R265" s="6">
        <f t="shared" ref="R265:S265" si="15">R259+(R266-R259)*6/6</f>
        <v>154.69999999999999</v>
      </c>
      <c r="S265" s="6">
        <f t="shared" si="15"/>
        <v>150</v>
      </c>
      <c r="T265" s="6">
        <f>T259+(T266-T259)*6/6</f>
        <v>154.1</v>
      </c>
      <c r="U265" s="6">
        <v>155</v>
      </c>
      <c r="V265" s="6">
        <f>V262+(V266-V262)*3/3</f>
        <v>144.9</v>
      </c>
      <c r="W265" s="6">
        <f>W259+(W266-W259)*6/6</f>
        <v>151.69999999999999</v>
      </c>
      <c r="X265" s="6">
        <f>X262+(X266-X262)*3/3</f>
        <v>158.19999999999999</v>
      </c>
      <c r="Y265" s="6">
        <f>Y259+(Y266-Y259)*6/6</f>
        <v>141.4</v>
      </c>
      <c r="Z265" s="6">
        <f t="shared" ref="Z265:AD265" si="16">Z259+(Z266-Z259)*6/6</f>
        <v>153.19999999999999</v>
      </c>
      <c r="AA265" s="6">
        <f t="shared" si="16"/>
        <v>161.80000000000001</v>
      </c>
      <c r="AB265" s="6">
        <f t="shared" si="16"/>
        <v>151.19999999999999</v>
      </c>
      <c r="AC265" s="6">
        <f t="shared" si="16"/>
        <v>151.69999999999999</v>
      </c>
      <c r="AD265" s="6">
        <f t="shared" si="16"/>
        <v>152.69999999999999</v>
      </c>
    </row>
    <row r="266" spans="1:30">
      <c r="A266" s="3" t="s">
        <v>30</v>
      </c>
      <c r="B266" s="4">
        <v>2020</v>
      </c>
      <c r="C266" s="4" t="s">
        <v>38</v>
      </c>
      <c r="D266" s="4">
        <v>148.19999999999999</v>
      </c>
      <c r="E266" s="4">
        <v>190.3</v>
      </c>
      <c r="F266" s="4">
        <v>149.4</v>
      </c>
      <c r="G266" s="4">
        <v>153.30000000000001</v>
      </c>
      <c r="H266" s="4">
        <v>138.19999999999999</v>
      </c>
      <c r="I266" s="4">
        <v>143.19999999999999</v>
      </c>
      <c r="J266" s="4">
        <v>148.9</v>
      </c>
      <c r="K266" s="4">
        <v>150.30000000000001</v>
      </c>
      <c r="L266" s="4">
        <v>113.2</v>
      </c>
      <c r="M266" s="4">
        <v>159.80000000000001</v>
      </c>
      <c r="N266" s="4">
        <v>142.1</v>
      </c>
      <c r="O266" s="4">
        <v>161.80000000000001</v>
      </c>
      <c r="P266" s="4">
        <v>152.30000000000001</v>
      </c>
      <c r="Q266" s="4">
        <v>182.4</v>
      </c>
      <c r="R266" s="4">
        <v>154.69999999999999</v>
      </c>
      <c r="S266" s="4">
        <v>150</v>
      </c>
      <c r="T266" s="4">
        <v>154.1</v>
      </c>
      <c r="U266" s="4">
        <v>155</v>
      </c>
      <c r="V266" s="4">
        <v>144.9</v>
      </c>
      <c r="W266" s="4">
        <v>151.69999999999999</v>
      </c>
      <c r="X266" s="4">
        <v>158.19999999999999</v>
      </c>
      <c r="Y266" s="4">
        <v>141.4</v>
      </c>
      <c r="Z266" s="4">
        <v>153.19999999999999</v>
      </c>
      <c r="AA266" s="4">
        <v>161.80000000000001</v>
      </c>
      <c r="AB266" s="4">
        <v>151.19999999999999</v>
      </c>
      <c r="AC266" s="4">
        <v>151.69999999999999</v>
      </c>
      <c r="AD266" s="4">
        <v>152.69999999999999</v>
      </c>
    </row>
    <row r="267" spans="1:30">
      <c r="A267" s="5" t="s">
        <v>32</v>
      </c>
      <c r="B267" s="6">
        <v>2020</v>
      </c>
      <c r="C267" s="6" t="s">
        <v>38</v>
      </c>
      <c r="D267" s="6">
        <v>152.69999999999999</v>
      </c>
      <c r="E267" s="6">
        <v>197</v>
      </c>
      <c r="F267" s="6">
        <v>154.6</v>
      </c>
      <c r="G267" s="6">
        <v>153.4</v>
      </c>
      <c r="H267" s="6">
        <v>132.9</v>
      </c>
      <c r="I267" s="6">
        <v>151.80000000000001</v>
      </c>
      <c r="J267" s="6">
        <v>171.2</v>
      </c>
      <c r="K267" s="6">
        <v>152</v>
      </c>
      <c r="L267" s="6">
        <v>116.3</v>
      </c>
      <c r="M267" s="6">
        <v>158.80000000000001</v>
      </c>
      <c r="N267" s="6">
        <v>135.6</v>
      </c>
      <c r="O267" s="6">
        <v>161.69999999999999</v>
      </c>
      <c r="P267" s="6">
        <v>157</v>
      </c>
      <c r="Q267" s="6">
        <v>186.7</v>
      </c>
      <c r="R267" s="6">
        <v>149.1</v>
      </c>
      <c r="S267" s="6">
        <v>136.6</v>
      </c>
      <c r="T267" s="6">
        <v>147.19999999999999</v>
      </c>
      <c r="U267" s="6">
        <v>154.69999999999999</v>
      </c>
      <c r="V267" s="6">
        <v>137.1</v>
      </c>
      <c r="W267" s="6">
        <v>140.4</v>
      </c>
      <c r="X267" s="6">
        <v>148.1</v>
      </c>
      <c r="Y267" s="6">
        <v>129.30000000000001</v>
      </c>
      <c r="Z267" s="6">
        <v>144.5</v>
      </c>
      <c r="AA267" s="6">
        <v>152.5</v>
      </c>
      <c r="AB267" s="6">
        <v>152.19999999999999</v>
      </c>
      <c r="AC267" s="6">
        <v>142</v>
      </c>
      <c r="AD267" s="6">
        <v>150.80000000000001</v>
      </c>
    </row>
    <row r="268" spans="1:30">
      <c r="A268" s="3" t="s">
        <v>33</v>
      </c>
      <c r="B268" s="4">
        <v>2020</v>
      </c>
      <c r="C268" s="4" t="s">
        <v>38</v>
      </c>
      <c r="D268" s="4">
        <v>149.6</v>
      </c>
      <c r="E268" s="4">
        <v>192.7</v>
      </c>
      <c r="F268" s="4">
        <v>151.4</v>
      </c>
      <c r="G268" s="4">
        <v>153.30000000000001</v>
      </c>
      <c r="H268" s="4">
        <v>136.30000000000001</v>
      </c>
      <c r="I268" s="4">
        <v>147.19999999999999</v>
      </c>
      <c r="J268" s="4">
        <v>156.5</v>
      </c>
      <c r="K268" s="4">
        <v>150.9</v>
      </c>
      <c r="L268" s="4">
        <v>114.2</v>
      </c>
      <c r="M268" s="4">
        <v>159.5</v>
      </c>
      <c r="N268" s="4">
        <v>139.4</v>
      </c>
      <c r="O268" s="4">
        <v>161.80000000000001</v>
      </c>
      <c r="P268" s="4">
        <v>154</v>
      </c>
      <c r="Q268" s="4">
        <v>183.5</v>
      </c>
      <c r="R268" s="4">
        <v>152.5</v>
      </c>
      <c r="S268" s="4">
        <v>144.4</v>
      </c>
      <c r="T268" s="4">
        <v>151.4</v>
      </c>
      <c r="U268" s="4">
        <v>154.69999999999999</v>
      </c>
      <c r="V268" s="4">
        <v>141.9</v>
      </c>
      <c r="W268" s="4">
        <v>146.4</v>
      </c>
      <c r="X268" s="4">
        <v>154.4</v>
      </c>
      <c r="Y268" s="4">
        <v>135</v>
      </c>
      <c r="Z268" s="4">
        <v>148.30000000000001</v>
      </c>
      <c r="AA268" s="4">
        <v>156.4</v>
      </c>
      <c r="AB268" s="4">
        <v>151.6</v>
      </c>
      <c r="AC268" s="4">
        <v>147</v>
      </c>
      <c r="AD268" s="4">
        <v>151.80000000000001</v>
      </c>
    </row>
    <row r="269" spans="1:30">
      <c r="A269" s="5" t="s">
        <v>30</v>
      </c>
      <c r="B269" s="6">
        <v>2020</v>
      </c>
      <c r="C269" s="6" t="s">
        <v>39</v>
      </c>
      <c r="D269" s="6">
        <v>148.19999999999999</v>
      </c>
      <c r="E269" s="6">
        <v>190.3</v>
      </c>
      <c r="F269" s="6">
        <v>149.4</v>
      </c>
      <c r="G269" s="6">
        <v>153.30000000000001</v>
      </c>
      <c r="H269" s="6">
        <v>138.19999999999999</v>
      </c>
      <c r="I269" s="6">
        <v>143.19999999999999</v>
      </c>
      <c r="J269" s="6">
        <v>148.9</v>
      </c>
      <c r="K269" s="6">
        <v>150.30000000000001</v>
      </c>
      <c r="L269" s="6">
        <v>113.2</v>
      </c>
      <c r="M269" s="6">
        <v>159.80000000000001</v>
      </c>
      <c r="N269" s="6">
        <v>142.1</v>
      </c>
      <c r="O269" s="6">
        <v>161.80000000000001</v>
      </c>
      <c r="P269" s="6">
        <v>152.30000000000001</v>
      </c>
      <c r="Q269" s="6">
        <v>182.4</v>
      </c>
      <c r="R269" s="6">
        <v>154.69999999999999</v>
      </c>
      <c r="S269" s="6">
        <v>150</v>
      </c>
      <c r="T269" s="6">
        <v>154.1</v>
      </c>
      <c r="U269" s="6">
        <v>155</v>
      </c>
      <c r="V269" s="6">
        <v>144.9</v>
      </c>
      <c r="W269" s="6">
        <v>151.69999999999999</v>
      </c>
      <c r="X269" s="6">
        <v>158.19999999999999</v>
      </c>
      <c r="Y269" s="6">
        <v>141.4</v>
      </c>
      <c r="Z269" s="6">
        <v>153.19999999999999</v>
      </c>
      <c r="AA269" s="6">
        <v>161.80000000000001</v>
      </c>
      <c r="AB269" s="6">
        <v>151.19999999999999</v>
      </c>
      <c r="AC269" s="6">
        <v>151.69999999999999</v>
      </c>
      <c r="AD269" s="6">
        <v>152.69999999999999</v>
      </c>
    </row>
    <row r="270" spans="1:30">
      <c r="A270" s="3" t="s">
        <v>32</v>
      </c>
      <c r="B270" s="4">
        <v>2020</v>
      </c>
      <c r="C270" s="4" t="s">
        <v>39</v>
      </c>
      <c r="D270" s="4">
        <v>152.69999999999999</v>
      </c>
      <c r="E270" s="4">
        <v>197</v>
      </c>
      <c r="F270" s="4">
        <v>154.6</v>
      </c>
      <c r="G270" s="4">
        <v>153.4</v>
      </c>
      <c r="H270" s="4">
        <v>132.9</v>
      </c>
      <c r="I270" s="4">
        <v>151.80000000000001</v>
      </c>
      <c r="J270" s="4">
        <v>171.2</v>
      </c>
      <c r="K270" s="4">
        <v>152</v>
      </c>
      <c r="L270" s="4">
        <v>116.3</v>
      </c>
      <c r="M270" s="4">
        <v>158.80000000000001</v>
      </c>
      <c r="N270" s="4">
        <v>135.6</v>
      </c>
      <c r="O270" s="4">
        <v>161.69999999999999</v>
      </c>
      <c r="P270" s="4">
        <v>157</v>
      </c>
      <c r="Q270" s="4">
        <v>186.7</v>
      </c>
      <c r="R270" s="4">
        <v>149.1</v>
      </c>
      <c r="S270" s="4">
        <v>136.6</v>
      </c>
      <c r="T270" s="4">
        <v>147.19999999999999</v>
      </c>
      <c r="U270" s="4">
        <v>154.69999999999999</v>
      </c>
      <c r="V270" s="4">
        <v>137.1</v>
      </c>
      <c r="W270" s="4">
        <v>140.4</v>
      </c>
      <c r="X270" s="4">
        <v>148.1</v>
      </c>
      <c r="Y270" s="4">
        <v>129.30000000000001</v>
      </c>
      <c r="Z270" s="4">
        <v>144.5</v>
      </c>
      <c r="AA270" s="4">
        <v>152.5</v>
      </c>
      <c r="AB270" s="4">
        <v>152.19999999999999</v>
      </c>
      <c r="AC270" s="4">
        <v>142</v>
      </c>
      <c r="AD270" s="4">
        <v>150.80000000000001</v>
      </c>
    </row>
    <row r="271" spans="1:30">
      <c r="A271" s="5" t="s">
        <v>33</v>
      </c>
      <c r="B271" s="6">
        <v>2020</v>
      </c>
      <c r="C271" s="6" t="s">
        <v>39</v>
      </c>
      <c r="D271" s="6">
        <v>149.6</v>
      </c>
      <c r="E271" s="6">
        <v>192.7</v>
      </c>
      <c r="F271" s="6">
        <v>151.4</v>
      </c>
      <c r="G271" s="6">
        <v>153.30000000000001</v>
      </c>
      <c r="H271" s="6">
        <v>136.30000000000001</v>
      </c>
      <c r="I271" s="6">
        <v>147.19999999999999</v>
      </c>
      <c r="J271" s="6">
        <v>156.5</v>
      </c>
      <c r="K271" s="6">
        <v>150.9</v>
      </c>
      <c r="L271" s="6">
        <v>114.2</v>
      </c>
      <c r="M271" s="6">
        <v>159.5</v>
      </c>
      <c r="N271" s="6">
        <v>139.4</v>
      </c>
      <c r="O271" s="6">
        <v>161.80000000000001</v>
      </c>
      <c r="P271" s="6">
        <v>154</v>
      </c>
      <c r="Q271" s="6">
        <v>183.5</v>
      </c>
      <c r="R271" s="6">
        <v>152.5</v>
      </c>
      <c r="S271" s="6">
        <v>144.4</v>
      </c>
      <c r="T271" s="6">
        <v>151.4</v>
      </c>
      <c r="U271" s="6">
        <v>154.69999999999999</v>
      </c>
      <c r="V271" s="6">
        <v>141.9</v>
      </c>
      <c r="W271" s="6">
        <v>146.4</v>
      </c>
      <c r="X271" s="6">
        <v>154.4</v>
      </c>
      <c r="Y271" s="6">
        <v>135</v>
      </c>
      <c r="Z271" s="6">
        <v>148.30000000000001</v>
      </c>
      <c r="AA271" s="6">
        <v>156.4</v>
      </c>
      <c r="AB271" s="6">
        <v>151.6</v>
      </c>
      <c r="AC271" s="6">
        <v>147</v>
      </c>
      <c r="AD271" s="6">
        <v>151.80000000000001</v>
      </c>
    </row>
    <row r="272" spans="1:30">
      <c r="A272" s="3" t="s">
        <v>30</v>
      </c>
      <c r="B272" s="4">
        <v>2020</v>
      </c>
      <c r="C272" s="4" t="s">
        <v>40</v>
      </c>
      <c r="D272" s="4">
        <v>147.6</v>
      </c>
      <c r="E272" s="4">
        <v>187.2</v>
      </c>
      <c r="F272" s="4">
        <v>148.4</v>
      </c>
      <c r="G272" s="4">
        <v>153.30000000000001</v>
      </c>
      <c r="H272" s="4">
        <v>139.80000000000001</v>
      </c>
      <c r="I272" s="4">
        <v>146.9</v>
      </c>
      <c r="J272" s="4">
        <v>171</v>
      </c>
      <c r="K272" s="4">
        <v>149.9</v>
      </c>
      <c r="L272" s="4">
        <v>114.2</v>
      </c>
      <c r="M272" s="4">
        <v>160</v>
      </c>
      <c r="N272" s="4">
        <v>143.5</v>
      </c>
      <c r="O272" s="4">
        <v>161.5</v>
      </c>
      <c r="P272" s="4">
        <v>155.30000000000001</v>
      </c>
      <c r="Q272" s="4">
        <v>180.9</v>
      </c>
      <c r="R272" s="4">
        <v>155.1</v>
      </c>
      <c r="S272" s="4">
        <v>149.30000000000001</v>
      </c>
      <c r="T272" s="4">
        <v>154.30000000000001</v>
      </c>
      <c r="U272" s="4">
        <v>155.9</v>
      </c>
      <c r="V272" s="4">
        <v>145.80000000000001</v>
      </c>
      <c r="W272" s="4">
        <v>151.9</v>
      </c>
      <c r="X272" s="4">
        <v>158.80000000000001</v>
      </c>
      <c r="Y272" s="4">
        <v>143.6</v>
      </c>
      <c r="Z272" s="4">
        <v>152.19999999999999</v>
      </c>
      <c r="AA272" s="4">
        <v>162.69999999999999</v>
      </c>
      <c r="AB272" s="4">
        <v>153.6</v>
      </c>
      <c r="AC272" s="4">
        <v>153</v>
      </c>
      <c r="AD272" s="4">
        <v>154.69999999999999</v>
      </c>
    </row>
    <row r="273" spans="1:30">
      <c r="A273" s="5" t="s">
        <v>32</v>
      </c>
      <c r="B273" s="6">
        <v>2020</v>
      </c>
      <c r="C273" s="6" t="s">
        <v>40</v>
      </c>
      <c r="D273" s="6">
        <v>151.6</v>
      </c>
      <c r="E273" s="6">
        <v>197.8</v>
      </c>
      <c r="F273" s="6">
        <v>154.5</v>
      </c>
      <c r="G273" s="6">
        <v>153.4</v>
      </c>
      <c r="H273" s="6">
        <v>133.4</v>
      </c>
      <c r="I273" s="6">
        <v>154.5</v>
      </c>
      <c r="J273" s="6">
        <v>191.9</v>
      </c>
      <c r="K273" s="6">
        <v>151.30000000000001</v>
      </c>
      <c r="L273" s="6">
        <v>116.8</v>
      </c>
      <c r="M273" s="6">
        <v>160</v>
      </c>
      <c r="N273" s="6">
        <v>136.5</v>
      </c>
      <c r="O273" s="6">
        <v>163.30000000000001</v>
      </c>
      <c r="P273" s="6">
        <v>159.9</v>
      </c>
      <c r="Q273" s="6">
        <v>187.2</v>
      </c>
      <c r="R273" s="6">
        <v>150</v>
      </c>
      <c r="S273" s="6">
        <v>135.19999999999999</v>
      </c>
      <c r="T273" s="6">
        <v>147.80000000000001</v>
      </c>
      <c r="U273" s="6">
        <v>155.5</v>
      </c>
      <c r="V273" s="6">
        <v>138.30000000000001</v>
      </c>
      <c r="W273" s="6">
        <v>144.5</v>
      </c>
      <c r="X273" s="6">
        <v>148.69999999999999</v>
      </c>
      <c r="Y273" s="6">
        <v>133.9</v>
      </c>
      <c r="Z273" s="6">
        <v>141.19999999999999</v>
      </c>
      <c r="AA273" s="6">
        <v>155.5</v>
      </c>
      <c r="AB273" s="6">
        <v>155.19999999999999</v>
      </c>
      <c r="AC273" s="6">
        <v>144.80000000000001</v>
      </c>
      <c r="AD273" s="6">
        <v>152.9</v>
      </c>
    </row>
    <row r="274" spans="1:30">
      <c r="A274" s="3" t="s">
        <v>33</v>
      </c>
      <c r="B274" s="4">
        <v>2020</v>
      </c>
      <c r="C274" s="4" t="s">
        <v>40</v>
      </c>
      <c r="D274" s="4">
        <v>148.9</v>
      </c>
      <c r="E274" s="4">
        <v>190.9</v>
      </c>
      <c r="F274" s="4">
        <v>150.80000000000001</v>
      </c>
      <c r="G274" s="4">
        <v>153.30000000000001</v>
      </c>
      <c r="H274" s="4">
        <v>137.4</v>
      </c>
      <c r="I274" s="4">
        <v>150.4</v>
      </c>
      <c r="J274" s="4">
        <v>178.1</v>
      </c>
      <c r="K274" s="4">
        <v>150.4</v>
      </c>
      <c r="L274" s="4">
        <v>115.1</v>
      </c>
      <c r="M274" s="4">
        <v>160</v>
      </c>
      <c r="N274" s="4">
        <v>140.6</v>
      </c>
      <c r="O274" s="4">
        <v>162.30000000000001</v>
      </c>
      <c r="P274" s="4">
        <v>157</v>
      </c>
      <c r="Q274" s="4">
        <v>182.6</v>
      </c>
      <c r="R274" s="4">
        <v>153.1</v>
      </c>
      <c r="S274" s="4">
        <v>143.4</v>
      </c>
      <c r="T274" s="4">
        <v>151.69999999999999</v>
      </c>
      <c r="U274" s="4">
        <v>155.5</v>
      </c>
      <c r="V274" s="4">
        <v>143</v>
      </c>
      <c r="W274" s="4">
        <v>148.4</v>
      </c>
      <c r="X274" s="4">
        <v>155</v>
      </c>
      <c r="Y274" s="4">
        <v>138.5</v>
      </c>
      <c r="Z274" s="4">
        <v>146</v>
      </c>
      <c r="AA274" s="4">
        <v>158.5</v>
      </c>
      <c r="AB274" s="4">
        <v>154.30000000000001</v>
      </c>
      <c r="AC274" s="4">
        <v>149</v>
      </c>
      <c r="AD274" s="4">
        <v>153.9</v>
      </c>
    </row>
    <row r="275" spans="1:30">
      <c r="A275" s="5" t="s">
        <v>30</v>
      </c>
      <c r="B275" s="6">
        <v>2020</v>
      </c>
      <c r="C275" s="6" t="s">
        <v>41</v>
      </c>
      <c r="D275" s="6">
        <v>146.9</v>
      </c>
      <c r="E275" s="6">
        <v>183.9</v>
      </c>
      <c r="F275" s="6">
        <v>149.5</v>
      </c>
      <c r="G275" s="6">
        <v>153.4</v>
      </c>
      <c r="H275" s="6">
        <v>140.4</v>
      </c>
      <c r="I275" s="6">
        <v>147</v>
      </c>
      <c r="J275" s="6">
        <v>178.8</v>
      </c>
      <c r="K275" s="6">
        <v>149.30000000000001</v>
      </c>
      <c r="L275" s="6">
        <v>115.1</v>
      </c>
      <c r="M275" s="6">
        <v>160</v>
      </c>
      <c r="N275" s="6">
        <v>145.4</v>
      </c>
      <c r="O275" s="6">
        <v>161.6</v>
      </c>
      <c r="P275" s="6">
        <v>156.1</v>
      </c>
      <c r="Q275" s="6">
        <v>182.9</v>
      </c>
      <c r="R275" s="6">
        <v>155.4</v>
      </c>
      <c r="S275" s="6">
        <v>149.9</v>
      </c>
      <c r="T275" s="6">
        <v>154.6</v>
      </c>
      <c r="U275" s="6">
        <v>155.9</v>
      </c>
      <c r="V275" s="6">
        <v>146.4</v>
      </c>
      <c r="W275" s="6">
        <v>151.6</v>
      </c>
      <c r="X275" s="6">
        <v>159.1</v>
      </c>
      <c r="Y275" s="6">
        <v>144.6</v>
      </c>
      <c r="Z275" s="6">
        <v>152.80000000000001</v>
      </c>
      <c r="AA275" s="6">
        <v>161.1</v>
      </c>
      <c r="AB275" s="6">
        <v>157.4</v>
      </c>
      <c r="AC275" s="6">
        <v>153.69999999999999</v>
      </c>
      <c r="AD275" s="6">
        <v>155.4</v>
      </c>
    </row>
    <row r="276" spans="1:30">
      <c r="A276" s="3" t="s">
        <v>32</v>
      </c>
      <c r="B276" s="4">
        <v>2020</v>
      </c>
      <c r="C276" s="4" t="s">
        <v>41</v>
      </c>
      <c r="D276" s="4">
        <v>151.5</v>
      </c>
      <c r="E276" s="4">
        <v>193.1</v>
      </c>
      <c r="F276" s="4">
        <v>157.30000000000001</v>
      </c>
      <c r="G276" s="4">
        <v>153.9</v>
      </c>
      <c r="H276" s="4">
        <v>134.4</v>
      </c>
      <c r="I276" s="4">
        <v>155.4</v>
      </c>
      <c r="J276" s="4">
        <v>202</v>
      </c>
      <c r="K276" s="4">
        <v>150.80000000000001</v>
      </c>
      <c r="L276" s="4">
        <v>118.9</v>
      </c>
      <c r="M276" s="4">
        <v>160.9</v>
      </c>
      <c r="N276" s="4">
        <v>137.69999999999999</v>
      </c>
      <c r="O276" s="4">
        <v>164.4</v>
      </c>
      <c r="P276" s="4">
        <v>161.30000000000001</v>
      </c>
      <c r="Q276" s="4">
        <v>188.7</v>
      </c>
      <c r="R276" s="4">
        <v>150.19999999999999</v>
      </c>
      <c r="S276" s="4">
        <v>136.30000000000001</v>
      </c>
      <c r="T276" s="4">
        <v>148.1</v>
      </c>
      <c r="U276" s="4">
        <v>156.30000000000001</v>
      </c>
      <c r="V276" s="4">
        <v>137.19999999999999</v>
      </c>
      <c r="W276" s="4">
        <v>145.4</v>
      </c>
      <c r="X276" s="4">
        <v>150</v>
      </c>
      <c r="Y276" s="4">
        <v>135.1</v>
      </c>
      <c r="Z276" s="4">
        <v>141.80000000000001</v>
      </c>
      <c r="AA276" s="4">
        <v>154.9</v>
      </c>
      <c r="AB276" s="4">
        <v>159.80000000000001</v>
      </c>
      <c r="AC276" s="4">
        <v>146</v>
      </c>
      <c r="AD276" s="4">
        <v>154</v>
      </c>
    </row>
    <row r="277" spans="1:30">
      <c r="A277" s="5" t="s">
        <v>33</v>
      </c>
      <c r="B277" s="6">
        <v>2020</v>
      </c>
      <c r="C277" s="6" t="s">
        <v>41</v>
      </c>
      <c r="D277" s="6">
        <v>148.4</v>
      </c>
      <c r="E277" s="6">
        <v>187.1</v>
      </c>
      <c r="F277" s="6">
        <v>152.5</v>
      </c>
      <c r="G277" s="6">
        <v>153.6</v>
      </c>
      <c r="H277" s="6">
        <v>138.19999999999999</v>
      </c>
      <c r="I277" s="6">
        <v>150.9</v>
      </c>
      <c r="J277" s="6">
        <v>186.7</v>
      </c>
      <c r="K277" s="6">
        <v>149.80000000000001</v>
      </c>
      <c r="L277" s="6">
        <v>116.4</v>
      </c>
      <c r="M277" s="6">
        <v>160.30000000000001</v>
      </c>
      <c r="N277" s="6">
        <v>142.19999999999999</v>
      </c>
      <c r="O277" s="6">
        <v>162.9</v>
      </c>
      <c r="P277" s="6">
        <v>158</v>
      </c>
      <c r="Q277" s="6">
        <v>184.4</v>
      </c>
      <c r="R277" s="6">
        <v>153.4</v>
      </c>
      <c r="S277" s="6">
        <v>144.30000000000001</v>
      </c>
      <c r="T277" s="6">
        <v>152</v>
      </c>
      <c r="U277" s="6">
        <v>156.30000000000001</v>
      </c>
      <c r="V277" s="6">
        <v>142.9</v>
      </c>
      <c r="W277" s="6">
        <v>148.69999999999999</v>
      </c>
      <c r="X277" s="6">
        <v>155.6</v>
      </c>
      <c r="Y277" s="6">
        <v>139.6</v>
      </c>
      <c r="Z277" s="6">
        <v>146.6</v>
      </c>
      <c r="AA277" s="6">
        <v>157.5</v>
      </c>
      <c r="AB277" s="6">
        <v>158.4</v>
      </c>
      <c r="AC277" s="6">
        <v>150</v>
      </c>
      <c r="AD277" s="6">
        <v>154.69999999999999</v>
      </c>
    </row>
    <row r="278" spans="1:30">
      <c r="A278" s="3" t="s">
        <v>30</v>
      </c>
      <c r="B278" s="4">
        <v>2020</v>
      </c>
      <c r="C278" s="4" t="s">
        <v>42</v>
      </c>
      <c r="D278" s="4">
        <v>146</v>
      </c>
      <c r="E278" s="4">
        <v>186.3</v>
      </c>
      <c r="F278" s="4">
        <v>159.19999999999999</v>
      </c>
      <c r="G278" s="4">
        <v>153.6</v>
      </c>
      <c r="H278" s="4">
        <v>142.6</v>
      </c>
      <c r="I278" s="4">
        <v>147.19999999999999</v>
      </c>
      <c r="J278" s="4">
        <v>200.6</v>
      </c>
      <c r="K278" s="4">
        <v>150.30000000000001</v>
      </c>
      <c r="L278" s="4">
        <v>115.3</v>
      </c>
      <c r="M278" s="4">
        <v>160.9</v>
      </c>
      <c r="N278" s="4">
        <v>147.4</v>
      </c>
      <c r="O278" s="4">
        <v>161.9</v>
      </c>
      <c r="P278" s="4">
        <v>159.6</v>
      </c>
      <c r="Q278" s="4">
        <v>182.7</v>
      </c>
      <c r="R278" s="4">
        <v>155.69999999999999</v>
      </c>
      <c r="S278" s="4">
        <v>150.6</v>
      </c>
      <c r="T278" s="4">
        <v>155</v>
      </c>
      <c r="U278" s="4">
        <v>157.25</v>
      </c>
      <c r="V278" s="4">
        <v>146.80000000000001</v>
      </c>
      <c r="W278" s="4">
        <v>152</v>
      </c>
      <c r="X278" s="4">
        <v>159.5</v>
      </c>
      <c r="Y278" s="4">
        <v>146.4</v>
      </c>
      <c r="Z278" s="4">
        <v>152.4</v>
      </c>
      <c r="AA278" s="4">
        <v>162.5</v>
      </c>
      <c r="AB278" s="4">
        <v>156.19999999999999</v>
      </c>
      <c r="AC278" s="4">
        <v>154.30000000000001</v>
      </c>
      <c r="AD278" s="4">
        <v>157.5</v>
      </c>
    </row>
    <row r="279" spans="1:30">
      <c r="A279" s="5" t="s">
        <v>32</v>
      </c>
      <c r="B279" s="6">
        <v>2020</v>
      </c>
      <c r="C279" s="6" t="s">
        <v>42</v>
      </c>
      <c r="D279" s="6">
        <v>150.6</v>
      </c>
      <c r="E279" s="6">
        <v>193.7</v>
      </c>
      <c r="F279" s="6">
        <v>164.8</v>
      </c>
      <c r="G279" s="6">
        <v>153.69999999999999</v>
      </c>
      <c r="H279" s="6">
        <v>135.69999999999999</v>
      </c>
      <c r="I279" s="6">
        <v>155.69999999999999</v>
      </c>
      <c r="J279" s="6">
        <v>226</v>
      </c>
      <c r="K279" s="6">
        <v>152.19999999999999</v>
      </c>
      <c r="L279" s="6">
        <v>118.1</v>
      </c>
      <c r="M279" s="6">
        <v>161.30000000000001</v>
      </c>
      <c r="N279" s="6">
        <v>139.19999999999999</v>
      </c>
      <c r="O279" s="6">
        <v>164.8</v>
      </c>
      <c r="P279" s="6">
        <v>164.4</v>
      </c>
      <c r="Q279" s="6">
        <v>188.7</v>
      </c>
      <c r="R279" s="6">
        <v>150.5</v>
      </c>
      <c r="S279" s="6">
        <v>136.1</v>
      </c>
      <c r="T279" s="6">
        <v>148.30000000000001</v>
      </c>
      <c r="U279" s="6">
        <v>156.5</v>
      </c>
      <c r="V279" s="6">
        <v>137.1</v>
      </c>
      <c r="W279" s="6">
        <v>145.1</v>
      </c>
      <c r="X279" s="6">
        <v>151</v>
      </c>
      <c r="Y279" s="6">
        <v>135.4</v>
      </c>
      <c r="Z279" s="6">
        <v>142</v>
      </c>
      <c r="AA279" s="6">
        <v>155.69999999999999</v>
      </c>
      <c r="AB279" s="6">
        <v>158.1</v>
      </c>
      <c r="AC279" s="6">
        <v>146.19999999999999</v>
      </c>
      <c r="AD279" s="6">
        <v>155.19999999999999</v>
      </c>
    </row>
    <row r="280" spans="1:30">
      <c r="A280" s="3" t="s">
        <v>33</v>
      </c>
      <c r="B280" s="4">
        <v>2020</v>
      </c>
      <c r="C280" s="4" t="s">
        <v>42</v>
      </c>
      <c r="D280" s="4">
        <v>147.5</v>
      </c>
      <c r="E280" s="4">
        <v>188.9</v>
      </c>
      <c r="F280" s="4">
        <v>161.4</v>
      </c>
      <c r="G280" s="4">
        <v>153.6</v>
      </c>
      <c r="H280" s="4">
        <v>140.1</v>
      </c>
      <c r="I280" s="4">
        <v>151.19999999999999</v>
      </c>
      <c r="J280" s="4">
        <v>209.2</v>
      </c>
      <c r="K280" s="4">
        <v>150.9</v>
      </c>
      <c r="L280" s="4">
        <v>116.2</v>
      </c>
      <c r="M280" s="4">
        <v>161</v>
      </c>
      <c r="N280" s="4">
        <v>144</v>
      </c>
      <c r="O280" s="4">
        <v>163.19999999999999</v>
      </c>
      <c r="P280" s="4">
        <v>161.4</v>
      </c>
      <c r="Q280" s="4">
        <v>184.3</v>
      </c>
      <c r="R280" s="4">
        <v>153.69999999999999</v>
      </c>
      <c r="S280" s="4">
        <v>144.6</v>
      </c>
      <c r="T280" s="4">
        <v>152.30000000000001</v>
      </c>
      <c r="U280" s="4">
        <v>156.5</v>
      </c>
      <c r="V280" s="4">
        <v>143.1</v>
      </c>
      <c r="W280" s="4">
        <v>148.69999999999999</v>
      </c>
      <c r="X280" s="4">
        <v>156.30000000000001</v>
      </c>
      <c r="Y280" s="4">
        <v>140.6</v>
      </c>
      <c r="Z280" s="4">
        <v>146.5</v>
      </c>
      <c r="AA280" s="4">
        <v>158.5</v>
      </c>
      <c r="AB280" s="4">
        <v>157</v>
      </c>
      <c r="AC280" s="4">
        <v>150.4</v>
      </c>
      <c r="AD280" s="4">
        <v>156.4</v>
      </c>
    </row>
    <row r="281" spans="1:30">
      <c r="A281" s="5" t="s">
        <v>30</v>
      </c>
      <c r="B281" s="6">
        <v>2020</v>
      </c>
      <c r="C281" s="6" t="s">
        <v>43</v>
      </c>
      <c r="D281" s="6">
        <v>145.4</v>
      </c>
      <c r="E281" s="6">
        <v>188.6</v>
      </c>
      <c r="F281" s="6">
        <v>171.6</v>
      </c>
      <c r="G281" s="6">
        <v>153.80000000000001</v>
      </c>
      <c r="H281" s="6">
        <v>145.4</v>
      </c>
      <c r="I281" s="6">
        <v>146.5</v>
      </c>
      <c r="J281" s="6">
        <v>222.2</v>
      </c>
      <c r="K281" s="6">
        <v>155.9</v>
      </c>
      <c r="L281" s="6">
        <v>114.9</v>
      </c>
      <c r="M281" s="6">
        <v>162</v>
      </c>
      <c r="N281" s="6">
        <v>150</v>
      </c>
      <c r="O281" s="6">
        <v>162.69999999999999</v>
      </c>
      <c r="P281" s="6">
        <v>163.4</v>
      </c>
      <c r="Q281" s="6">
        <v>183.4</v>
      </c>
      <c r="R281" s="6">
        <v>156.30000000000001</v>
      </c>
      <c r="S281" s="6">
        <v>151</v>
      </c>
      <c r="T281" s="6">
        <v>155.5</v>
      </c>
      <c r="U281" s="6">
        <v>157.25</v>
      </c>
      <c r="V281" s="6">
        <v>147.5</v>
      </c>
      <c r="W281" s="6">
        <v>152.80000000000001</v>
      </c>
      <c r="X281" s="6">
        <v>160.4</v>
      </c>
      <c r="Y281" s="6">
        <v>146.1</v>
      </c>
      <c r="Z281" s="6">
        <v>153.6</v>
      </c>
      <c r="AA281" s="6">
        <v>161.6</v>
      </c>
      <c r="AB281" s="6">
        <v>156.19999999999999</v>
      </c>
      <c r="AC281" s="6">
        <v>154.5</v>
      </c>
      <c r="AD281" s="6">
        <v>159.80000000000001</v>
      </c>
    </row>
    <row r="282" spans="1:30">
      <c r="A282" s="3" t="s">
        <v>32</v>
      </c>
      <c r="B282" s="4">
        <v>2020</v>
      </c>
      <c r="C282" s="4" t="s">
        <v>43</v>
      </c>
      <c r="D282" s="4">
        <v>149.69999999999999</v>
      </c>
      <c r="E282" s="4">
        <v>195.5</v>
      </c>
      <c r="F282" s="4">
        <v>176.9</v>
      </c>
      <c r="G282" s="4">
        <v>153.9</v>
      </c>
      <c r="H282" s="4">
        <v>138</v>
      </c>
      <c r="I282" s="4">
        <v>150.5</v>
      </c>
      <c r="J282" s="4">
        <v>245.3</v>
      </c>
      <c r="K282" s="4">
        <v>158.69999999999999</v>
      </c>
      <c r="L282" s="4">
        <v>117.2</v>
      </c>
      <c r="M282" s="4">
        <v>161.4</v>
      </c>
      <c r="N282" s="4">
        <v>141.5</v>
      </c>
      <c r="O282" s="4">
        <v>165.1</v>
      </c>
      <c r="P282" s="4">
        <v>167</v>
      </c>
      <c r="Q282" s="4">
        <v>188.8</v>
      </c>
      <c r="R282" s="4">
        <v>151.1</v>
      </c>
      <c r="S282" s="4">
        <v>136.4</v>
      </c>
      <c r="T282" s="4">
        <v>148.80000000000001</v>
      </c>
      <c r="U282" s="4">
        <v>158</v>
      </c>
      <c r="V282" s="4">
        <v>137.30000000000001</v>
      </c>
      <c r="W282" s="4">
        <v>145.1</v>
      </c>
      <c r="X282" s="4">
        <v>152</v>
      </c>
      <c r="Y282" s="4">
        <v>135.19999999999999</v>
      </c>
      <c r="Z282" s="4">
        <v>144.4</v>
      </c>
      <c r="AA282" s="4">
        <v>156.4</v>
      </c>
      <c r="AB282" s="4">
        <v>157.9</v>
      </c>
      <c r="AC282" s="4">
        <v>146.6</v>
      </c>
      <c r="AD282" s="4">
        <v>156.69999999999999</v>
      </c>
    </row>
    <row r="283" spans="1:30">
      <c r="A283" s="5" t="s">
        <v>33</v>
      </c>
      <c r="B283" s="6">
        <v>2020</v>
      </c>
      <c r="C283" s="6" t="s">
        <v>43</v>
      </c>
      <c r="D283" s="6">
        <v>146.80000000000001</v>
      </c>
      <c r="E283" s="6">
        <v>191</v>
      </c>
      <c r="F283" s="6">
        <v>173.6</v>
      </c>
      <c r="G283" s="6">
        <v>153.80000000000001</v>
      </c>
      <c r="H283" s="6">
        <v>142.69999999999999</v>
      </c>
      <c r="I283" s="6">
        <v>148.4</v>
      </c>
      <c r="J283" s="6">
        <v>230</v>
      </c>
      <c r="K283" s="6">
        <v>156.80000000000001</v>
      </c>
      <c r="L283" s="6">
        <v>115.7</v>
      </c>
      <c r="M283" s="6">
        <v>161.80000000000001</v>
      </c>
      <c r="N283" s="6">
        <v>146.5</v>
      </c>
      <c r="O283" s="6">
        <v>163.80000000000001</v>
      </c>
      <c r="P283" s="6">
        <v>164.7</v>
      </c>
      <c r="Q283" s="6">
        <v>184.8</v>
      </c>
      <c r="R283" s="6">
        <v>154.30000000000001</v>
      </c>
      <c r="S283" s="6">
        <v>144.9</v>
      </c>
      <c r="T283" s="6">
        <v>152.80000000000001</v>
      </c>
      <c r="U283" s="6">
        <v>158</v>
      </c>
      <c r="V283" s="6">
        <v>143.6</v>
      </c>
      <c r="W283" s="6">
        <v>149.19999999999999</v>
      </c>
      <c r="X283" s="6">
        <v>157.19999999999999</v>
      </c>
      <c r="Y283" s="6">
        <v>140.4</v>
      </c>
      <c r="Z283" s="6">
        <v>148.4</v>
      </c>
      <c r="AA283" s="6">
        <v>158.6</v>
      </c>
      <c r="AB283" s="6">
        <v>156.9</v>
      </c>
      <c r="AC283" s="6">
        <v>150.69999999999999</v>
      </c>
      <c r="AD283" s="6">
        <v>158.4</v>
      </c>
    </row>
    <row r="284" spans="1:30">
      <c r="A284" s="3" t="s">
        <v>30</v>
      </c>
      <c r="B284" s="4">
        <v>2020</v>
      </c>
      <c r="C284" s="4" t="s">
        <v>44</v>
      </c>
      <c r="D284" s="4">
        <v>144.6</v>
      </c>
      <c r="E284" s="4">
        <v>188.5</v>
      </c>
      <c r="F284" s="4">
        <v>173.4</v>
      </c>
      <c r="G284" s="4">
        <v>154</v>
      </c>
      <c r="H284" s="4">
        <v>150</v>
      </c>
      <c r="I284" s="4">
        <v>145.9</v>
      </c>
      <c r="J284" s="4">
        <v>225.2</v>
      </c>
      <c r="K284" s="4">
        <v>159.5</v>
      </c>
      <c r="L284" s="4">
        <v>114.4</v>
      </c>
      <c r="M284" s="4">
        <v>163.5</v>
      </c>
      <c r="N284" s="4">
        <v>153.4</v>
      </c>
      <c r="O284" s="4">
        <v>163.6</v>
      </c>
      <c r="P284" s="4">
        <v>164.5</v>
      </c>
      <c r="Q284" s="4">
        <v>183.6</v>
      </c>
      <c r="R284" s="4">
        <v>157</v>
      </c>
      <c r="S284" s="4">
        <v>151.6</v>
      </c>
      <c r="T284" s="4">
        <v>156.30000000000001</v>
      </c>
      <c r="U284" s="4">
        <v>158.05000000000001</v>
      </c>
      <c r="V284" s="4">
        <v>148.69999999999999</v>
      </c>
      <c r="W284" s="4">
        <v>153.4</v>
      </c>
      <c r="X284" s="4">
        <v>161.6</v>
      </c>
      <c r="Y284" s="4">
        <v>146.4</v>
      </c>
      <c r="Z284" s="4">
        <v>153.9</v>
      </c>
      <c r="AA284" s="4">
        <v>162.9</v>
      </c>
      <c r="AB284" s="4">
        <v>156.6</v>
      </c>
      <c r="AC284" s="4">
        <v>155.19999999999999</v>
      </c>
      <c r="AD284" s="4">
        <v>160.69999999999999</v>
      </c>
    </row>
    <row r="285" spans="1:30">
      <c r="A285" s="5" t="s">
        <v>32</v>
      </c>
      <c r="B285" s="6">
        <v>2020</v>
      </c>
      <c r="C285" s="6" t="s">
        <v>44</v>
      </c>
      <c r="D285" s="6">
        <v>149</v>
      </c>
      <c r="E285" s="6">
        <v>195.7</v>
      </c>
      <c r="F285" s="6">
        <v>178.3</v>
      </c>
      <c r="G285" s="6">
        <v>154.19999999999999</v>
      </c>
      <c r="H285" s="6">
        <v>140.69999999999999</v>
      </c>
      <c r="I285" s="6">
        <v>149.69999999999999</v>
      </c>
      <c r="J285" s="6">
        <v>240.9</v>
      </c>
      <c r="K285" s="6">
        <v>161.5</v>
      </c>
      <c r="L285" s="6">
        <v>117.1</v>
      </c>
      <c r="M285" s="6">
        <v>161.9</v>
      </c>
      <c r="N285" s="6">
        <v>143.30000000000001</v>
      </c>
      <c r="O285" s="6">
        <v>166.1</v>
      </c>
      <c r="P285" s="6">
        <v>167</v>
      </c>
      <c r="Q285" s="6">
        <v>190.2</v>
      </c>
      <c r="R285" s="6">
        <v>151.9</v>
      </c>
      <c r="S285" s="6">
        <v>136.69999999999999</v>
      </c>
      <c r="T285" s="6">
        <v>149.6</v>
      </c>
      <c r="U285" s="6">
        <v>158.4</v>
      </c>
      <c r="V285" s="6">
        <v>137.9</v>
      </c>
      <c r="W285" s="6">
        <v>145.5</v>
      </c>
      <c r="X285" s="6">
        <v>152.9</v>
      </c>
      <c r="Y285" s="6">
        <v>135.5</v>
      </c>
      <c r="Z285" s="6">
        <v>144.30000000000001</v>
      </c>
      <c r="AA285" s="6">
        <v>156.9</v>
      </c>
      <c r="AB285" s="6">
        <v>157.9</v>
      </c>
      <c r="AC285" s="6">
        <v>146.9</v>
      </c>
      <c r="AD285" s="6">
        <v>156.9</v>
      </c>
    </row>
    <row r="286" spans="1:30">
      <c r="A286" s="3" t="s">
        <v>33</v>
      </c>
      <c r="B286" s="4">
        <v>2020</v>
      </c>
      <c r="C286" s="4" t="s">
        <v>44</v>
      </c>
      <c r="D286" s="4">
        <v>146</v>
      </c>
      <c r="E286" s="4">
        <v>191</v>
      </c>
      <c r="F286" s="4">
        <v>175.3</v>
      </c>
      <c r="G286" s="4">
        <v>154.1</v>
      </c>
      <c r="H286" s="4">
        <v>146.6</v>
      </c>
      <c r="I286" s="4">
        <v>147.69999999999999</v>
      </c>
      <c r="J286" s="4">
        <v>230.5</v>
      </c>
      <c r="K286" s="4">
        <v>160.19999999999999</v>
      </c>
      <c r="L286" s="4">
        <v>115.3</v>
      </c>
      <c r="M286" s="4">
        <v>163</v>
      </c>
      <c r="N286" s="4">
        <v>149.19999999999999</v>
      </c>
      <c r="O286" s="4">
        <v>164.8</v>
      </c>
      <c r="P286" s="4">
        <v>165.4</v>
      </c>
      <c r="Q286" s="4">
        <v>185.4</v>
      </c>
      <c r="R286" s="4">
        <v>155</v>
      </c>
      <c r="S286" s="4">
        <v>145.4</v>
      </c>
      <c r="T286" s="4">
        <v>153.6</v>
      </c>
      <c r="U286" s="4">
        <v>158.4</v>
      </c>
      <c r="V286" s="4">
        <v>144.6</v>
      </c>
      <c r="W286" s="4">
        <v>149.69999999999999</v>
      </c>
      <c r="X286" s="4">
        <v>158.30000000000001</v>
      </c>
      <c r="Y286" s="4">
        <v>140.69999999999999</v>
      </c>
      <c r="Z286" s="4">
        <v>148.5</v>
      </c>
      <c r="AA286" s="4">
        <v>159.4</v>
      </c>
      <c r="AB286" s="4">
        <v>157.1</v>
      </c>
      <c r="AC286" s="4">
        <v>151.19999999999999</v>
      </c>
      <c r="AD286" s="4">
        <v>158.9</v>
      </c>
    </row>
    <row r="287" spans="1:30">
      <c r="A287" s="5" t="s">
        <v>30</v>
      </c>
      <c r="B287" s="6">
        <v>2021</v>
      </c>
      <c r="C287" s="6" t="s">
        <v>31</v>
      </c>
      <c r="D287" s="6">
        <v>143.4</v>
      </c>
      <c r="E287" s="6">
        <v>187.5</v>
      </c>
      <c r="F287" s="6">
        <v>173.4</v>
      </c>
      <c r="G287" s="6">
        <v>154</v>
      </c>
      <c r="H287" s="6">
        <v>154.80000000000001</v>
      </c>
      <c r="I287" s="6">
        <v>147</v>
      </c>
      <c r="J287" s="6">
        <v>187.8</v>
      </c>
      <c r="K287" s="6">
        <v>159.5</v>
      </c>
      <c r="L287" s="6">
        <v>113.8</v>
      </c>
      <c r="M287" s="6">
        <v>164.5</v>
      </c>
      <c r="N287" s="6">
        <v>156.1</v>
      </c>
      <c r="O287" s="6">
        <v>164.3</v>
      </c>
      <c r="P287" s="6">
        <v>159.6</v>
      </c>
      <c r="Q287" s="6">
        <v>184.6</v>
      </c>
      <c r="R287" s="6">
        <v>157.5</v>
      </c>
      <c r="S287" s="6">
        <v>152.4</v>
      </c>
      <c r="T287" s="6">
        <v>156.80000000000001</v>
      </c>
      <c r="U287" s="6">
        <v>158.05000000000001</v>
      </c>
      <c r="V287" s="6">
        <v>150.9</v>
      </c>
      <c r="W287" s="6">
        <v>153.9</v>
      </c>
      <c r="X287" s="6">
        <v>162.5</v>
      </c>
      <c r="Y287" s="6">
        <v>147.5</v>
      </c>
      <c r="Z287" s="6">
        <v>155.1</v>
      </c>
      <c r="AA287" s="6">
        <v>163.5</v>
      </c>
      <c r="AB287" s="6">
        <v>156.19999999999999</v>
      </c>
      <c r="AC287" s="6">
        <v>155.9</v>
      </c>
      <c r="AD287" s="6">
        <v>158.5</v>
      </c>
    </row>
    <row r="288" spans="1:30">
      <c r="A288" s="3" t="s">
        <v>32</v>
      </c>
      <c r="B288" s="4">
        <v>2021</v>
      </c>
      <c r="C288" s="4" t="s">
        <v>31</v>
      </c>
      <c r="D288" s="4">
        <v>148</v>
      </c>
      <c r="E288" s="4">
        <v>194.8</v>
      </c>
      <c r="F288" s="4">
        <v>178.4</v>
      </c>
      <c r="G288" s="4">
        <v>154.4</v>
      </c>
      <c r="H288" s="4">
        <v>144.1</v>
      </c>
      <c r="I288" s="4">
        <v>152.6</v>
      </c>
      <c r="J288" s="4">
        <v>206.8</v>
      </c>
      <c r="K288" s="4">
        <v>162.1</v>
      </c>
      <c r="L288" s="4">
        <v>116.3</v>
      </c>
      <c r="M288" s="4">
        <v>163</v>
      </c>
      <c r="N288" s="4">
        <v>145.9</v>
      </c>
      <c r="O288" s="4">
        <v>167.2</v>
      </c>
      <c r="P288" s="4">
        <v>163.4</v>
      </c>
      <c r="Q288" s="4">
        <v>191.8</v>
      </c>
      <c r="R288" s="4">
        <v>152.5</v>
      </c>
      <c r="S288" s="4">
        <v>137.30000000000001</v>
      </c>
      <c r="T288" s="4">
        <v>150.19999999999999</v>
      </c>
      <c r="U288" s="4">
        <v>157.69999999999999</v>
      </c>
      <c r="V288" s="4">
        <v>142.9</v>
      </c>
      <c r="W288" s="4">
        <v>145.69999999999999</v>
      </c>
      <c r="X288" s="4">
        <v>154.1</v>
      </c>
      <c r="Y288" s="4">
        <v>136.9</v>
      </c>
      <c r="Z288" s="4">
        <v>145.4</v>
      </c>
      <c r="AA288" s="4">
        <v>156.1</v>
      </c>
      <c r="AB288" s="4">
        <v>157.69999999999999</v>
      </c>
      <c r="AC288" s="4">
        <v>147.6</v>
      </c>
      <c r="AD288" s="4">
        <v>156</v>
      </c>
    </row>
    <row r="289" spans="1:30">
      <c r="A289" s="5" t="s">
        <v>33</v>
      </c>
      <c r="B289" s="6">
        <v>2021</v>
      </c>
      <c r="C289" s="6" t="s">
        <v>31</v>
      </c>
      <c r="D289" s="6">
        <v>144.9</v>
      </c>
      <c r="E289" s="6">
        <v>190.1</v>
      </c>
      <c r="F289" s="6">
        <v>175.3</v>
      </c>
      <c r="G289" s="6">
        <v>154.1</v>
      </c>
      <c r="H289" s="6">
        <v>150.9</v>
      </c>
      <c r="I289" s="6">
        <v>149.6</v>
      </c>
      <c r="J289" s="6">
        <v>194.2</v>
      </c>
      <c r="K289" s="6">
        <v>160.4</v>
      </c>
      <c r="L289" s="6">
        <v>114.6</v>
      </c>
      <c r="M289" s="6">
        <v>164</v>
      </c>
      <c r="N289" s="6">
        <v>151.80000000000001</v>
      </c>
      <c r="O289" s="6">
        <v>165.6</v>
      </c>
      <c r="P289" s="6">
        <v>161</v>
      </c>
      <c r="Q289" s="6">
        <v>186.5</v>
      </c>
      <c r="R289" s="6">
        <v>155.5</v>
      </c>
      <c r="S289" s="6">
        <v>146.1</v>
      </c>
      <c r="T289" s="6">
        <v>154.19999999999999</v>
      </c>
      <c r="U289" s="6">
        <v>157.69999999999999</v>
      </c>
      <c r="V289" s="6">
        <v>147.9</v>
      </c>
      <c r="W289" s="6">
        <v>150</v>
      </c>
      <c r="X289" s="6">
        <v>159.30000000000001</v>
      </c>
      <c r="Y289" s="6">
        <v>141.9</v>
      </c>
      <c r="Z289" s="6">
        <v>149.6</v>
      </c>
      <c r="AA289" s="6">
        <v>159.19999999999999</v>
      </c>
      <c r="AB289" s="6">
        <v>156.80000000000001</v>
      </c>
      <c r="AC289" s="6">
        <v>151.9</v>
      </c>
      <c r="AD289" s="6">
        <v>157.30000000000001</v>
      </c>
    </row>
    <row r="290" spans="1:30">
      <c r="A290" s="3" t="s">
        <v>30</v>
      </c>
      <c r="B290" s="4">
        <v>2021</v>
      </c>
      <c r="C290" s="4" t="s">
        <v>34</v>
      </c>
      <c r="D290" s="4">
        <v>142.80000000000001</v>
      </c>
      <c r="E290" s="4">
        <v>184</v>
      </c>
      <c r="F290" s="4">
        <v>168</v>
      </c>
      <c r="G290" s="4">
        <v>154.4</v>
      </c>
      <c r="H290" s="4">
        <v>163</v>
      </c>
      <c r="I290" s="4">
        <v>147.80000000000001</v>
      </c>
      <c r="J290" s="4">
        <v>149.69999999999999</v>
      </c>
      <c r="K290" s="4">
        <v>158.30000000000001</v>
      </c>
      <c r="L290" s="4">
        <v>111.8</v>
      </c>
      <c r="M290" s="4">
        <v>165</v>
      </c>
      <c r="N290" s="4">
        <v>160</v>
      </c>
      <c r="O290" s="4">
        <v>165.8</v>
      </c>
      <c r="P290" s="4">
        <v>154.69999999999999</v>
      </c>
      <c r="Q290" s="4">
        <v>186.5</v>
      </c>
      <c r="R290" s="4">
        <v>159.1</v>
      </c>
      <c r="S290" s="4">
        <v>153.9</v>
      </c>
      <c r="T290" s="4">
        <v>158.4</v>
      </c>
      <c r="U290" s="4">
        <v>159.85</v>
      </c>
      <c r="V290" s="4">
        <v>154.4</v>
      </c>
      <c r="W290" s="4">
        <v>154.80000000000001</v>
      </c>
      <c r="X290" s="4">
        <v>164.3</v>
      </c>
      <c r="Y290" s="4">
        <v>150.19999999999999</v>
      </c>
      <c r="Z290" s="4">
        <v>157</v>
      </c>
      <c r="AA290" s="4">
        <v>163.6</v>
      </c>
      <c r="AB290" s="4">
        <v>155.19999999999999</v>
      </c>
      <c r="AC290" s="4">
        <v>157.19999999999999</v>
      </c>
      <c r="AD290" s="4">
        <v>156.69999999999999</v>
      </c>
    </row>
    <row r="291" spans="1:30">
      <c r="A291" s="5" t="s">
        <v>32</v>
      </c>
      <c r="B291" s="6">
        <v>2021</v>
      </c>
      <c r="C291" s="6" t="s">
        <v>34</v>
      </c>
      <c r="D291" s="6">
        <v>147.6</v>
      </c>
      <c r="E291" s="6">
        <v>191.2</v>
      </c>
      <c r="F291" s="6">
        <v>169.9</v>
      </c>
      <c r="G291" s="6">
        <v>155.1</v>
      </c>
      <c r="H291" s="6">
        <v>151.4</v>
      </c>
      <c r="I291" s="6">
        <v>154</v>
      </c>
      <c r="J291" s="6">
        <v>180.2</v>
      </c>
      <c r="K291" s="6">
        <v>159.80000000000001</v>
      </c>
      <c r="L291" s="6">
        <v>114.9</v>
      </c>
      <c r="M291" s="6">
        <v>162.5</v>
      </c>
      <c r="N291" s="6">
        <v>149.19999999999999</v>
      </c>
      <c r="O291" s="6">
        <v>169.4</v>
      </c>
      <c r="P291" s="6">
        <v>160.80000000000001</v>
      </c>
      <c r="Q291" s="6">
        <v>193.3</v>
      </c>
      <c r="R291" s="6">
        <v>154.19999999999999</v>
      </c>
      <c r="S291" s="6">
        <v>138.19999999999999</v>
      </c>
      <c r="T291" s="6">
        <v>151.80000000000001</v>
      </c>
      <c r="U291" s="6">
        <v>159.80000000000001</v>
      </c>
      <c r="V291" s="6">
        <v>149.1</v>
      </c>
      <c r="W291" s="6">
        <v>146.5</v>
      </c>
      <c r="X291" s="6">
        <v>156.30000000000001</v>
      </c>
      <c r="Y291" s="6">
        <v>140.5</v>
      </c>
      <c r="Z291" s="6">
        <v>147.30000000000001</v>
      </c>
      <c r="AA291" s="6">
        <v>156.6</v>
      </c>
      <c r="AB291" s="6">
        <v>156.69999999999999</v>
      </c>
      <c r="AC291" s="6">
        <v>149.30000000000001</v>
      </c>
      <c r="AD291" s="6">
        <v>156.5</v>
      </c>
    </row>
    <row r="292" spans="1:30">
      <c r="A292" s="3" t="s">
        <v>33</v>
      </c>
      <c r="B292" s="4">
        <v>2021</v>
      </c>
      <c r="C292" s="4" t="s">
        <v>34</v>
      </c>
      <c r="D292" s="4">
        <v>144.30000000000001</v>
      </c>
      <c r="E292" s="4">
        <v>186.5</v>
      </c>
      <c r="F292" s="4">
        <v>168.7</v>
      </c>
      <c r="G292" s="4">
        <v>154.69999999999999</v>
      </c>
      <c r="H292" s="4">
        <v>158.69999999999999</v>
      </c>
      <c r="I292" s="4">
        <v>150.69999999999999</v>
      </c>
      <c r="J292" s="4">
        <v>160</v>
      </c>
      <c r="K292" s="4">
        <v>158.80000000000001</v>
      </c>
      <c r="L292" s="4">
        <v>112.8</v>
      </c>
      <c r="M292" s="4">
        <v>164.2</v>
      </c>
      <c r="N292" s="4">
        <v>155.5</v>
      </c>
      <c r="O292" s="4">
        <v>167.5</v>
      </c>
      <c r="P292" s="4">
        <v>156.9</v>
      </c>
      <c r="Q292" s="4">
        <v>188.3</v>
      </c>
      <c r="R292" s="4">
        <v>157.19999999999999</v>
      </c>
      <c r="S292" s="4">
        <v>147.4</v>
      </c>
      <c r="T292" s="4">
        <v>155.80000000000001</v>
      </c>
      <c r="U292" s="4">
        <v>159.80000000000001</v>
      </c>
      <c r="V292" s="4">
        <v>152.4</v>
      </c>
      <c r="W292" s="4">
        <v>150.9</v>
      </c>
      <c r="X292" s="4">
        <v>161.30000000000001</v>
      </c>
      <c r="Y292" s="4">
        <v>145.1</v>
      </c>
      <c r="Z292" s="4">
        <v>151.5</v>
      </c>
      <c r="AA292" s="4">
        <v>159.5</v>
      </c>
      <c r="AB292" s="4">
        <v>155.80000000000001</v>
      </c>
      <c r="AC292" s="4">
        <v>153.4</v>
      </c>
      <c r="AD292" s="4">
        <v>156.6</v>
      </c>
    </row>
    <row r="293" spans="1:30">
      <c r="A293" s="5" t="s">
        <v>30</v>
      </c>
      <c r="B293" s="6">
        <v>2021</v>
      </c>
      <c r="C293" s="6" t="s">
        <v>35</v>
      </c>
      <c r="D293" s="6">
        <v>142.5</v>
      </c>
      <c r="E293" s="6">
        <v>189.4</v>
      </c>
      <c r="F293" s="6">
        <v>163.19999999999999</v>
      </c>
      <c r="G293" s="6">
        <v>154.5</v>
      </c>
      <c r="H293" s="6">
        <v>168.2</v>
      </c>
      <c r="I293" s="6">
        <v>150.5</v>
      </c>
      <c r="J293" s="6">
        <v>141</v>
      </c>
      <c r="K293" s="6">
        <v>159.19999999999999</v>
      </c>
      <c r="L293" s="6">
        <v>111.7</v>
      </c>
      <c r="M293" s="6">
        <v>164</v>
      </c>
      <c r="N293" s="6">
        <v>160.6</v>
      </c>
      <c r="O293" s="6">
        <v>166.4</v>
      </c>
      <c r="P293" s="6">
        <v>154.5</v>
      </c>
      <c r="Q293" s="6">
        <v>186.1</v>
      </c>
      <c r="R293" s="6">
        <v>159.6</v>
      </c>
      <c r="S293" s="6">
        <v>154.4</v>
      </c>
      <c r="T293" s="6">
        <v>158.9</v>
      </c>
      <c r="U293" s="6">
        <v>159.85</v>
      </c>
      <c r="V293" s="6">
        <v>156</v>
      </c>
      <c r="W293" s="6">
        <v>154.80000000000001</v>
      </c>
      <c r="X293" s="6">
        <v>164.6</v>
      </c>
      <c r="Y293" s="6">
        <v>151.30000000000001</v>
      </c>
      <c r="Z293" s="6">
        <v>157.80000000000001</v>
      </c>
      <c r="AA293" s="6">
        <v>163.80000000000001</v>
      </c>
      <c r="AB293" s="6">
        <v>153.1</v>
      </c>
      <c r="AC293" s="6">
        <v>157.30000000000001</v>
      </c>
      <c r="AD293" s="6">
        <v>156.69999999999999</v>
      </c>
    </row>
    <row r="294" spans="1:30">
      <c r="A294" s="3" t="s">
        <v>32</v>
      </c>
      <c r="B294" s="4">
        <v>2021</v>
      </c>
      <c r="C294" s="4" t="s">
        <v>35</v>
      </c>
      <c r="D294" s="4">
        <v>147.5</v>
      </c>
      <c r="E294" s="4">
        <v>197.5</v>
      </c>
      <c r="F294" s="4">
        <v>164.7</v>
      </c>
      <c r="G294" s="4">
        <v>155.6</v>
      </c>
      <c r="H294" s="4">
        <v>156.4</v>
      </c>
      <c r="I294" s="4">
        <v>157.30000000000001</v>
      </c>
      <c r="J294" s="4">
        <v>166.1</v>
      </c>
      <c r="K294" s="4">
        <v>161.1</v>
      </c>
      <c r="L294" s="4">
        <v>114.3</v>
      </c>
      <c r="M294" s="4">
        <v>162.6</v>
      </c>
      <c r="N294" s="4">
        <v>150.69999999999999</v>
      </c>
      <c r="O294" s="4">
        <v>170.3</v>
      </c>
      <c r="P294" s="4">
        <v>160.4</v>
      </c>
      <c r="Q294" s="4">
        <v>193.5</v>
      </c>
      <c r="R294" s="4">
        <v>155.1</v>
      </c>
      <c r="S294" s="4">
        <v>138.69999999999999</v>
      </c>
      <c r="T294" s="4">
        <v>152.6</v>
      </c>
      <c r="U294" s="4">
        <v>159.9</v>
      </c>
      <c r="V294" s="4">
        <v>154.80000000000001</v>
      </c>
      <c r="W294" s="4">
        <v>147.19999999999999</v>
      </c>
      <c r="X294" s="4">
        <v>156.9</v>
      </c>
      <c r="Y294" s="4">
        <v>141.69999999999999</v>
      </c>
      <c r="Z294" s="4">
        <v>148.6</v>
      </c>
      <c r="AA294" s="4">
        <v>157.6</v>
      </c>
      <c r="AB294" s="4">
        <v>154.9</v>
      </c>
      <c r="AC294" s="4">
        <v>150</v>
      </c>
      <c r="AD294" s="4">
        <v>156.9</v>
      </c>
    </row>
    <row r="295" spans="1:30">
      <c r="A295" s="5" t="s">
        <v>33</v>
      </c>
      <c r="B295" s="6">
        <v>2021</v>
      </c>
      <c r="C295" s="6" t="s">
        <v>35</v>
      </c>
      <c r="D295" s="6">
        <v>144.1</v>
      </c>
      <c r="E295" s="6">
        <v>192.2</v>
      </c>
      <c r="F295" s="6">
        <v>163.80000000000001</v>
      </c>
      <c r="G295" s="6">
        <v>154.9</v>
      </c>
      <c r="H295" s="6">
        <v>163.9</v>
      </c>
      <c r="I295" s="6">
        <v>153.69999999999999</v>
      </c>
      <c r="J295" s="6">
        <v>149.5</v>
      </c>
      <c r="K295" s="6">
        <v>159.80000000000001</v>
      </c>
      <c r="L295" s="6">
        <v>112.6</v>
      </c>
      <c r="M295" s="6">
        <v>163.5</v>
      </c>
      <c r="N295" s="6">
        <v>156.5</v>
      </c>
      <c r="O295" s="6">
        <v>168.2</v>
      </c>
      <c r="P295" s="6">
        <v>156.69999999999999</v>
      </c>
      <c r="Q295" s="6">
        <v>188.1</v>
      </c>
      <c r="R295" s="6">
        <v>157.80000000000001</v>
      </c>
      <c r="S295" s="6">
        <v>147.9</v>
      </c>
      <c r="T295" s="6">
        <v>156.4</v>
      </c>
      <c r="U295" s="6">
        <v>159.9</v>
      </c>
      <c r="V295" s="6">
        <v>155.5</v>
      </c>
      <c r="W295" s="6">
        <v>151.19999999999999</v>
      </c>
      <c r="X295" s="6">
        <v>161.69999999999999</v>
      </c>
      <c r="Y295" s="6">
        <v>146.19999999999999</v>
      </c>
      <c r="Z295" s="6">
        <v>152.6</v>
      </c>
      <c r="AA295" s="6">
        <v>160.19999999999999</v>
      </c>
      <c r="AB295" s="6">
        <v>153.80000000000001</v>
      </c>
      <c r="AC295" s="6">
        <v>153.80000000000001</v>
      </c>
      <c r="AD295" s="6">
        <v>156.80000000000001</v>
      </c>
    </row>
    <row r="296" spans="1:30">
      <c r="A296" s="3" t="s">
        <v>30</v>
      </c>
      <c r="B296" s="4">
        <v>2021</v>
      </c>
      <c r="C296" s="4" t="s">
        <v>36</v>
      </c>
      <c r="D296" s="4">
        <v>142.69999999999999</v>
      </c>
      <c r="E296" s="4">
        <v>195.5</v>
      </c>
      <c r="F296" s="4">
        <v>163.4</v>
      </c>
      <c r="G296" s="4">
        <v>155</v>
      </c>
      <c r="H296" s="4">
        <v>175.2</v>
      </c>
      <c r="I296" s="4">
        <v>160.6</v>
      </c>
      <c r="J296" s="4">
        <v>135.1</v>
      </c>
      <c r="K296" s="4">
        <v>161.1</v>
      </c>
      <c r="L296" s="4">
        <v>112.2</v>
      </c>
      <c r="M296" s="4">
        <v>164.4</v>
      </c>
      <c r="N296" s="4">
        <v>161.9</v>
      </c>
      <c r="O296" s="4">
        <v>166.8</v>
      </c>
      <c r="P296" s="4">
        <v>155.6</v>
      </c>
      <c r="Q296" s="4">
        <v>186.8</v>
      </c>
      <c r="R296" s="4">
        <v>160.69999999999999</v>
      </c>
      <c r="S296" s="4">
        <v>155.1</v>
      </c>
      <c r="T296" s="4">
        <v>159.9</v>
      </c>
      <c r="U296" s="4">
        <v>161.5</v>
      </c>
      <c r="V296" s="4">
        <v>156</v>
      </c>
      <c r="W296" s="4">
        <v>155.5</v>
      </c>
      <c r="X296" s="4">
        <v>165.3</v>
      </c>
      <c r="Y296" s="4">
        <v>151.69999999999999</v>
      </c>
      <c r="Z296" s="4">
        <v>158.6</v>
      </c>
      <c r="AA296" s="4">
        <v>164.1</v>
      </c>
      <c r="AB296" s="4">
        <v>154.6</v>
      </c>
      <c r="AC296" s="4">
        <v>158</v>
      </c>
      <c r="AD296" s="4">
        <v>157.6</v>
      </c>
    </row>
    <row r="297" spans="1:30">
      <c r="A297" s="5" t="s">
        <v>32</v>
      </c>
      <c r="B297" s="6">
        <v>2021</v>
      </c>
      <c r="C297" s="6" t="s">
        <v>36</v>
      </c>
      <c r="D297" s="6">
        <v>147.6</v>
      </c>
      <c r="E297" s="6">
        <v>202.5</v>
      </c>
      <c r="F297" s="6">
        <v>166.4</v>
      </c>
      <c r="G297" s="6">
        <v>156</v>
      </c>
      <c r="H297" s="6">
        <v>161.4</v>
      </c>
      <c r="I297" s="6">
        <v>168.8</v>
      </c>
      <c r="J297" s="6">
        <v>161.6</v>
      </c>
      <c r="K297" s="6">
        <v>162.80000000000001</v>
      </c>
      <c r="L297" s="6">
        <v>114.8</v>
      </c>
      <c r="M297" s="6">
        <v>162.80000000000001</v>
      </c>
      <c r="N297" s="6">
        <v>151.5</v>
      </c>
      <c r="O297" s="6">
        <v>171.4</v>
      </c>
      <c r="P297" s="6">
        <v>162</v>
      </c>
      <c r="Q297" s="6">
        <v>194.4</v>
      </c>
      <c r="R297" s="6">
        <v>155.9</v>
      </c>
      <c r="S297" s="6">
        <v>139.30000000000001</v>
      </c>
      <c r="T297" s="6">
        <v>153.4</v>
      </c>
      <c r="U297" s="6">
        <v>161.4</v>
      </c>
      <c r="V297" s="6">
        <v>154.9</v>
      </c>
      <c r="W297" s="6">
        <v>147.6</v>
      </c>
      <c r="X297" s="6">
        <v>157.5</v>
      </c>
      <c r="Y297" s="6">
        <v>142.1</v>
      </c>
      <c r="Z297" s="6">
        <v>149.1</v>
      </c>
      <c r="AA297" s="6">
        <v>157.6</v>
      </c>
      <c r="AB297" s="6">
        <v>156.6</v>
      </c>
      <c r="AC297" s="6">
        <v>150.5</v>
      </c>
      <c r="AD297" s="6">
        <v>158</v>
      </c>
    </row>
    <row r="298" spans="1:30">
      <c r="A298" s="3" t="s">
        <v>33</v>
      </c>
      <c r="B298" s="4">
        <v>2021</v>
      </c>
      <c r="C298" s="4" t="s">
        <v>36</v>
      </c>
      <c r="D298" s="4">
        <v>144.30000000000001</v>
      </c>
      <c r="E298" s="4">
        <v>198</v>
      </c>
      <c r="F298" s="4">
        <v>164.6</v>
      </c>
      <c r="G298" s="4">
        <v>155.4</v>
      </c>
      <c r="H298" s="4">
        <v>170.1</v>
      </c>
      <c r="I298" s="4">
        <v>164.4</v>
      </c>
      <c r="J298" s="4">
        <v>144.1</v>
      </c>
      <c r="K298" s="4">
        <v>161.69999999999999</v>
      </c>
      <c r="L298" s="4">
        <v>113.1</v>
      </c>
      <c r="M298" s="4">
        <v>163.9</v>
      </c>
      <c r="N298" s="4">
        <v>157.6</v>
      </c>
      <c r="O298" s="4">
        <v>168.9</v>
      </c>
      <c r="P298" s="4">
        <v>158</v>
      </c>
      <c r="Q298" s="4">
        <v>188.8</v>
      </c>
      <c r="R298" s="4">
        <v>158.80000000000001</v>
      </c>
      <c r="S298" s="4">
        <v>148.5</v>
      </c>
      <c r="T298" s="4">
        <v>157.30000000000001</v>
      </c>
      <c r="U298" s="4">
        <v>161.4</v>
      </c>
      <c r="V298" s="4">
        <v>155.6</v>
      </c>
      <c r="W298" s="4">
        <v>151.80000000000001</v>
      </c>
      <c r="X298" s="4">
        <v>162.30000000000001</v>
      </c>
      <c r="Y298" s="4">
        <v>146.6</v>
      </c>
      <c r="Z298" s="4">
        <v>153.19999999999999</v>
      </c>
      <c r="AA298" s="4">
        <v>160.30000000000001</v>
      </c>
      <c r="AB298" s="4">
        <v>155.4</v>
      </c>
      <c r="AC298" s="4">
        <v>154.4</v>
      </c>
      <c r="AD298" s="4">
        <v>157.80000000000001</v>
      </c>
    </row>
    <row r="299" spans="1:30">
      <c r="A299" s="5" t="s">
        <v>30</v>
      </c>
      <c r="B299" s="6">
        <v>2021</v>
      </c>
      <c r="C299" s="6" t="s">
        <v>37</v>
      </c>
      <c r="D299" s="6">
        <v>145.1</v>
      </c>
      <c r="E299" s="6">
        <v>198.5</v>
      </c>
      <c r="F299" s="6">
        <v>168.6</v>
      </c>
      <c r="G299" s="6">
        <v>155.80000000000001</v>
      </c>
      <c r="H299" s="6">
        <v>184.4</v>
      </c>
      <c r="I299" s="6">
        <v>162.30000000000001</v>
      </c>
      <c r="J299" s="6">
        <v>138.4</v>
      </c>
      <c r="K299" s="6">
        <v>165.1</v>
      </c>
      <c r="L299" s="6">
        <v>114.3</v>
      </c>
      <c r="M299" s="6">
        <v>169.7</v>
      </c>
      <c r="N299" s="6">
        <v>164.6</v>
      </c>
      <c r="O299" s="6">
        <v>169.8</v>
      </c>
      <c r="P299" s="6">
        <v>158.69999999999999</v>
      </c>
      <c r="Q299" s="6">
        <v>189.6</v>
      </c>
      <c r="R299" s="6">
        <v>165.3</v>
      </c>
      <c r="S299" s="6">
        <v>160.6</v>
      </c>
      <c r="T299" s="6">
        <v>164.5</v>
      </c>
      <c r="U299" s="6">
        <v>161.5</v>
      </c>
      <c r="V299" s="6">
        <v>161.69999999999999</v>
      </c>
      <c r="W299" s="6">
        <v>158.80000000000001</v>
      </c>
      <c r="X299" s="6">
        <v>169.1</v>
      </c>
      <c r="Y299" s="6">
        <v>153.19999999999999</v>
      </c>
      <c r="Z299" s="6">
        <v>160</v>
      </c>
      <c r="AA299" s="6">
        <v>167.6</v>
      </c>
      <c r="AB299" s="6">
        <v>159.30000000000001</v>
      </c>
      <c r="AC299" s="6">
        <v>161.1</v>
      </c>
      <c r="AD299" s="6">
        <v>161.1</v>
      </c>
    </row>
    <row r="300" spans="1:30">
      <c r="A300" s="3" t="s">
        <v>32</v>
      </c>
      <c r="B300" s="4">
        <v>2021</v>
      </c>
      <c r="C300" s="4" t="s">
        <v>37</v>
      </c>
      <c r="D300" s="4">
        <v>148.80000000000001</v>
      </c>
      <c r="E300" s="4">
        <v>204.3</v>
      </c>
      <c r="F300" s="4">
        <v>173</v>
      </c>
      <c r="G300" s="4">
        <v>156.5</v>
      </c>
      <c r="H300" s="4">
        <v>168.8</v>
      </c>
      <c r="I300" s="4">
        <v>172.5</v>
      </c>
      <c r="J300" s="4">
        <v>166.5</v>
      </c>
      <c r="K300" s="4">
        <v>165.9</v>
      </c>
      <c r="L300" s="4">
        <v>115.9</v>
      </c>
      <c r="M300" s="4">
        <v>165.2</v>
      </c>
      <c r="N300" s="4">
        <v>152</v>
      </c>
      <c r="O300" s="4">
        <v>171.1</v>
      </c>
      <c r="P300" s="4">
        <v>164.2</v>
      </c>
      <c r="Q300" s="4">
        <v>198.2</v>
      </c>
      <c r="R300" s="4">
        <v>156.5</v>
      </c>
      <c r="S300" s="4">
        <v>140.19999999999999</v>
      </c>
      <c r="T300" s="4">
        <v>154.1</v>
      </c>
      <c r="U300" s="4">
        <v>161.6</v>
      </c>
      <c r="V300" s="4">
        <v>155.5</v>
      </c>
      <c r="W300" s="4">
        <v>150.1</v>
      </c>
      <c r="X300" s="4">
        <v>160.4</v>
      </c>
      <c r="Y300" s="4">
        <v>145</v>
      </c>
      <c r="Z300" s="4">
        <v>152.6</v>
      </c>
      <c r="AA300" s="4">
        <v>156.6</v>
      </c>
      <c r="AB300" s="4">
        <v>157.5</v>
      </c>
      <c r="AC300" s="4">
        <v>152.30000000000001</v>
      </c>
      <c r="AD300" s="4">
        <v>159.5</v>
      </c>
    </row>
    <row r="301" spans="1:30">
      <c r="A301" s="5" t="s">
        <v>33</v>
      </c>
      <c r="B301" s="6">
        <v>2021</v>
      </c>
      <c r="C301" s="6" t="s">
        <v>37</v>
      </c>
      <c r="D301" s="6">
        <v>146.30000000000001</v>
      </c>
      <c r="E301" s="6">
        <v>200.5</v>
      </c>
      <c r="F301" s="6">
        <v>170.3</v>
      </c>
      <c r="G301" s="6">
        <v>156.1</v>
      </c>
      <c r="H301" s="6">
        <v>178.7</v>
      </c>
      <c r="I301" s="6">
        <v>167.1</v>
      </c>
      <c r="J301" s="6">
        <v>147.9</v>
      </c>
      <c r="K301" s="6">
        <v>165.4</v>
      </c>
      <c r="L301" s="6">
        <v>114.8</v>
      </c>
      <c r="M301" s="6">
        <v>168.2</v>
      </c>
      <c r="N301" s="6">
        <v>159.30000000000001</v>
      </c>
      <c r="O301" s="6">
        <v>170.4</v>
      </c>
      <c r="P301" s="6">
        <v>160.69999999999999</v>
      </c>
      <c r="Q301" s="6">
        <v>191.9</v>
      </c>
      <c r="R301" s="6">
        <v>161.80000000000001</v>
      </c>
      <c r="S301" s="6">
        <v>152.1</v>
      </c>
      <c r="T301" s="6">
        <v>160.4</v>
      </c>
      <c r="U301" s="6">
        <v>161.6</v>
      </c>
      <c r="V301" s="6">
        <v>159.4</v>
      </c>
      <c r="W301" s="6">
        <v>154.69999999999999</v>
      </c>
      <c r="X301" s="6">
        <v>165.8</v>
      </c>
      <c r="Y301" s="6">
        <v>148.9</v>
      </c>
      <c r="Z301" s="6">
        <v>155.80000000000001</v>
      </c>
      <c r="AA301" s="6">
        <v>161.19999999999999</v>
      </c>
      <c r="AB301" s="6">
        <v>158.6</v>
      </c>
      <c r="AC301" s="6">
        <v>156.80000000000001</v>
      </c>
      <c r="AD301" s="6">
        <v>160.4</v>
      </c>
    </row>
    <row r="302" spans="1:30">
      <c r="A302" s="3" t="s">
        <v>30</v>
      </c>
      <c r="B302" s="4">
        <v>2021</v>
      </c>
      <c r="C302" s="4" t="s">
        <v>38</v>
      </c>
      <c r="D302" s="4">
        <v>145.6</v>
      </c>
      <c r="E302" s="4">
        <v>200.1</v>
      </c>
      <c r="F302" s="4">
        <v>179.3</v>
      </c>
      <c r="G302" s="4">
        <v>156.1</v>
      </c>
      <c r="H302" s="4">
        <v>190.4</v>
      </c>
      <c r="I302" s="4">
        <v>158.6</v>
      </c>
      <c r="J302" s="4">
        <v>144.69999999999999</v>
      </c>
      <c r="K302" s="4">
        <v>165.5</v>
      </c>
      <c r="L302" s="4">
        <v>114.6</v>
      </c>
      <c r="M302" s="4">
        <v>170</v>
      </c>
      <c r="N302" s="4">
        <v>165.5</v>
      </c>
      <c r="O302" s="4">
        <v>171.7</v>
      </c>
      <c r="P302" s="4">
        <v>160.5</v>
      </c>
      <c r="Q302" s="4">
        <v>189.1</v>
      </c>
      <c r="R302" s="4">
        <v>165.3</v>
      </c>
      <c r="S302" s="4">
        <v>159.9</v>
      </c>
      <c r="T302" s="4">
        <v>164.6</v>
      </c>
      <c r="U302" s="4">
        <v>161</v>
      </c>
      <c r="V302" s="4">
        <v>162.1</v>
      </c>
      <c r="W302" s="4">
        <v>159.19999999999999</v>
      </c>
      <c r="X302" s="4">
        <v>169.7</v>
      </c>
      <c r="Y302" s="4">
        <v>154.19999999999999</v>
      </c>
      <c r="Z302" s="4">
        <v>160.4</v>
      </c>
      <c r="AA302" s="4">
        <v>166.8</v>
      </c>
      <c r="AB302" s="4">
        <v>159.4</v>
      </c>
      <c r="AC302" s="4">
        <v>161.5</v>
      </c>
      <c r="AD302" s="4">
        <v>162.1</v>
      </c>
    </row>
    <row r="303" spans="1:30">
      <c r="A303" s="5" t="s">
        <v>32</v>
      </c>
      <c r="B303" s="6">
        <v>2021</v>
      </c>
      <c r="C303" s="6" t="s">
        <v>38</v>
      </c>
      <c r="D303" s="6">
        <v>149.19999999999999</v>
      </c>
      <c r="E303" s="6">
        <v>205.5</v>
      </c>
      <c r="F303" s="6">
        <v>182.8</v>
      </c>
      <c r="G303" s="6">
        <v>156.5</v>
      </c>
      <c r="H303" s="6">
        <v>172.2</v>
      </c>
      <c r="I303" s="6">
        <v>171.5</v>
      </c>
      <c r="J303" s="6">
        <v>176.2</v>
      </c>
      <c r="K303" s="6">
        <v>166.9</v>
      </c>
      <c r="L303" s="6">
        <v>116.1</v>
      </c>
      <c r="M303" s="6">
        <v>165.5</v>
      </c>
      <c r="N303" s="6">
        <v>152.30000000000001</v>
      </c>
      <c r="O303" s="6">
        <v>173.3</v>
      </c>
      <c r="P303" s="6">
        <v>166.2</v>
      </c>
      <c r="Q303" s="6">
        <v>195.6</v>
      </c>
      <c r="R303" s="6">
        <v>157.30000000000001</v>
      </c>
      <c r="S303" s="6">
        <v>140.5</v>
      </c>
      <c r="T303" s="6">
        <v>154.80000000000001</v>
      </c>
      <c r="U303" s="6">
        <v>160.5</v>
      </c>
      <c r="V303" s="6">
        <v>156.1</v>
      </c>
      <c r="W303" s="6">
        <v>149.80000000000001</v>
      </c>
      <c r="X303" s="6">
        <v>160.80000000000001</v>
      </c>
      <c r="Y303" s="6">
        <v>147.5</v>
      </c>
      <c r="Z303" s="6">
        <v>150.69999999999999</v>
      </c>
      <c r="AA303" s="6">
        <v>158.1</v>
      </c>
      <c r="AB303" s="6">
        <v>158</v>
      </c>
      <c r="AC303" s="6">
        <v>153.4</v>
      </c>
      <c r="AD303" s="6">
        <v>160.4</v>
      </c>
    </row>
    <row r="304" spans="1:30">
      <c r="A304" s="3" t="s">
        <v>33</v>
      </c>
      <c r="B304" s="4">
        <v>2021</v>
      </c>
      <c r="C304" s="4" t="s">
        <v>38</v>
      </c>
      <c r="D304" s="4">
        <v>146.69999999999999</v>
      </c>
      <c r="E304" s="4">
        <v>202</v>
      </c>
      <c r="F304" s="4">
        <v>180.7</v>
      </c>
      <c r="G304" s="4">
        <v>156.19999999999999</v>
      </c>
      <c r="H304" s="4">
        <v>183.7</v>
      </c>
      <c r="I304" s="4">
        <v>164.6</v>
      </c>
      <c r="J304" s="4">
        <v>155.4</v>
      </c>
      <c r="K304" s="4">
        <v>166</v>
      </c>
      <c r="L304" s="4">
        <v>115.1</v>
      </c>
      <c r="M304" s="4">
        <v>168.5</v>
      </c>
      <c r="N304" s="4">
        <v>160</v>
      </c>
      <c r="O304" s="4">
        <v>172.4</v>
      </c>
      <c r="P304" s="4">
        <v>162.6</v>
      </c>
      <c r="Q304" s="4">
        <v>190.8</v>
      </c>
      <c r="R304" s="4">
        <v>162.19999999999999</v>
      </c>
      <c r="S304" s="4">
        <v>151.80000000000001</v>
      </c>
      <c r="T304" s="4">
        <v>160.69999999999999</v>
      </c>
      <c r="U304" s="4">
        <v>160.5</v>
      </c>
      <c r="V304" s="4">
        <v>159.80000000000001</v>
      </c>
      <c r="W304" s="4">
        <v>154.80000000000001</v>
      </c>
      <c r="X304" s="4">
        <v>166.3</v>
      </c>
      <c r="Y304" s="4">
        <v>150.69999999999999</v>
      </c>
      <c r="Z304" s="4">
        <v>154.9</v>
      </c>
      <c r="AA304" s="4">
        <v>161.69999999999999</v>
      </c>
      <c r="AB304" s="4">
        <v>158.80000000000001</v>
      </c>
      <c r="AC304" s="4">
        <v>157.6</v>
      </c>
      <c r="AD304" s="4">
        <v>161.30000000000001</v>
      </c>
    </row>
    <row r="305" spans="1:30">
      <c r="A305" s="5" t="s">
        <v>30</v>
      </c>
      <c r="B305" s="6">
        <v>2021</v>
      </c>
      <c r="C305" s="6" t="s">
        <v>39</v>
      </c>
      <c r="D305" s="6">
        <v>145.1</v>
      </c>
      <c r="E305" s="6">
        <v>204.5</v>
      </c>
      <c r="F305" s="6">
        <v>180.4</v>
      </c>
      <c r="G305" s="6">
        <v>157.1</v>
      </c>
      <c r="H305" s="6">
        <v>188.7</v>
      </c>
      <c r="I305" s="6">
        <v>157.69999999999999</v>
      </c>
      <c r="J305" s="6">
        <v>152.80000000000001</v>
      </c>
      <c r="K305" s="6">
        <v>163.6</v>
      </c>
      <c r="L305" s="6">
        <v>113.9</v>
      </c>
      <c r="M305" s="6">
        <v>169.7</v>
      </c>
      <c r="N305" s="6">
        <v>166.2</v>
      </c>
      <c r="O305" s="6">
        <v>171</v>
      </c>
      <c r="P305" s="6">
        <v>161.69999999999999</v>
      </c>
      <c r="Q305" s="6">
        <v>189.7</v>
      </c>
      <c r="R305" s="6">
        <v>166</v>
      </c>
      <c r="S305" s="6">
        <v>161.1</v>
      </c>
      <c r="T305" s="6">
        <v>165.3</v>
      </c>
      <c r="U305" s="6">
        <v>161</v>
      </c>
      <c r="V305" s="6">
        <v>162.5</v>
      </c>
      <c r="W305" s="6">
        <v>160.30000000000001</v>
      </c>
      <c r="X305" s="6">
        <v>170.4</v>
      </c>
      <c r="Y305" s="6">
        <v>157.1</v>
      </c>
      <c r="Z305" s="6">
        <v>160.69999999999999</v>
      </c>
      <c r="AA305" s="6">
        <v>167.2</v>
      </c>
      <c r="AB305" s="6">
        <v>160.4</v>
      </c>
      <c r="AC305" s="6">
        <v>162.80000000000001</v>
      </c>
      <c r="AD305" s="6">
        <v>163.19999999999999</v>
      </c>
    </row>
    <row r="306" spans="1:30">
      <c r="A306" s="3" t="s">
        <v>32</v>
      </c>
      <c r="B306" s="4">
        <v>2021</v>
      </c>
      <c r="C306" s="4" t="s">
        <v>39</v>
      </c>
      <c r="D306" s="4">
        <v>149.1</v>
      </c>
      <c r="E306" s="4">
        <v>210.9</v>
      </c>
      <c r="F306" s="4">
        <v>185</v>
      </c>
      <c r="G306" s="4">
        <v>158.19999999999999</v>
      </c>
      <c r="H306" s="4">
        <v>170.6</v>
      </c>
      <c r="I306" s="4">
        <v>170.9</v>
      </c>
      <c r="J306" s="4">
        <v>186.4</v>
      </c>
      <c r="K306" s="4">
        <v>164.7</v>
      </c>
      <c r="L306" s="4">
        <v>115.7</v>
      </c>
      <c r="M306" s="4">
        <v>165.5</v>
      </c>
      <c r="N306" s="4">
        <v>153.4</v>
      </c>
      <c r="O306" s="4">
        <v>173.5</v>
      </c>
      <c r="P306" s="4">
        <v>167.9</v>
      </c>
      <c r="Q306" s="4">
        <v>195.5</v>
      </c>
      <c r="R306" s="4">
        <v>157.9</v>
      </c>
      <c r="S306" s="4">
        <v>141.9</v>
      </c>
      <c r="T306" s="4">
        <v>155.5</v>
      </c>
      <c r="U306" s="4">
        <v>161.5</v>
      </c>
      <c r="V306" s="4">
        <v>157.69999999999999</v>
      </c>
      <c r="W306" s="4">
        <v>150.69999999999999</v>
      </c>
      <c r="X306" s="4">
        <v>161.5</v>
      </c>
      <c r="Y306" s="4">
        <v>149.5</v>
      </c>
      <c r="Z306" s="4">
        <v>151.19999999999999</v>
      </c>
      <c r="AA306" s="4">
        <v>160.30000000000001</v>
      </c>
      <c r="AB306" s="4">
        <v>159.6</v>
      </c>
      <c r="AC306" s="4">
        <v>155</v>
      </c>
      <c r="AD306" s="4">
        <v>161.80000000000001</v>
      </c>
    </row>
    <row r="307" spans="1:30">
      <c r="A307" s="5" t="s">
        <v>33</v>
      </c>
      <c r="B307" s="6">
        <v>2021</v>
      </c>
      <c r="C307" s="6" t="s">
        <v>39</v>
      </c>
      <c r="D307" s="6">
        <v>146.4</v>
      </c>
      <c r="E307" s="6">
        <v>206.8</v>
      </c>
      <c r="F307" s="6">
        <v>182.2</v>
      </c>
      <c r="G307" s="6">
        <v>157.5</v>
      </c>
      <c r="H307" s="6">
        <v>182.1</v>
      </c>
      <c r="I307" s="6">
        <v>163.9</v>
      </c>
      <c r="J307" s="6">
        <v>164.2</v>
      </c>
      <c r="K307" s="6">
        <v>164</v>
      </c>
      <c r="L307" s="6">
        <v>114.5</v>
      </c>
      <c r="M307" s="6">
        <v>168.3</v>
      </c>
      <c r="N307" s="6">
        <v>160.9</v>
      </c>
      <c r="O307" s="6">
        <v>172.2</v>
      </c>
      <c r="P307" s="6">
        <v>164</v>
      </c>
      <c r="Q307" s="6">
        <v>191.2</v>
      </c>
      <c r="R307" s="6">
        <v>162.80000000000001</v>
      </c>
      <c r="S307" s="6">
        <v>153.1</v>
      </c>
      <c r="T307" s="6">
        <v>161.4</v>
      </c>
      <c r="U307" s="6">
        <v>161.5</v>
      </c>
      <c r="V307" s="6">
        <v>160.69999999999999</v>
      </c>
      <c r="W307" s="6">
        <v>155.80000000000001</v>
      </c>
      <c r="X307" s="6">
        <v>167</v>
      </c>
      <c r="Y307" s="6">
        <v>153.1</v>
      </c>
      <c r="Z307" s="6">
        <v>155.30000000000001</v>
      </c>
      <c r="AA307" s="6">
        <v>163.19999999999999</v>
      </c>
      <c r="AB307" s="6">
        <v>160.1</v>
      </c>
      <c r="AC307" s="6">
        <v>159</v>
      </c>
      <c r="AD307" s="6">
        <v>162.5</v>
      </c>
    </row>
    <row r="308" spans="1:30">
      <c r="A308" s="3" t="s">
        <v>30</v>
      </c>
      <c r="B308" s="4">
        <v>2021</v>
      </c>
      <c r="C308" s="4" t="s">
        <v>40</v>
      </c>
      <c r="D308" s="4">
        <v>144.9</v>
      </c>
      <c r="E308" s="4">
        <v>202.3</v>
      </c>
      <c r="F308" s="4">
        <v>176.5</v>
      </c>
      <c r="G308" s="4">
        <v>157.5</v>
      </c>
      <c r="H308" s="4">
        <v>190.9</v>
      </c>
      <c r="I308" s="4">
        <v>155.69999999999999</v>
      </c>
      <c r="J308" s="4">
        <v>153.9</v>
      </c>
      <c r="K308" s="4">
        <v>162.80000000000001</v>
      </c>
      <c r="L308" s="4">
        <v>115.2</v>
      </c>
      <c r="M308" s="4">
        <v>169.8</v>
      </c>
      <c r="N308" s="4">
        <v>167.6</v>
      </c>
      <c r="O308" s="4">
        <v>171.9</v>
      </c>
      <c r="P308" s="4">
        <v>161.80000000000001</v>
      </c>
      <c r="Q308" s="4">
        <v>190.2</v>
      </c>
      <c r="R308" s="4">
        <v>167</v>
      </c>
      <c r="S308" s="4">
        <v>162.6</v>
      </c>
      <c r="T308" s="4">
        <v>166.3</v>
      </c>
      <c r="U308" s="4">
        <v>162.1</v>
      </c>
      <c r="V308" s="4">
        <v>163.1</v>
      </c>
      <c r="W308" s="4">
        <v>160.9</v>
      </c>
      <c r="X308" s="4">
        <v>171.1</v>
      </c>
      <c r="Y308" s="4">
        <v>157.69999999999999</v>
      </c>
      <c r="Z308" s="4">
        <v>161.1</v>
      </c>
      <c r="AA308" s="4">
        <v>167.5</v>
      </c>
      <c r="AB308" s="4">
        <v>160.30000000000001</v>
      </c>
      <c r="AC308" s="4">
        <v>163.30000000000001</v>
      </c>
      <c r="AD308" s="4">
        <v>163.6</v>
      </c>
    </row>
    <row r="309" spans="1:30">
      <c r="A309" s="5" t="s">
        <v>32</v>
      </c>
      <c r="B309" s="6">
        <v>2021</v>
      </c>
      <c r="C309" s="6" t="s">
        <v>40</v>
      </c>
      <c r="D309" s="6">
        <v>149.30000000000001</v>
      </c>
      <c r="E309" s="6">
        <v>207.4</v>
      </c>
      <c r="F309" s="6">
        <v>174.1</v>
      </c>
      <c r="G309" s="6">
        <v>159.19999999999999</v>
      </c>
      <c r="H309" s="6">
        <v>175</v>
      </c>
      <c r="I309" s="6">
        <v>161.30000000000001</v>
      </c>
      <c r="J309" s="6">
        <v>183.3</v>
      </c>
      <c r="K309" s="6">
        <v>164.5</v>
      </c>
      <c r="L309" s="6">
        <v>120.4</v>
      </c>
      <c r="M309" s="6">
        <v>166.2</v>
      </c>
      <c r="N309" s="6">
        <v>154.80000000000001</v>
      </c>
      <c r="O309" s="6">
        <v>175.1</v>
      </c>
      <c r="P309" s="6">
        <v>167.3</v>
      </c>
      <c r="Q309" s="6">
        <v>196.5</v>
      </c>
      <c r="R309" s="6">
        <v>159.80000000000001</v>
      </c>
      <c r="S309" s="6">
        <v>143.6</v>
      </c>
      <c r="T309" s="6">
        <v>157.30000000000001</v>
      </c>
      <c r="U309" s="6">
        <v>162.1</v>
      </c>
      <c r="V309" s="6">
        <v>160.69999999999999</v>
      </c>
      <c r="W309" s="6">
        <v>153.19999999999999</v>
      </c>
      <c r="X309" s="6">
        <v>162.80000000000001</v>
      </c>
      <c r="Y309" s="6">
        <v>150.4</v>
      </c>
      <c r="Z309" s="6">
        <v>153.69999999999999</v>
      </c>
      <c r="AA309" s="6">
        <v>160.4</v>
      </c>
      <c r="AB309" s="6">
        <v>159.6</v>
      </c>
      <c r="AC309" s="6">
        <v>156</v>
      </c>
      <c r="AD309" s="6">
        <v>162.30000000000001</v>
      </c>
    </row>
    <row r="310" spans="1:30">
      <c r="A310" s="3" t="s">
        <v>33</v>
      </c>
      <c r="B310" s="4">
        <v>2021</v>
      </c>
      <c r="C310" s="4" t="s">
        <v>40</v>
      </c>
      <c r="D310" s="4">
        <v>146.6</v>
      </c>
      <c r="E310" s="4">
        <v>204</v>
      </c>
      <c r="F310" s="4">
        <v>172.8</v>
      </c>
      <c r="G310" s="4">
        <v>158.4</v>
      </c>
      <c r="H310" s="4">
        <v>188</v>
      </c>
      <c r="I310" s="4">
        <v>156.80000000000001</v>
      </c>
      <c r="J310" s="4">
        <v>162.19999999999999</v>
      </c>
      <c r="K310" s="4">
        <v>164.1</v>
      </c>
      <c r="L310" s="4">
        <v>119.7</v>
      </c>
      <c r="M310" s="4">
        <v>168.8</v>
      </c>
      <c r="N310" s="4">
        <v>162.69999999999999</v>
      </c>
      <c r="O310" s="4">
        <v>173.9</v>
      </c>
      <c r="P310" s="4">
        <v>164</v>
      </c>
      <c r="Q310" s="4">
        <v>192.1</v>
      </c>
      <c r="R310" s="4">
        <v>164.5</v>
      </c>
      <c r="S310" s="4">
        <v>155.30000000000001</v>
      </c>
      <c r="T310" s="4">
        <v>163.19999999999999</v>
      </c>
      <c r="U310" s="4">
        <v>162.1</v>
      </c>
      <c r="V310" s="4">
        <v>162.6</v>
      </c>
      <c r="W310" s="4">
        <v>157.5</v>
      </c>
      <c r="X310" s="4">
        <v>168.4</v>
      </c>
      <c r="Y310" s="4">
        <v>154</v>
      </c>
      <c r="Z310" s="4">
        <v>157.6</v>
      </c>
      <c r="AA310" s="4">
        <v>163.80000000000001</v>
      </c>
      <c r="AB310" s="4">
        <v>160</v>
      </c>
      <c r="AC310" s="4">
        <v>160</v>
      </c>
      <c r="AD310" s="4">
        <v>163.19999999999999</v>
      </c>
    </row>
    <row r="311" spans="1:30">
      <c r="A311" s="5" t="s">
        <v>30</v>
      </c>
      <c r="B311" s="6">
        <v>2021</v>
      </c>
      <c r="C311" s="6" t="s">
        <v>41</v>
      </c>
      <c r="D311" s="6">
        <v>145.4</v>
      </c>
      <c r="E311" s="6">
        <v>202.1</v>
      </c>
      <c r="F311" s="6">
        <v>172</v>
      </c>
      <c r="G311" s="6">
        <v>158</v>
      </c>
      <c r="H311" s="6">
        <v>195.5</v>
      </c>
      <c r="I311" s="6">
        <v>152.69999999999999</v>
      </c>
      <c r="J311" s="6">
        <v>151.4</v>
      </c>
      <c r="K311" s="6">
        <v>163.9</v>
      </c>
      <c r="L311" s="6">
        <v>119.3</v>
      </c>
      <c r="M311" s="6">
        <v>170.1</v>
      </c>
      <c r="N311" s="6">
        <v>168.3</v>
      </c>
      <c r="O311" s="6">
        <v>172.8</v>
      </c>
      <c r="P311" s="6">
        <v>162.1</v>
      </c>
      <c r="Q311" s="6">
        <v>190.5</v>
      </c>
      <c r="R311" s="6">
        <v>167.7</v>
      </c>
      <c r="S311" s="6">
        <v>163.6</v>
      </c>
      <c r="T311" s="6">
        <v>167.1</v>
      </c>
      <c r="U311" s="6">
        <v>162.1</v>
      </c>
      <c r="V311" s="6">
        <v>163.69999999999999</v>
      </c>
      <c r="W311" s="6">
        <v>161.30000000000001</v>
      </c>
      <c r="X311" s="6">
        <v>171.9</v>
      </c>
      <c r="Y311" s="6">
        <v>157.80000000000001</v>
      </c>
      <c r="Z311" s="6">
        <v>162.69999999999999</v>
      </c>
      <c r="AA311" s="6">
        <v>168.5</v>
      </c>
      <c r="AB311" s="6">
        <v>160.19999999999999</v>
      </c>
      <c r="AC311" s="6">
        <v>163.80000000000001</v>
      </c>
      <c r="AD311" s="6">
        <v>164</v>
      </c>
    </row>
    <row r="312" spans="1:30">
      <c r="A312" s="3" t="s">
        <v>32</v>
      </c>
      <c r="B312" s="4">
        <v>2021</v>
      </c>
      <c r="C312" s="4" t="s">
        <v>41</v>
      </c>
      <c r="D312" s="4">
        <v>149.30000000000001</v>
      </c>
      <c r="E312" s="4">
        <v>207.4</v>
      </c>
      <c r="F312" s="4">
        <v>174.1</v>
      </c>
      <c r="G312" s="4">
        <v>159.1</v>
      </c>
      <c r="H312" s="4">
        <v>175</v>
      </c>
      <c r="I312" s="4">
        <v>161.19999999999999</v>
      </c>
      <c r="J312" s="4">
        <v>183.5</v>
      </c>
      <c r="K312" s="4">
        <v>164.5</v>
      </c>
      <c r="L312" s="4">
        <v>120.4</v>
      </c>
      <c r="M312" s="4">
        <v>166.2</v>
      </c>
      <c r="N312" s="4">
        <v>154.80000000000001</v>
      </c>
      <c r="O312" s="4">
        <v>175.1</v>
      </c>
      <c r="P312" s="4">
        <v>167.3</v>
      </c>
      <c r="Q312" s="4">
        <v>196.5</v>
      </c>
      <c r="R312" s="4">
        <v>159.80000000000001</v>
      </c>
      <c r="S312" s="4">
        <v>143.6</v>
      </c>
      <c r="T312" s="4">
        <v>157.4</v>
      </c>
      <c r="U312" s="4">
        <v>162.1</v>
      </c>
      <c r="V312" s="4">
        <v>160.80000000000001</v>
      </c>
      <c r="W312" s="4">
        <v>153.30000000000001</v>
      </c>
      <c r="X312" s="4">
        <v>162.80000000000001</v>
      </c>
      <c r="Y312" s="4">
        <v>150.5</v>
      </c>
      <c r="Z312" s="4">
        <v>153.9</v>
      </c>
      <c r="AA312" s="4">
        <v>160.30000000000001</v>
      </c>
      <c r="AB312" s="4">
        <v>159.6</v>
      </c>
      <c r="AC312" s="4">
        <v>156</v>
      </c>
      <c r="AD312" s="4">
        <v>162.30000000000001</v>
      </c>
    </row>
    <row r="313" spans="1:30">
      <c r="A313" s="5" t="s">
        <v>33</v>
      </c>
      <c r="B313" s="6">
        <v>2021</v>
      </c>
      <c r="C313" s="6" t="s">
        <v>41</v>
      </c>
      <c r="D313" s="6">
        <v>146.6</v>
      </c>
      <c r="E313" s="6">
        <v>204</v>
      </c>
      <c r="F313" s="6">
        <v>172.8</v>
      </c>
      <c r="G313" s="6">
        <v>158.4</v>
      </c>
      <c r="H313" s="6">
        <v>188</v>
      </c>
      <c r="I313" s="6">
        <v>156.69999999999999</v>
      </c>
      <c r="J313" s="6">
        <v>162.30000000000001</v>
      </c>
      <c r="K313" s="6">
        <v>164.1</v>
      </c>
      <c r="L313" s="6">
        <v>119.7</v>
      </c>
      <c r="M313" s="6">
        <v>168.8</v>
      </c>
      <c r="N313" s="6">
        <v>162.69999999999999</v>
      </c>
      <c r="O313" s="6">
        <v>173.9</v>
      </c>
      <c r="P313" s="6">
        <v>164</v>
      </c>
      <c r="Q313" s="6">
        <v>192.1</v>
      </c>
      <c r="R313" s="6">
        <v>164.6</v>
      </c>
      <c r="S313" s="6">
        <v>155.30000000000001</v>
      </c>
      <c r="T313" s="6">
        <v>163.30000000000001</v>
      </c>
      <c r="U313" s="6">
        <v>162.1</v>
      </c>
      <c r="V313" s="6">
        <v>162.6</v>
      </c>
      <c r="W313" s="6">
        <v>157.5</v>
      </c>
      <c r="X313" s="6">
        <v>168.4</v>
      </c>
      <c r="Y313" s="6">
        <v>154</v>
      </c>
      <c r="Z313" s="6">
        <v>157.69999999999999</v>
      </c>
      <c r="AA313" s="6">
        <v>163.69999999999999</v>
      </c>
      <c r="AB313" s="6">
        <v>160</v>
      </c>
      <c r="AC313" s="6">
        <v>160</v>
      </c>
      <c r="AD313" s="6">
        <v>163.19999999999999</v>
      </c>
    </row>
    <row r="314" spans="1:30">
      <c r="A314" s="3" t="s">
        <v>30</v>
      </c>
      <c r="B314" s="4">
        <v>2021</v>
      </c>
      <c r="C314" s="4" t="s">
        <v>42</v>
      </c>
      <c r="D314" s="4">
        <v>146.1</v>
      </c>
      <c r="E314" s="4">
        <v>202.5</v>
      </c>
      <c r="F314" s="4">
        <v>170.1</v>
      </c>
      <c r="G314" s="4">
        <v>158.4</v>
      </c>
      <c r="H314" s="4">
        <v>198.8</v>
      </c>
      <c r="I314" s="4">
        <v>152.6</v>
      </c>
      <c r="J314" s="4">
        <v>170.4</v>
      </c>
      <c r="K314" s="4">
        <v>165.2</v>
      </c>
      <c r="L314" s="4">
        <v>121.6</v>
      </c>
      <c r="M314" s="4">
        <v>170.6</v>
      </c>
      <c r="N314" s="4">
        <v>168.8</v>
      </c>
      <c r="O314" s="4">
        <v>173.6</v>
      </c>
      <c r="P314" s="4">
        <v>165.5</v>
      </c>
      <c r="Q314" s="4">
        <v>191.2</v>
      </c>
      <c r="R314" s="4">
        <v>168.9</v>
      </c>
      <c r="S314" s="4">
        <v>164.8</v>
      </c>
      <c r="T314" s="4">
        <v>168.3</v>
      </c>
      <c r="U314" s="4">
        <v>163.89999999999998</v>
      </c>
      <c r="V314" s="4">
        <v>165.5</v>
      </c>
      <c r="W314" s="4">
        <v>162</v>
      </c>
      <c r="X314" s="4">
        <v>172.5</v>
      </c>
      <c r="Y314" s="4">
        <v>159.5</v>
      </c>
      <c r="Z314" s="4">
        <v>163.19999999999999</v>
      </c>
      <c r="AA314" s="4">
        <v>169</v>
      </c>
      <c r="AB314" s="4">
        <v>161.1</v>
      </c>
      <c r="AC314" s="4">
        <v>164.7</v>
      </c>
      <c r="AD314" s="4">
        <v>166.3</v>
      </c>
    </row>
    <row r="315" spans="1:30">
      <c r="A315" s="5" t="s">
        <v>32</v>
      </c>
      <c r="B315" s="6">
        <v>2021</v>
      </c>
      <c r="C315" s="6" t="s">
        <v>42</v>
      </c>
      <c r="D315" s="6">
        <v>150.1</v>
      </c>
      <c r="E315" s="6">
        <v>208.4</v>
      </c>
      <c r="F315" s="6">
        <v>173</v>
      </c>
      <c r="G315" s="6">
        <v>159.19999999999999</v>
      </c>
      <c r="H315" s="6">
        <v>176.6</v>
      </c>
      <c r="I315" s="6">
        <v>159.30000000000001</v>
      </c>
      <c r="J315" s="6">
        <v>214.4</v>
      </c>
      <c r="K315" s="6">
        <v>165.3</v>
      </c>
      <c r="L315" s="6">
        <v>122.5</v>
      </c>
      <c r="M315" s="6">
        <v>166.8</v>
      </c>
      <c r="N315" s="6">
        <v>155.4</v>
      </c>
      <c r="O315" s="6">
        <v>175.9</v>
      </c>
      <c r="P315" s="6">
        <v>171.5</v>
      </c>
      <c r="Q315" s="6">
        <v>197</v>
      </c>
      <c r="R315" s="6">
        <v>160.80000000000001</v>
      </c>
      <c r="S315" s="6">
        <v>144.4</v>
      </c>
      <c r="T315" s="6">
        <v>158.30000000000001</v>
      </c>
      <c r="U315" s="6">
        <v>163.6</v>
      </c>
      <c r="V315" s="6">
        <v>162.19999999999999</v>
      </c>
      <c r="W315" s="6">
        <v>154.30000000000001</v>
      </c>
      <c r="X315" s="6">
        <v>163.5</v>
      </c>
      <c r="Y315" s="6">
        <v>152.19999999999999</v>
      </c>
      <c r="Z315" s="6">
        <v>155.1</v>
      </c>
      <c r="AA315" s="6">
        <v>160.30000000000001</v>
      </c>
      <c r="AB315" s="6">
        <v>160.30000000000001</v>
      </c>
      <c r="AC315" s="6">
        <v>157</v>
      </c>
      <c r="AD315" s="6">
        <v>164.6</v>
      </c>
    </row>
    <row r="316" spans="1:30">
      <c r="A316" s="3" t="s">
        <v>33</v>
      </c>
      <c r="B316" s="4">
        <v>2021</v>
      </c>
      <c r="C316" s="4" t="s">
        <v>42</v>
      </c>
      <c r="D316" s="4">
        <v>147.4</v>
      </c>
      <c r="E316" s="4">
        <v>204.6</v>
      </c>
      <c r="F316" s="4">
        <v>171.2</v>
      </c>
      <c r="G316" s="4">
        <v>158.69999999999999</v>
      </c>
      <c r="H316" s="4">
        <v>190.6</v>
      </c>
      <c r="I316" s="4">
        <v>155.69999999999999</v>
      </c>
      <c r="J316" s="4">
        <v>185.3</v>
      </c>
      <c r="K316" s="4">
        <v>165.2</v>
      </c>
      <c r="L316" s="4">
        <v>121.9</v>
      </c>
      <c r="M316" s="4">
        <v>169.3</v>
      </c>
      <c r="N316" s="4">
        <v>163.19999999999999</v>
      </c>
      <c r="O316" s="4">
        <v>174.7</v>
      </c>
      <c r="P316" s="4">
        <v>167.7</v>
      </c>
      <c r="Q316" s="4">
        <v>192.7</v>
      </c>
      <c r="R316" s="4">
        <v>165.7</v>
      </c>
      <c r="S316" s="4">
        <v>156.30000000000001</v>
      </c>
      <c r="T316" s="4">
        <v>164.3</v>
      </c>
      <c r="U316" s="4">
        <v>163.6</v>
      </c>
      <c r="V316" s="4">
        <v>164.2</v>
      </c>
      <c r="W316" s="4">
        <v>158.4</v>
      </c>
      <c r="X316" s="4">
        <v>169.1</v>
      </c>
      <c r="Y316" s="4">
        <v>155.69999999999999</v>
      </c>
      <c r="Z316" s="4">
        <v>158.6</v>
      </c>
      <c r="AA316" s="4">
        <v>163.9</v>
      </c>
      <c r="AB316" s="4">
        <v>160.80000000000001</v>
      </c>
      <c r="AC316" s="4">
        <v>161</v>
      </c>
      <c r="AD316" s="4">
        <v>165.5</v>
      </c>
    </row>
    <row r="317" spans="1:30">
      <c r="A317" s="5" t="s">
        <v>30</v>
      </c>
      <c r="B317" s="6">
        <v>2021</v>
      </c>
      <c r="C317" s="6" t="s">
        <v>43</v>
      </c>
      <c r="D317" s="6">
        <v>146.9</v>
      </c>
      <c r="E317" s="6">
        <v>199.8</v>
      </c>
      <c r="F317" s="6">
        <v>171.5</v>
      </c>
      <c r="G317" s="6">
        <v>159.1</v>
      </c>
      <c r="H317" s="6">
        <v>198.4</v>
      </c>
      <c r="I317" s="6">
        <v>153.19999999999999</v>
      </c>
      <c r="J317" s="6">
        <v>183.9</v>
      </c>
      <c r="K317" s="6">
        <v>165.4</v>
      </c>
      <c r="L317" s="6">
        <v>122.1</v>
      </c>
      <c r="M317" s="6">
        <v>170.8</v>
      </c>
      <c r="N317" s="6">
        <v>169.1</v>
      </c>
      <c r="O317" s="6">
        <v>174.3</v>
      </c>
      <c r="P317" s="6">
        <v>167.5</v>
      </c>
      <c r="Q317" s="6">
        <v>191.4</v>
      </c>
      <c r="R317" s="6">
        <v>170.4</v>
      </c>
      <c r="S317" s="6">
        <v>166</v>
      </c>
      <c r="T317" s="6">
        <v>169.8</v>
      </c>
      <c r="U317" s="6">
        <v>163.9</v>
      </c>
      <c r="V317" s="6">
        <v>165.3</v>
      </c>
      <c r="W317" s="6">
        <v>162.9</v>
      </c>
      <c r="X317" s="6">
        <v>173.4</v>
      </c>
      <c r="Y317" s="6">
        <v>158.9</v>
      </c>
      <c r="Z317" s="6">
        <v>163.80000000000001</v>
      </c>
      <c r="AA317" s="6">
        <v>169.3</v>
      </c>
      <c r="AB317" s="6">
        <v>162.4</v>
      </c>
      <c r="AC317" s="6">
        <v>165.2</v>
      </c>
      <c r="AD317" s="6">
        <v>167.6</v>
      </c>
    </row>
    <row r="318" spans="1:30">
      <c r="A318" s="3" t="s">
        <v>32</v>
      </c>
      <c r="B318" s="4">
        <v>2021</v>
      </c>
      <c r="C318" s="4" t="s">
        <v>43</v>
      </c>
      <c r="D318" s="4">
        <v>151</v>
      </c>
      <c r="E318" s="4">
        <v>204.9</v>
      </c>
      <c r="F318" s="4">
        <v>175.4</v>
      </c>
      <c r="G318" s="4">
        <v>159.6</v>
      </c>
      <c r="H318" s="4">
        <v>175.8</v>
      </c>
      <c r="I318" s="4">
        <v>160.30000000000001</v>
      </c>
      <c r="J318" s="4">
        <v>229.1</v>
      </c>
      <c r="K318" s="4">
        <v>165.1</v>
      </c>
      <c r="L318" s="4">
        <v>123.1</v>
      </c>
      <c r="M318" s="4">
        <v>167.2</v>
      </c>
      <c r="N318" s="4">
        <v>156.1</v>
      </c>
      <c r="O318" s="4">
        <v>176.8</v>
      </c>
      <c r="P318" s="4">
        <v>173.5</v>
      </c>
      <c r="Q318" s="4">
        <v>197</v>
      </c>
      <c r="R318" s="4">
        <v>162.30000000000001</v>
      </c>
      <c r="S318" s="4">
        <v>145.30000000000001</v>
      </c>
      <c r="T318" s="4">
        <v>159.69999999999999</v>
      </c>
      <c r="U318" s="4">
        <v>164.2</v>
      </c>
      <c r="V318" s="4">
        <v>161.6</v>
      </c>
      <c r="W318" s="4">
        <v>155.19999999999999</v>
      </c>
      <c r="X318" s="4">
        <v>164.2</v>
      </c>
      <c r="Y318" s="4">
        <v>151.19999999999999</v>
      </c>
      <c r="Z318" s="4">
        <v>156.69999999999999</v>
      </c>
      <c r="AA318" s="4">
        <v>160.80000000000001</v>
      </c>
      <c r="AB318" s="4">
        <v>161.80000000000001</v>
      </c>
      <c r="AC318" s="4">
        <v>157.30000000000001</v>
      </c>
      <c r="AD318" s="4">
        <v>165.6</v>
      </c>
    </row>
    <row r="319" spans="1:30">
      <c r="A319" s="5" t="s">
        <v>33</v>
      </c>
      <c r="B319" s="6">
        <v>2021</v>
      </c>
      <c r="C319" s="6" t="s">
        <v>43</v>
      </c>
      <c r="D319" s="6">
        <v>148.19999999999999</v>
      </c>
      <c r="E319" s="6">
        <v>201.6</v>
      </c>
      <c r="F319" s="6">
        <v>173</v>
      </c>
      <c r="G319" s="6">
        <v>159.30000000000001</v>
      </c>
      <c r="H319" s="6">
        <v>190.1</v>
      </c>
      <c r="I319" s="6">
        <v>156.5</v>
      </c>
      <c r="J319" s="6">
        <v>199.2</v>
      </c>
      <c r="K319" s="6">
        <v>165.3</v>
      </c>
      <c r="L319" s="6">
        <v>122.4</v>
      </c>
      <c r="M319" s="6">
        <v>169.6</v>
      </c>
      <c r="N319" s="6">
        <v>163.69999999999999</v>
      </c>
      <c r="O319" s="6">
        <v>175.5</v>
      </c>
      <c r="P319" s="6">
        <v>169.7</v>
      </c>
      <c r="Q319" s="6">
        <v>192.9</v>
      </c>
      <c r="R319" s="6">
        <v>167.2</v>
      </c>
      <c r="S319" s="6">
        <v>157.4</v>
      </c>
      <c r="T319" s="6">
        <v>165.8</v>
      </c>
      <c r="U319" s="6">
        <v>164.2</v>
      </c>
      <c r="V319" s="6">
        <v>163.9</v>
      </c>
      <c r="W319" s="6">
        <v>159.30000000000001</v>
      </c>
      <c r="X319" s="6">
        <v>169.9</v>
      </c>
      <c r="Y319" s="6">
        <v>154.80000000000001</v>
      </c>
      <c r="Z319" s="6">
        <v>159.80000000000001</v>
      </c>
      <c r="AA319" s="6">
        <v>164.3</v>
      </c>
      <c r="AB319" s="6">
        <v>162.19999999999999</v>
      </c>
      <c r="AC319" s="6">
        <v>161.4</v>
      </c>
      <c r="AD319" s="6">
        <v>166.7</v>
      </c>
    </row>
    <row r="320" spans="1:30">
      <c r="A320" s="3" t="s">
        <v>30</v>
      </c>
      <c r="B320" s="4">
        <v>2021</v>
      </c>
      <c r="C320" s="4" t="s">
        <v>44</v>
      </c>
      <c r="D320" s="4">
        <v>147.4</v>
      </c>
      <c r="E320" s="4">
        <v>197</v>
      </c>
      <c r="F320" s="4">
        <v>176.5</v>
      </c>
      <c r="G320" s="4">
        <v>159.80000000000001</v>
      </c>
      <c r="H320" s="4">
        <v>195.8</v>
      </c>
      <c r="I320" s="4">
        <v>152</v>
      </c>
      <c r="J320" s="4">
        <v>172.3</v>
      </c>
      <c r="K320" s="4">
        <v>164.5</v>
      </c>
      <c r="L320" s="4">
        <v>120.6</v>
      </c>
      <c r="M320" s="4">
        <v>171.7</v>
      </c>
      <c r="N320" s="4">
        <v>169.7</v>
      </c>
      <c r="O320" s="4">
        <v>175.1</v>
      </c>
      <c r="P320" s="4">
        <v>165.8</v>
      </c>
      <c r="Q320" s="4">
        <v>190.8</v>
      </c>
      <c r="R320" s="4">
        <v>171.8</v>
      </c>
      <c r="S320" s="4">
        <v>167.3</v>
      </c>
      <c r="T320" s="4">
        <v>171.2</v>
      </c>
      <c r="U320" s="4">
        <v>163.95</v>
      </c>
      <c r="V320" s="4">
        <v>165.6</v>
      </c>
      <c r="W320" s="4">
        <v>163.9</v>
      </c>
      <c r="X320" s="4">
        <v>174</v>
      </c>
      <c r="Y320" s="4">
        <v>160.1</v>
      </c>
      <c r="Z320" s="4">
        <v>164.5</v>
      </c>
      <c r="AA320" s="4">
        <v>169.7</v>
      </c>
      <c r="AB320" s="4">
        <v>162.80000000000001</v>
      </c>
      <c r="AC320" s="4">
        <v>166</v>
      </c>
      <c r="AD320" s="4">
        <v>167</v>
      </c>
    </row>
    <row r="321" spans="1:30">
      <c r="A321" s="5" t="s">
        <v>32</v>
      </c>
      <c r="B321" s="6">
        <v>2021</v>
      </c>
      <c r="C321" s="6" t="s">
        <v>44</v>
      </c>
      <c r="D321" s="6">
        <v>151.6</v>
      </c>
      <c r="E321" s="6">
        <v>202.2</v>
      </c>
      <c r="F321" s="6">
        <v>180</v>
      </c>
      <c r="G321" s="6">
        <v>160</v>
      </c>
      <c r="H321" s="6">
        <v>173.5</v>
      </c>
      <c r="I321" s="6">
        <v>158.30000000000001</v>
      </c>
      <c r="J321" s="6">
        <v>219.5</v>
      </c>
      <c r="K321" s="6">
        <v>164.2</v>
      </c>
      <c r="L321" s="6">
        <v>121.9</v>
      </c>
      <c r="M321" s="6">
        <v>168.2</v>
      </c>
      <c r="N321" s="6">
        <v>156.5</v>
      </c>
      <c r="O321" s="6">
        <v>178.2</v>
      </c>
      <c r="P321" s="6">
        <v>172.2</v>
      </c>
      <c r="Q321" s="6">
        <v>196.8</v>
      </c>
      <c r="R321" s="6">
        <v>163.30000000000001</v>
      </c>
      <c r="S321" s="6">
        <v>146.69999999999999</v>
      </c>
      <c r="T321" s="6">
        <v>160.69999999999999</v>
      </c>
      <c r="U321" s="6">
        <v>163.4</v>
      </c>
      <c r="V321" s="6">
        <v>161.69999999999999</v>
      </c>
      <c r="W321" s="6">
        <v>156</v>
      </c>
      <c r="X321" s="6">
        <v>165.1</v>
      </c>
      <c r="Y321" s="6">
        <v>151.80000000000001</v>
      </c>
      <c r="Z321" s="6">
        <v>157.6</v>
      </c>
      <c r="AA321" s="6">
        <v>160.6</v>
      </c>
      <c r="AB321" s="6">
        <v>162.4</v>
      </c>
      <c r="AC321" s="6">
        <v>157.80000000000001</v>
      </c>
      <c r="AD321" s="6">
        <v>165.2</v>
      </c>
    </row>
    <row r="322" spans="1:30">
      <c r="A322" s="3" t="s">
        <v>33</v>
      </c>
      <c r="B322" s="4">
        <v>2021</v>
      </c>
      <c r="C322" s="4" t="s">
        <v>44</v>
      </c>
      <c r="D322" s="4">
        <v>148.69999999999999</v>
      </c>
      <c r="E322" s="4">
        <v>198.8</v>
      </c>
      <c r="F322" s="4">
        <v>177.9</v>
      </c>
      <c r="G322" s="4">
        <v>159.9</v>
      </c>
      <c r="H322" s="4">
        <v>187.6</v>
      </c>
      <c r="I322" s="4">
        <v>154.9</v>
      </c>
      <c r="J322" s="4">
        <v>188.3</v>
      </c>
      <c r="K322" s="4">
        <v>164.4</v>
      </c>
      <c r="L322" s="4">
        <v>121</v>
      </c>
      <c r="M322" s="4">
        <v>170.5</v>
      </c>
      <c r="N322" s="4">
        <v>164.2</v>
      </c>
      <c r="O322" s="4">
        <v>176.5</v>
      </c>
      <c r="P322" s="4">
        <v>168.2</v>
      </c>
      <c r="Q322" s="4">
        <v>192.4</v>
      </c>
      <c r="R322" s="4">
        <v>168.5</v>
      </c>
      <c r="S322" s="4">
        <v>158.69999999999999</v>
      </c>
      <c r="T322" s="4">
        <v>167</v>
      </c>
      <c r="U322" s="4">
        <v>163.4</v>
      </c>
      <c r="V322" s="4">
        <v>164.1</v>
      </c>
      <c r="W322" s="4">
        <v>160.19999999999999</v>
      </c>
      <c r="X322" s="4">
        <v>170.6</v>
      </c>
      <c r="Y322" s="4">
        <v>155.69999999999999</v>
      </c>
      <c r="Z322" s="4">
        <v>160.6</v>
      </c>
      <c r="AA322" s="4">
        <v>164.4</v>
      </c>
      <c r="AB322" s="4">
        <v>162.6</v>
      </c>
      <c r="AC322" s="4">
        <v>162</v>
      </c>
      <c r="AD322" s="4">
        <v>166.2</v>
      </c>
    </row>
    <row r="323" spans="1:30">
      <c r="A323" s="5" t="s">
        <v>30</v>
      </c>
      <c r="B323" s="6">
        <v>2022</v>
      </c>
      <c r="C323" s="6" t="s">
        <v>31</v>
      </c>
      <c r="D323" s="6">
        <v>148.30000000000001</v>
      </c>
      <c r="E323" s="6">
        <v>196.9</v>
      </c>
      <c r="F323" s="6">
        <v>178</v>
      </c>
      <c r="G323" s="6">
        <v>160.5</v>
      </c>
      <c r="H323" s="6">
        <v>192.6</v>
      </c>
      <c r="I323" s="6">
        <v>151.19999999999999</v>
      </c>
      <c r="J323" s="6">
        <v>159.19999999999999</v>
      </c>
      <c r="K323" s="6">
        <v>164</v>
      </c>
      <c r="L323" s="6">
        <v>119.3</v>
      </c>
      <c r="M323" s="6">
        <v>173.3</v>
      </c>
      <c r="N323" s="6">
        <v>169.8</v>
      </c>
      <c r="O323" s="6">
        <v>175.8</v>
      </c>
      <c r="P323" s="6">
        <v>164.1</v>
      </c>
      <c r="Q323" s="6">
        <v>190.7</v>
      </c>
      <c r="R323" s="6">
        <v>173.2</v>
      </c>
      <c r="S323" s="6">
        <v>169.3</v>
      </c>
      <c r="T323" s="6">
        <v>172.7</v>
      </c>
      <c r="U323" s="6">
        <v>163.95</v>
      </c>
      <c r="V323" s="6">
        <v>165.8</v>
      </c>
      <c r="W323" s="6">
        <v>164.9</v>
      </c>
      <c r="X323" s="6">
        <v>174.7</v>
      </c>
      <c r="Y323" s="6">
        <v>160.80000000000001</v>
      </c>
      <c r="Z323" s="6">
        <v>164.9</v>
      </c>
      <c r="AA323" s="6">
        <v>169.9</v>
      </c>
      <c r="AB323" s="6">
        <v>163.19999999999999</v>
      </c>
      <c r="AC323" s="6">
        <v>166.6</v>
      </c>
      <c r="AD323" s="6">
        <v>166.4</v>
      </c>
    </row>
    <row r="324" spans="1:30">
      <c r="A324" s="3" t="s">
        <v>32</v>
      </c>
      <c r="B324" s="4">
        <v>2022</v>
      </c>
      <c r="C324" s="4" t="s">
        <v>31</v>
      </c>
      <c r="D324" s="4">
        <v>152.19999999999999</v>
      </c>
      <c r="E324" s="4">
        <v>202.1</v>
      </c>
      <c r="F324" s="4">
        <v>180.1</v>
      </c>
      <c r="G324" s="4">
        <v>160.4</v>
      </c>
      <c r="H324" s="4">
        <v>171</v>
      </c>
      <c r="I324" s="4">
        <v>156.5</v>
      </c>
      <c r="J324" s="4">
        <v>203.6</v>
      </c>
      <c r="K324" s="4">
        <v>163.80000000000001</v>
      </c>
      <c r="L324" s="4">
        <v>121.3</v>
      </c>
      <c r="M324" s="4">
        <v>169.8</v>
      </c>
      <c r="N324" s="4">
        <v>156.6</v>
      </c>
      <c r="O324" s="4">
        <v>179</v>
      </c>
      <c r="P324" s="4">
        <v>170.3</v>
      </c>
      <c r="Q324" s="4">
        <v>196.4</v>
      </c>
      <c r="R324" s="4">
        <v>164.7</v>
      </c>
      <c r="S324" s="4">
        <v>148.5</v>
      </c>
      <c r="T324" s="4">
        <v>162.19999999999999</v>
      </c>
      <c r="U324" s="4">
        <v>164.5</v>
      </c>
      <c r="V324" s="4">
        <v>161.6</v>
      </c>
      <c r="W324" s="4">
        <v>156.80000000000001</v>
      </c>
      <c r="X324" s="4">
        <v>166.1</v>
      </c>
      <c r="Y324" s="4">
        <v>152.69999999999999</v>
      </c>
      <c r="Z324" s="4">
        <v>158.4</v>
      </c>
      <c r="AA324" s="4">
        <v>161</v>
      </c>
      <c r="AB324" s="4">
        <v>162.80000000000001</v>
      </c>
      <c r="AC324" s="4">
        <v>158.6</v>
      </c>
      <c r="AD324" s="4">
        <v>165</v>
      </c>
    </row>
    <row r="325" spans="1:30">
      <c r="A325" s="5" t="s">
        <v>33</v>
      </c>
      <c r="B325" s="6">
        <v>2022</v>
      </c>
      <c r="C325" s="6" t="s">
        <v>31</v>
      </c>
      <c r="D325" s="6">
        <v>149.5</v>
      </c>
      <c r="E325" s="6">
        <v>198.7</v>
      </c>
      <c r="F325" s="6">
        <v>178.8</v>
      </c>
      <c r="G325" s="6">
        <v>160.5</v>
      </c>
      <c r="H325" s="6">
        <v>184.7</v>
      </c>
      <c r="I325" s="6">
        <v>153.69999999999999</v>
      </c>
      <c r="J325" s="6">
        <v>174.3</v>
      </c>
      <c r="K325" s="6">
        <v>163.9</v>
      </c>
      <c r="L325" s="6">
        <v>120</v>
      </c>
      <c r="M325" s="6">
        <v>172.1</v>
      </c>
      <c r="N325" s="6">
        <v>164.3</v>
      </c>
      <c r="O325" s="6">
        <v>177.3</v>
      </c>
      <c r="P325" s="6">
        <v>166.4</v>
      </c>
      <c r="Q325" s="6">
        <v>192.2</v>
      </c>
      <c r="R325" s="6">
        <v>169.9</v>
      </c>
      <c r="S325" s="6">
        <v>160.69999999999999</v>
      </c>
      <c r="T325" s="6">
        <v>168.5</v>
      </c>
      <c r="U325" s="6">
        <v>164.5</v>
      </c>
      <c r="V325" s="6">
        <v>164.2</v>
      </c>
      <c r="W325" s="6">
        <v>161.1</v>
      </c>
      <c r="X325" s="6">
        <v>171.4</v>
      </c>
      <c r="Y325" s="6">
        <v>156.5</v>
      </c>
      <c r="Z325" s="6">
        <v>161.19999999999999</v>
      </c>
      <c r="AA325" s="6">
        <v>164.7</v>
      </c>
      <c r="AB325" s="6">
        <v>163</v>
      </c>
      <c r="AC325" s="6">
        <v>162.69999999999999</v>
      </c>
      <c r="AD325" s="6">
        <v>165.7</v>
      </c>
    </row>
    <row r="326" spans="1:30">
      <c r="A326" s="3" t="s">
        <v>30</v>
      </c>
      <c r="B326" s="4">
        <v>2022</v>
      </c>
      <c r="C326" s="4" t="s">
        <v>34</v>
      </c>
      <c r="D326" s="4">
        <v>148.80000000000001</v>
      </c>
      <c r="E326" s="4">
        <v>198.1</v>
      </c>
      <c r="F326" s="4">
        <v>175.5</v>
      </c>
      <c r="G326" s="4">
        <v>160.69999999999999</v>
      </c>
      <c r="H326" s="4">
        <v>192.6</v>
      </c>
      <c r="I326" s="4">
        <v>151.4</v>
      </c>
      <c r="J326" s="4">
        <v>155.19999999999999</v>
      </c>
      <c r="K326" s="4">
        <v>163.9</v>
      </c>
      <c r="L326" s="4">
        <v>118.1</v>
      </c>
      <c r="M326" s="4">
        <v>175.4</v>
      </c>
      <c r="N326" s="4">
        <v>170.5</v>
      </c>
      <c r="O326" s="4">
        <v>176.3</v>
      </c>
      <c r="P326" s="4">
        <v>163.9</v>
      </c>
      <c r="Q326" s="4">
        <v>191.5</v>
      </c>
      <c r="R326" s="4">
        <v>174.1</v>
      </c>
      <c r="S326" s="4">
        <v>171</v>
      </c>
      <c r="T326" s="4">
        <v>173.7</v>
      </c>
      <c r="U326" s="4">
        <v>165.4</v>
      </c>
      <c r="V326" s="4">
        <v>167.4</v>
      </c>
      <c r="W326" s="4">
        <v>165.7</v>
      </c>
      <c r="X326" s="4">
        <v>175.3</v>
      </c>
      <c r="Y326" s="4">
        <v>161.19999999999999</v>
      </c>
      <c r="Z326" s="4">
        <v>165.5</v>
      </c>
      <c r="AA326" s="4">
        <v>170.3</v>
      </c>
      <c r="AB326" s="4">
        <v>164.5</v>
      </c>
      <c r="AC326" s="4">
        <v>167.3</v>
      </c>
      <c r="AD326" s="4">
        <v>166.7</v>
      </c>
    </row>
    <row r="327" spans="1:30">
      <c r="A327" s="5" t="s">
        <v>32</v>
      </c>
      <c r="B327" s="6">
        <v>2022</v>
      </c>
      <c r="C327" s="6" t="s">
        <v>34</v>
      </c>
      <c r="D327" s="6">
        <v>152.5</v>
      </c>
      <c r="E327" s="6">
        <v>205.2</v>
      </c>
      <c r="F327" s="6">
        <v>176.4</v>
      </c>
      <c r="G327" s="6">
        <v>160.6</v>
      </c>
      <c r="H327" s="6">
        <v>171.5</v>
      </c>
      <c r="I327" s="6">
        <v>156.4</v>
      </c>
      <c r="J327" s="6">
        <v>198</v>
      </c>
      <c r="K327" s="6">
        <v>163.19999999999999</v>
      </c>
      <c r="L327" s="6">
        <v>120.6</v>
      </c>
      <c r="M327" s="6">
        <v>172.2</v>
      </c>
      <c r="N327" s="6">
        <v>156.69999999999999</v>
      </c>
      <c r="O327" s="6">
        <v>180</v>
      </c>
      <c r="P327" s="6">
        <v>170.2</v>
      </c>
      <c r="Q327" s="6">
        <v>196.5</v>
      </c>
      <c r="R327" s="6">
        <v>165.7</v>
      </c>
      <c r="S327" s="6">
        <v>150.4</v>
      </c>
      <c r="T327" s="6">
        <v>163.4</v>
      </c>
      <c r="U327" s="6">
        <v>165.5</v>
      </c>
      <c r="V327" s="6">
        <v>163</v>
      </c>
      <c r="W327" s="6">
        <v>157.4</v>
      </c>
      <c r="X327" s="6">
        <v>167.2</v>
      </c>
      <c r="Y327" s="6">
        <v>153.1</v>
      </c>
      <c r="Z327" s="6">
        <v>159.5</v>
      </c>
      <c r="AA327" s="6">
        <v>162</v>
      </c>
      <c r="AB327" s="6">
        <v>164.2</v>
      </c>
      <c r="AC327" s="6">
        <v>159.4</v>
      </c>
      <c r="AD327" s="6">
        <v>165.5</v>
      </c>
    </row>
    <row r="328" spans="1:30">
      <c r="A328" s="3" t="s">
        <v>33</v>
      </c>
      <c r="B328" s="4">
        <v>2022</v>
      </c>
      <c r="C328" s="4" t="s">
        <v>34</v>
      </c>
      <c r="D328" s="4">
        <v>150</v>
      </c>
      <c r="E328" s="4">
        <v>200.6</v>
      </c>
      <c r="F328" s="4">
        <v>175.8</v>
      </c>
      <c r="G328" s="4">
        <v>160.69999999999999</v>
      </c>
      <c r="H328" s="4">
        <v>184.9</v>
      </c>
      <c r="I328" s="4">
        <v>153.69999999999999</v>
      </c>
      <c r="J328" s="4">
        <v>169.7</v>
      </c>
      <c r="K328" s="4">
        <v>163.69999999999999</v>
      </c>
      <c r="L328" s="4">
        <v>118.9</v>
      </c>
      <c r="M328" s="4">
        <v>174.3</v>
      </c>
      <c r="N328" s="4">
        <v>164.7</v>
      </c>
      <c r="O328" s="4">
        <v>178</v>
      </c>
      <c r="P328" s="4">
        <v>166.2</v>
      </c>
      <c r="Q328" s="4">
        <v>192.8</v>
      </c>
      <c r="R328" s="4">
        <v>170.8</v>
      </c>
      <c r="S328" s="4">
        <v>162.4</v>
      </c>
      <c r="T328" s="4">
        <v>169.6</v>
      </c>
      <c r="U328" s="4">
        <v>165.5</v>
      </c>
      <c r="V328" s="4">
        <v>165.7</v>
      </c>
      <c r="W328" s="4">
        <v>161.80000000000001</v>
      </c>
      <c r="X328" s="4">
        <v>172.2</v>
      </c>
      <c r="Y328" s="4">
        <v>156.9</v>
      </c>
      <c r="Z328" s="4">
        <v>162.1</v>
      </c>
      <c r="AA328" s="4">
        <v>165.4</v>
      </c>
      <c r="AB328" s="4">
        <v>164.4</v>
      </c>
      <c r="AC328" s="4">
        <v>163.5</v>
      </c>
      <c r="AD328" s="4">
        <v>166.1</v>
      </c>
    </row>
    <row r="329" spans="1:30">
      <c r="A329" s="5" t="s">
        <v>30</v>
      </c>
      <c r="B329" s="6">
        <v>2022</v>
      </c>
      <c r="C329" s="6" t="s">
        <v>35</v>
      </c>
      <c r="D329" s="6">
        <v>150.19999999999999</v>
      </c>
      <c r="E329" s="6">
        <v>208</v>
      </c>
      <c r="F329" s="6">
        <v>167.9</v>
      </c>
      <c r="G329" s="6">
        <v>162</v>
      </c>
      <c r="H329" s="6">
        <v>203.1</v>
      </c>
      <c r="I329" s="6">
        <v>155.9</v>
      </c>
      <c r="J329" s="6">
        <v>155.80000000000001</v>
      </c>
      <c r="K329" s="6">
        <v>164.2</v>
      </c>
      <c r="L329" s="6">
        <v>118.1</v>
      </c>
      <c r="M329" s="6">
        <v>178.7</v>
      </c>
      <c r="N329" s="6">
        <v>171.2</v>
      </c>
      <c r="O329" s="6">
        <v>177.4</v>
      </c>
      <c r="P329" s="6">
        <v>166.6</v>
      </c>
      <c r="Q329" s="6">
        <v>192.3</v>
      </c>
      <c r="R329" s="6">
        <v>175.4</v>
      </c>
      <c r="S329" s="6">
        <v>173.2</v>
      </c>
      <c r="T329" s="6">
        <v>175.1</v>
      </c>
      <c r="U329" s="6">
        <v>165.4</v>
      </c>
      <c r="V329" s="6">
        <v>168.9</v>
      </c>
      <c r="W329" s="6">
        <v>166.5</v>
      </c>
      <c r="X329" s="6">
        <v>176</v>
      </c>
      <c r="Y329" s="6">
        <v>162</v>
      </c>
      <c r="Z329" s="6">
        <v>166.6</v>
      </c>
      <c r="AA329" s="6">
        <v>170.6</v>
      </c>
      <c r="AB329" s="6">
        <v>167.4</v>
      </c>
      <c r="AC329" s="6">
        <v>168.3</v>
      </c>
      <c r="AD329" s="6">
        <v>168.7</v>
      </c>
    </row>
    <row r="330" spans="1:30">
      <c r="A330" s="3" t="s">
        <v>32</v>
      </c>
      <c r="B330" s="4">
        <v>2022</v>
      </c>
      <c r="C330" s="4" t="s">
        <v>35</v>
      </c>
      <c r="D330" s="4">
        <v>153.69999999999999</v>
      </c>
      <c r="E330" s="4">
        <v>215.8</v>
      </c>
      <c r="F330" s="4">
        <v>167.7</v>
      </c>
      <c r="G330" s="4">
        <v>162.6</v>
      </c>
      <c r="H330" s="4">
        <v>180</v>
      </c>
      <c r="I330" s="4">
        <v>159.6</v>
      </c>
      <c r="J330" s="4">
        <v>188.4</v>
      </c>
      <c r="K330" s="4">
        <v>163.4</v>
      </c>
      <c r="L330" s="4">
        <v>120.3</v>
      </c>
      <c r="M330" s="4">
        <v>174.7</v>
      </c>
      <c r="N330" s="4">
        <v>157.1</v>
      </c>
      <c r="O330" s="4">
        <v>181.5</v>
      </c>
      <c r="P330" s="4">
        <v>171.5</v>
      </c>
      <c r="Q330" s="4">
        <v>197.5</v>
      </c>
      <c r="R330" s="4">
        <v>167.1</v>
      </c>
      <c r="S330" s="4">
        <v>152.6</v>
      </c>
      <c r="T330" s="4">
        <v>164.9</v>
      </c>
      <c r="U330" s="4">
        <v>165.3</v>
      </c>
      <c r="V330" s="4">
        <v>164.5</v>
      </c>
      <c r="W330" s="4">
        <v>158.6</v>
      </c>
      <c r="X330" s="4">
        <v>168.2</v>
      </c>
      <c r="Y330" s="4">
        <v>154.19999999999999</v>
      </c>
      <c r="Z330" s="4">
        <v>160.80000000000001</v>
      </c>
      <c r="AA330" s="4">
        <v>162.69999999999999</v>
      </c>
      <c r="AB330" s="4">
        <v>166.8</v>
      </c>
      <c r="AC330" s="4">
        <v>160.6</v>
      </c>
      <c r="AD330" s="4">
        <v>166.5</v>
      </c>
    </row>
    <row r="331" spans="1:30">
      <c r="A331" s="5" t="s">
        <v>33</v>
      </c>
      <c r="B331" s="6">
        <v>2022</v>
      </c>
      <c r="C331" s="6" t="s">
        <v>35</v>
      </c>
      <c r="D331" s="6">
        <v>151.30000000000001</v>
      </c>
      <c r="E331" s="6">
        <v>210.7</v>
      </c>
      <c r="F331" s="6">
        <v>167.8</v>
      </c>
      <c r="G331" s="6">
        <v>162.19999999999999</v>
      </c>
      <c r="H331" s="6">
        <v>194.6</v>
      </c>
      <c r="I331" s="6">
        <v>157.6</v>
      </c>
      <c r="J331" s="6">
        <v>166.9</v>
      </c>
      <c r="K331" s="6">
        <v>163.9</v>
      </c>
      <c r="L331" s="6">
        <v>118.8</v>
      </c>
      <c r="M331" s="6">
        <v>177.4</v>
      </c>
      <c r="N331" s="6">
        <v>165.3</v>
      </c>
      <c r="O331" s="6">
        <v>179.3</v>
      </c>
      <c r="P331" s="6">
        <v>168.4</v>
      </c>
      <c r="Q331" s="6">
        <v>193.7</v>
      </c>
      <c r="R331" s="6">
        <v>172.1</v>
      </c>
      <c r="S331" s="6">
        <v>164.6</v>
      </c>
      <c r="T331" s="6">
        <v>171.1</v>
      </c>
      <c r="U331" s="6">
        <v>165.3</v>
      </c>
      <c r="V331" s="6">
        <v>167.2</v>
      </c>
      <c r="W331" s="6">
        <v>162.80000000000001</v>
      </c>
      <c r="X331" s="6">
        <v>173</v>
      </c>
      <c r="Y331" s="6">
        <v>157.9</v>
      </c>
      <c r="Z331" s="6">
        <v>163.30000000000001</v>
      </c>
      <c r="AA331" s="6">
        <v>166</v>
      </c>
      <c r="AB331" s="6">
        <v>167.2</v>
      </c>
      <c r="AC331" s="6">
        <v>164.6</v>
      </c>
      <c r="AD331" s="6">
        <v>167.7</v>
      </c>
    </row>
    <row r="332" spans="1:30">
      <c r="A332" s="3" t="s">
        <v>30</v>
      </c>
      <c r="B332" s="4">
        <v>2022</v>
      </c>
      <c r="C332" s="4" t="s">
        <v>36</v>
      </c>
      <c r="D332" s="4">
        <v>151.80000000000001</v>
      </c>
      <c r="E332" s="4">
        <v>209.7</v>
      </c>
      <c r="F332" s="4">
        <v>164.5</v>
      </c>
      <c r="G332" s="4">
        <v>163.80000000000001</v>
      </c>
      <c r="H332" s="4">
        <v>207.4</v>
      </c>
      <c r="I332" s="4">
        <v>169.7</v>
      </c>
      <c r="J332" s="4">
        <v>153.6</v>
      </c>
      <c r="K332" s="4">
        <v>165.1</v>
      </c>
      <c r="L332" s="4">
        <v>118.2</v>
      </c>
      <c r="M332" s="4">
        <v>182.9</v>
      </c>
      <c r="N332" s="4">
        <v>172.4</v>
      </c>
      <c r="O332" s="4">
        <v>178.9</v>
      </c>
      <c r="P332" s="4">
        <v>168.6</v>
      </c>
      <c r="Q332" s="4">
        <v>192.8</v>
      </c>
      <c r="R332" s="4">
        <v>177.5</v>
      </c>
      <c r="S332" s="4">
        <v>175.1</v>
      </c>
      <c r="T332" s="4">
        <v>177.1</v>
      </c>
      <c r="U332" s="4">
        <v>167.25</v>
      </c>
      <c r="V332" s="4">
        <v>173.3</v>
      </c>
      <c r="W332" s="4">
        <v>167.7</v>
      </c>
      <c r="X332" s="4">
        <v>177</v>
      </c>
      <c r="Y332" s="4">
        <v>166.2</v>
      </c>
      <c r="Z332" s="4">
        <v>167.2</v>
      </c>
      <c r="AA332" s="4">
        <v>170.9</v>
      </c>
      <c r="AB332" s="4">
        <v>169</v>
      </c>
      <c r="AC332" s="4">
        <v>170.2</v>
      </c>
      <c r="AD332" s="4">
        <v>170.8</v>
      </c>
    </row>
    <row r="333" spans="1:30">
      <c r="A333" s="5" t="s">
        <v>32</v>
      </c>
      <c r="B333" s="6">
        <v>2022</v>
      </c>
      <c r="C333" s="6" t="s">
        <v>36</v>
      </c>
      <c r="D333" s="6">
        <v>155.4</v>
      </c>
      <c r="E333" s="6">
        <v>215.8</v>
      </c>
      <c r="F333" s="6">
        <v>164.6</v>
      </c>
      <c r="G333" s="6">
        <v>164.2</v>
      </c>
      <c r="H333" s="6">
        <v>186</v>
      </c>
      <c r="I333" s="6">
        <v>175.9</v>
      </c>
      <c r="J333" s="6">
        <v>190.7</v>
      </c>
      <c r="K333" s="6">
        <v>164</v>
      </c>
      <c r="L333" s="6">
        <v>120.5</v>
      </c>
      <c r="M333" s="6">
        <v>178</v>
      </c>
      <c r="N333" s="6">
        <v>157.5</v>
      </c>
      <c r="O333" s="6">
        <v>183.3</v>
      </c>
      <c r="P333" s="6">
        <v>174.5</v>
      </c>
      <c r="Q333" s="6">
        <v>197.1</v>
      </c>
      <c r="R333" s="6">
        <v>168.4</v>
      </c>
      <c r="S333" s="6">
        <v>154.5</v>
      </c>
      <c r="T333" s="6">
        <v>166.3</v>
      </c>
      <c r="U333" s="6">
        <v>167</v>
      </c>
      <c r="V333" s="6">
        <v>170.5</v>
      </c>
      <c r="W333" s="6">
        <v>159.80000000000001</v>
      </c>
      <c r="X333" s="6">
        <v>169</v>
      </c>
      <c r="Y333" s="6">
        <v>159.30000000000001</v>
      </c>
      <c r="Z333" s="6">
        <v>162.19999999999999</v>
      </c>
      <c r="AA333" s="6">
        <v>164</v>
      </c>
      <c r="AB333" s="6">
        <v>168.4</v>
      </c>
      <c r="AC333" s="6">
        <v>163.1</v>
      </c>
      <c r="AD333" s="6">
        <v>169.2</v>
      </c>
    </row>
    <row r="334" spans="1:30">
      <c r="A334" s="3" t="s">
        <v>33</v>
      </c>
      <c r="B334" s="4">
        <v>2022</v>
      </c>
      <c r="C334" s="4" t="s">
        <v>36</v>
      </c>
      <c r="D334" s="4">
        <v>152.9</v>
      </c>
      <c r="E334" s="4">
        <v>211.8</v>
      </c>
      <c r="F334" s="4">
        <v>164.5</v>
      </c>
      <c r="G334" s="4">
        <v>163.9</v>
      </c>
      <c r="H334" s="4">
        <v>199.5</v>
      </c>
      <c r="I334" s="4">
        <v>172.6</v>
      </c>
      <c r="J334" s="4">
        <v>166.2</v>
      </c>
      <c r="K334" s="4">
        <v>164.7</v>
      </c>
      <c r="L334" s="4">
        <v>119</v>
      </c>
      <c r="M334" s="4">
        <v>181.3</v>
      </c>
      <c r="N334" s="4">
        <v>166.2</v>
      </c>
      <c r="O334" s="4">
        <v>180.9</v>
      </c>
      <c r="P334" s="4">
        <v>170.8</v>
      </c>
      <c r="Q334" s="4">
        <v>193.9</v>
      </c>
      <c r="R334" s="4">
        <v>173.9</v>
      </c>
      <c r="S334" s="4">
        <v>166.5</v>
      </c>
      <c r="T334" s="4">
        <v>172.8</v>
      </c>
      <c r="U334" s="4">
        <v>167</v>
      </c>
      <c r="V334" s="4">
        <v>172.2</v>
      </c>
      <c r="W334" s="4">
        <v>164</v>
      </c>
      <c r="X334" s="4">
        <v>174</v>
      </c>
      <c r="Y334" s="4">
        <v>162.6</v>
      </c>
      <c r="Z334" s="4">
        <v>164.4</v>
      </c>
      <c r="AA334" s="4">
        <v>166.9</v>
      </c>
      <c r="AB334" s="4">
        <v>168.8</v>
      </c>
      <c r="AC334" s="4">
        <v>166.8</v>
      </c>
      <c r="AD334" s="4">
        <v>170.1</v>
      </c>
    </row>
    <row r="335" spans="1:30">
      <c r="A335" s="5" t="s">
        <v>30</v>
      </c>
      <c r="B335" s="6">
        <v>2022</v>
      </c>
      <c r="C335" s="6" t="s">
        <v>37</v>
      </c>
      <c r="D335" s="6">
        <v>152.9</v>
      </c>
      <c r="E335" s="6">
        <v>214.7</v>
      </c>
      <c r="F335" s="6">
        <v>161.4</v>
      </c>
      <c r="G335" s="6">
        <v>164.6</v>
      </c>
      <c r="H335" s="6">
        <v>209.9</v>
      </c>
      <c r="I335" s="6">
        <v>168</v>
      </c>
      <c r="J335" s="6">
        <v>160.4</v>
      </c>
      <c r="K335" s="6">
        <v>165</v>
      </c>
      <c r="L335" s="6">
        <v>118.9</v>
      </c>
      <c r="M335" s="6">
        <v>186.6</v>
      </c>
      <c r="N335" s="6">
        <v>173.2</v>
      </c>
      <c r="O335" s="6">
        <v>180.4</v>
      </c>
      <c r="P335" s="6">
        <v>170.8</v>
      </c>
      <c r="Q335" s="6">
        <v>192.9</v>
      </c>
      <c r="R335" s="6">
        <v>179.3</v>
      </c>
      <c r="S335" s="6">
        <v>177.2</v>
      </c>
      <c r="T335" s="6">
        <v>179</v>
      </c>
      <c r="U335" s="6">
        <v>167.25</v>
      </c>
      <c r="V335" s="6">
        <v>175.3</v>
      </c>
      <c r="W335" s="6">
        <v>168.9</v>
      </c>
      <c r="X335" s="6">
        <v>177.7</v>
      </c>
      <c r="Y335" s="6">
        <v>167.1</v>
      </c>
      <c r="Z335" s="6">
        <v>167.6</v>
      </c>
      <c r="AA335" s="6">
        <v>171.8</v>
      </c>
      <c r="AB335" s="6">
        <v>168.5</v>
      </c>
      <c r="AC335" s="6">
        <v>170.9</v>
      </c>
      <c r="AD335" s="6">
        <v>172.5</v>
      </c>
    </row>
    <row r="336" spans="1:30">
      <c r="A336" s="3" t="s">
        <v>32</v>
      </c>
      <c r="B336" s="4">
        <v>2022</v>
      </c>
      <c r="C336" s="4" t="s">
        <v>37</v>
      </c>
      <c r="D336" s="4">
        <v>156.69999999999999</v>
      </c>
      <c r="E336" s="4">
        <v>221.2</v>
      </c>
      <c r="F336" s="4">
        <v>164.1</v>
      </c>
      <c r="G336" s="4">
        <v>165.4</v>
      </c>
      <c r="H336" s="4">
        <v>189.5</v>
      </c>
      <c r="I336" s="4">
        <v>174.5</v>
      </c>
      <c r="J336" s="4">
        <v>203.2</v>
      </c>
      <c r="K336" s="4">
        <v>164.1</v>
      </c>
      <c r="L336" s="4">
        <v>121.2</v>
      </c>
      <c r="M336" s="4">
        <v>181.4</v>
      </c>
      <c r="N336" s="4">
        <v>158.5</v>
      </c>
      <c r="O336" s="4">
        <v>184.9</v>
      </c>
      <c r="P336" s="4">
        <v>177.5</v>
      </c>
      <c r="Q336" s="4">
        <v>197.5</v>
      </c>
      <c r="R336" s="4">
        <v>170</v>
      </c>
      <c r="S336" s="4">
        <v>155.9</v>
      </c>
      <c r="T336" s="4">
        <v>167.8</v>
      </c>
      <c r="U336" s="4">
        <v>167.5</v>
      </c>
      <c r="V336" s="4">
        <v>173.5</v>
      </c>
      <c r="W336" s="4">
        <v>161.1</v>
      </c>
      <c r="X336" s="4">
        <v>170.1</v>
      </c>
      <c r="Y336" s="4">
        <v>159.4</v>
      </c>
      <c r="Z336" s="4">
        <v>163.19999999999999</v>
      </c>
      <c r="AA336" s="4">
        <v>165.2</v>
      </c>
      <c r="AB336" s="4">
        <v>168.2</v>
      </c>
      <c r="AC336" s="4">
        <v>163.80000000000001</v>
      </c>
      <c r="AD336" s="4">
        <v>170.8</v>
      </c>
    </row>
    <row r="337" spans="1:30">
      <c r="A337" s="5" t="s">
        <v>33</v>
      </c>
      <c r="B337" s="6">
        <v>2022</v>
      </c>
      <c r="C337" s="6" t="s">
        <v>37</v>
      </c>
      <c r="D337" s="6">
        <v>154.1</v>
      </c>
      <c r="E337" s="6">
        <v>217</v>
      </c>
      <c r="F337" s="6">
        <v>162.4</v>
      </c>
      <c r="G337" s="6">
        <v>164.9</v>
      </c>
      <c r="H337" s="6">
        <v>202.4</v>
      </c>
      <c r="I337" s="6">
        <v>171</v>
      </c>
      <c r="J337" s="6">
        <v>174.9</v>
      </c>
      <c r="K337" s="6">
        <v>164.7</v>
      </c>
      <c r="L337" s="6">
        <v>119.7</v>
      </c>
      <c r="M337" s="6">
        <v>184.9</v>
      </c>
      <c r="N337" s="6">
        <v>167.1</v>
      </c>
      <c r="O337" s="6">
        <v>182.5</v>
      </c>
      <c r="P337" s="6">
        <v>173.3</v>
      </c>
      <c r="Q337" s="6">
        <v>194.1</v>
      </c>
      <c r="R337" s="6">
        <v>175.6</v>
      </c>
      <c r="S337" s="6">
        <v>168.4</v>
      </c>
      <c r="T337" s="6">
        <v>174.6</v>
      </c>
      <c r="U337" s="6">
        <v>167.5</v>
      </c>
      <c r="V337" s="6">
        <v>174.6</v>
      </c>
      <c r="W337" s="6">
        <v>165.2</v>
      </c>
      <c r="X337" s="6">
        <v>174.8</v>
      </c>
      <c r="Y337" s="6">
        <v>163</v>
      </c>
      <c r="Z337" s="6">
        <v>165.1</v>
      </c>
      <c r="AA337" s="6">
        <v>167.9</v>
      </c>
      <c r="AB337" s="6">
        <v>168.4</v>
      </c>
      <c r="AC337" s="6">
        <v>167.5</v>
      </c>
      <c r="AD337" s="6">
        <v>171.7</v>
      </c>
    </row>
    <row r="338" spans="1:30">
      <c r="A338" s="3" t="s">
        <v>30</v>
      </c>
      <c r="B338" s="4">
        <v>2022</v>
      </c>
      <c r="C338" s="4" t="s">
        <v>38</v>
      </c>
      <c r="D338" s="4">
        <v>153.80000000000001</v>
      </c>
      <c r="E338" s="4">
        <v>217.2</v>
      </c>
      <c r="F338" s="4">
        <v>169.6</v>
      </c>
      <c r="G338" s="4">
        <v>165.4</v>
      </c>
      <c r="H338" s="4">
        <v>208.1</v>
      </c>
      <c r="I338" s="4">
        <v>165.8</v>
      </c>
      <c r="J338" s="4">
        <v>167.3</v>
      </c>
      <c r="K338" s="4">
        <v>164.6</v>
      </c>
      <c r="L338" s="4">
        <v>119.1</v>
      </c>
      <c r="M338" s="4">
        <v>188.9</v>
      </c>
      <c r="N338" s="4">
        <v>174.2</v>
      </c>
      <c r="O338" s="4">
        <v>181.9</v>
      </c>
      <c r="P338" s="4">
        <v>172.4</v>
      </c>
      <c r="Q338" s="4">
        <v>192.9</v>
      </c>
      <c r="R338" s="4">
        <v>180.7</v>
      </c>
      <c r="S338" s="4">
        <v>178.7</v>
      </c>
      <c r="T338" s="4">
        <v>180.4</v>
      </c>
      <c r="U338" s="4">
        <v>167.3</v>
      </c>
      <c r="V338" s="4">
        <v>176.7</v>
      </c>
      <c r="W338" s="4">
        <v>170.3</v>
      </c>
      <c r="X338" s="4">
        <v>178.2</v>
      </c>
      <c r="Y338" s="4">
        <v>165.5</v>
      </c>
      <c r="Z338" s="4">
        <v>168</v>
      </c>
      <c r="AA338" s="4">
        <v>172.6</v>
      </c>
      <c r="AB338" s="4">
        <v>169.5</v>
      </c>
      <c r="AC338" s="4">
        <v>171</v>
      </c>
      <c r="AD338" s="4">
        <v>173.6</v>
      </c>
    </row>
    <row r="339" spans="1:30">
      <c r="A339" s="5" t="s">
        <v>32</v>
      </c>
      <c r="B339" s="6">
        <v>2022</v>
      </c>
      <c r="C339" s="6" t="s">
        <v>38</v>
      </c>
      <c r="D339" s="6">
        <v>157.5</v>
      </c>
      <c r="E339" s="6">
        <v>223.4</v>
      </c>
      <c r="F339" s="6">
        <v>172.8</v>
      </c>
      <c r="G339" s="6">
        <v>166.4</v>
      </c>
      <c r="H339" s="6">
        <v>188.6</v>
      </c>
      <c r="I339" s="6">
        <v>174.1</v>
      </c>
      <c r="J339" s="6">
        <v>211.5</v>
      </c>
      <c r="K339" s="6">
        <v>163.6</v>
      </c>
      <c r="L339" s="6">
        <v>121.4</v>
      </c>
      <c r="M339" s="6">
        <v>183.5</v>
      </c>
      <c r="N339" s="6">
        <v>159.1</v>
      </c>
      <c r="O339" s="6">
        <v>186.3</v>
      </c>
      <c r="P339" s="6">
        <v>179.3</v>
      </c>
      <c r="Q339" s="6">
        <v>198.3</v>
      </c>
      <c r="R339" s="6">
        <v>171.6</v>
      </c>
      <c r="S339" s="6">
        <v>157.4</v>
      </c>
      <c r="T339" s="6">
        <v>169.4</v>
      </c>
      <c r="U339" s="6">
        <v>166.8</v>
      </c>
      <c r="V339" s="6">
        <v>174.9</v>
      </c>
      <c r="W339" s="6">
        <v>162.1</v>
      </c>
      <c r="X339" s="6">
        <v>170.9</v>
      </c>
      <c r="Y339" s="6">
        <v>157.19999999999999</v>
      </c>
      <c r="Z339" s="6">
        <v>164.1</v>
      </c>
      <c r="AA339" s="6">
        <v>166.5</v>
      </c>
      <c r="AB339" s="6">
        <v>169.2</v>
      </c>
      <c r="AC339" s="6">
        <v>163.80000000000001</v>
      </c>
      <c r="AD339" s="6">
        <v>171.4</v>
      </c>
    </row>
    <row r="340" spans="1:30">
      <c r="A340" s="3" t="s">
        <v>33</v>
      </c>
      <c r="B340" s="4">
        <v>2022</v>
      </c>
      <c r="C340" s="4" t="s">
        <v>38</v>
      </c>
      <c r="D340" s="4">
        <v>155</v>
      </c>
      <c r="E340" s="4">
        <v>219.4</v>
      </c>
      <c r="F340" s="4">
        <v>170.8</v>
      </c>
      <c r="G340" s="4">
        <v>165.8</v>
      </c>
      <c r="H340" s="4">
        <v>200.9</v>
      </c>
      <c r="I340" s="4">
        <v>169.7</v>
      </c>
      <c r="J340" s="4">
        <v>182.3</v>
      </c>
      <c r="K340" s="4">
        <v>164.3</v>
      </c>
      <c r="L340" s="4">
        <v>119.9</v>
      </c>
      <c r="M340" s="4">
        <v>187.1</v>
      </c>
      <c r="N340" s="4">
        <v>167.9</v>
      </c>
      <c r="O340" s="4">
        <v>183.9</v>
      </c>
      <c r="P340" s="4">
        <v>174.9</v>
      </c>
      <c r="Q340" s="4">
        <v>194.3</v>
      </c>
      <c r="R340" s="4">
        <v>177.1</v>
      </c>
      <c r="S340" s="4">
        <v>169.9</v>
      </c>
      <c r="T340" s="4">
        <v>176</v>
      </c>
      <c r="U340" s="4">
        <v>166.8</v>
      </c>
      <c r="V340" s="4">
        <v>176</v>
      </c>
      <c r="W340" s="4">
        <v>166.4</v>
      </c>
      <c r="X340" s="4">
        <v>175.4</v>
      </c>
      <c r="Y340" s="4">
        <v>161.1</v>
      </c>
      <c r="Z340" s="4">
        <v>165.8</v>
      </c>
      <c r="AA340" s="4">
        <v>169</v>
      </c>
      <c r="AB340" s="4">
        <v>169.4</v>
      </c>
      <c r="AC340" s="4">
        <v>167.5</v>
      </c>
      <c r="AD340" s="4">
        <v>172.6</v>
      </c>
    </row>
    <row r="341" spans="1:30">
      <c r="A341" s="5" t="s">
        <v>30</v>
      </c>
      <c r="B341" s="6">
        <v>2022</v>
      </c>
      <c r="C341" s="6" t="s">
        <v>39</v>
      </c>
      <c r="D341" s="6">
        <v>155.19999999999999</v>
      </c>
      <c r="E341" s="6">
        <v>210.8</v>
      </c>
      <c r="F341" s="6">
        <v>174.3</v>
      </c>
      <c r="G341" s="6">
        <v>166.3</v>
      </c>
      <c r="H341" s="6">
        <v>202.2</v>
      </c>
      <c r="I341" s="6">
        <v>169.6</v>
      </c>
      <c r="J341" s="6">
        <v>168.6</v>
      </c>
      <c r="K341" s="6">
        <v>164.4</v>
      </c>
      <c r="L341" s="6">
        <v>119.2</v>
      </c>
      <c r="M341" s="6">
        <v>191.8</v>
      </c>
      <c r="N341" s="6">
        <v>174.5</v>
      </c>
      <c r="O341" s="6">
        <v>183.1</v>
      </c>
      <c r="P341" s="6">
        <v>172.5</v>
      </c>
      <c r="Q341" s="6">
        <v>193.2</v>
      </c>
      <c r="R341" s="6">
        <v>182</v>
      </c>
      <c r="S341" s="6">
        <v>180.3</v>
      </c>
      <c r="T341" s="6">
        <v>181.7</v>
      </c>
      <c r="U341" s="6">
        <v>167.3</v>
      </c>
      <c r="V341" s="6">
        <v>179.6</v>
      </c>
      <c r="W341" s="6">
        <v>171.3</v>
      </c>
      <c r="X341" s="6">
        <v>178.8</v>
      </c>
      <c r="Y341" s="6">
        <v>166.3</v>
      </c>
      <c r="Z341" s="6">
        <v>168.6</v>
      </c>
      <c r="AA341" s="6">
        <v>174.7</v>
      </c>
      <c r="AB341" s="6">
        <v>169.7</v>
      </c>
      <c r="AC341" s="6">
        <v>171.8</v>
      </c>
      <c r="AD341" s="6">
        <v>174.3</v>
      </c>
    </row>
    <row r="342" spans="1:30">
      <c r="A342" s="3" t="s">
        <v>32</v>
      </c>
      <c r="B342" s="4">
        <v>2022</v>
      </c>
      <c r="C342" s="4" t="s">
        <v>39</v>
      </c>
      <c r="D342" s="4">
        <v>159.30000000000001</v>
      </c>
      <c r="E342" s="4">
        <v>217.1</v>
      </c>
      <c r="F342" s="4">
        <v>176.6</v>
      </c>
      <c r="G342" s="4">
        <v>167.1</v>
      </c>
      <c r="H342" s="4">
        <v>184.8</v>
      </c>
      <c r="I342" s="4">
        <v>179.5</v>
      </c>
      <c r="J342" s="4">
        <v>208.5</v>
      </c>
      <c r="K342" s="4">
        <v>164</v>
      </c>
      <c r="L342" s="4">
        <v>121.5</v>
      </c>
      <c r="M342" s="4">
        <v>186.3</v>
      </c>
      <c r="N342" s="4">
        <v>159.80000000000001</v>
      </c>
      <c r="O342" s="4">
        <v>187.7</v>
      </c>
      <c r="P342" s="4">
        <v>179.4</v>
      </c>
      <c r="Q342" s="4">
        <v>198.6</v>
      </c>
      <c r="R342" s="4">
        <v>172.7</v>
      </c>
      <c r="S342" s="4">
        <v>158.69999999999999</v>
      </c>
      <c r="T342" s="4">
        <v>170.6</v>
      </c>
      <c r="U342" s="4">
        <v>167.8</v>
      </c>
      <c r="V342" s="4">
        <v>179.5</v>
      </c>
      <c r="W342" s="4">
        <v>163.1</v>
      </c>
      <c r="X342" s="4">
        <v>171.7</v>
      </c>
      <c r="Y342" s="4">
        <v>157.4</v>
      </c>
      <c r="Z342" s="4">
        <v>164.6</v>
      </c>
      <c r="AA342" s="4">
        <v>169.1</v>
      </c>
      <c r="AB342" s="4">
        <v>169.8</v>
      </c>
      <c r="AC342" s="4">
        <v>164.7</v>
      </c>
      <c r="AD342" s="4">
        <v>172.3</v>
      </c>
    </row>
    <row r="343" spans="1:30">
      <c r="A343" s="5" t="s">
        <v>33</v>
      </c>
      <c r="B343" s="6">
        <v>2022</v>
      </c>
      <c r="C343" s="6" t="s">
        <v>39</v>
      </c>
      <c r="D343" s="6">
        <v>156.5</v>
      </c>
      <c r="E343" s="6">
        <v>213</v>
      </c>
      <c r="F343" s="6">
        <v>175.2</v>
      </c>
      <c r="G343" s="6">
        <v>166.6</v>
      </c>
      <c r="H343" s="6">
        <v>195.8</v>
      </c>
      <c r="I343" s="6">
        <v>174.2</v>
      </c>
      <c r="J343" s="6">
        <v>182.1</v>
      </c>
      <c r="K343" s="6">
        <v>164.3</v>
      </c>
      <c r="L343" s="6">
        <v>120</v>
      </c>
      <c r="M343" s="6">
        <v>190</v>
      </c>
      <c r="N343" s="6">
        <v>168.4</v>
      </c>
      <c r="O343" s="6">
        <v>185.2</v>
      </c>
      <c r="P343" s="6">
        <v>175</v>
      </c>
      <c r="Q343" s="6">
        <v>194.6</v>
      </c>
      <c r="R343" s="6">
        <v>178.3</v>
      </c>
      <c r="S343" s="6">
        <v>171.3</v>
      </c>
      <c r="T343" s="6">
        <v>177.3</v>
      </c>
      <c r="U343" s="6">
        <v>167.8</v>
      </c>
      <c r="V343" s="6">
        <v>179.6</v>
      </c>
      <c r="W343" s="6">
        <v>167.4</v>
      </c>
      <c r="X343" s="6">
        <v>176.1</v>
      </c>
      <c r="Y343" s="6">
        <v>161.6</v>
      </c>
      <c r="Z343" s="6">
        <v>166.3</v>
      </c>
      <c r="AA343" s="6">
        <v>171.4</v>
      </c>
      <c r="AB343" s="6">
        <v>169.7</v>
      </c>
      <c r="AC343" s="6">
        <v>168.4</v>
      </c>
      <c r="AD343" s="6">
        <v>173.4</v>
      </c>
    </row>
    <row r="344" spans="1:30">
      <c r="A344" s="3" t="s">
        <v>30</v>
      </c>
      <c r="B344" s="4">
        <v>2022</v>
      </c>
      <c r="C344" s="4" t="s">
        <v>40</v>
      </c>
      <c r="D344" s="4">
        <v>159.5</v>
      </c>
      <c r="E344" s="4">
        <v>204.1</v>
      </c>
      <c r="F344" s="4">
        <v>168.3</v>
      </c>
      <c r="G344" s="4">
        <v>167.9</v>
      </c>
      <c r="H344" s="4">
        <v>198.1</v>
      </c>
      <c r="I344" s="4">
        <v>169.2</v>
      </c>
      <c r="J344" s="4">
        <v>173.1</v>
      </c>
      <c r="K344" s="4">
        <v>167.1</v>
      </c>
      <c r="L344" s="4">
        <v>120.2</v>
      </c>
      <c r="M344" s="4">
        <v>195.6</v>
      </c>
      <c r="N344" s="4">
        <v>174.8</v>
      </c>
      <c r="O344" s="4">
        <v>184</v>
      </c>
      <c r="P344" s="4">
        <v>173.9</v>
      </c>
      <c r="Q344" s="4">
        <v>193.7</v>
      </c>
      <c r="R344" s="4">
        <v>183.2</v>
      </c>
      <c r="S344" s="4">
        <v>181.7</v>
      </c>
      <c r="T344" s="4">
        <v>183</v>
      </c>
      <c r="U344" s="4">
        <v>169.25</v>
      </c>
      <c r="V344" s="4">
        <v>179.1</v>
      </c>
      <c r="W344" s="4">
        <v>172.3</v>
      </c>
      <c r="X344" s="4">
        <v>179.4</v>
      </c>
      <c r="Y344" s="4">
        <v>166.6</v>
      </c>
      <c r="Z344" s="4">
        <v>169.3</v>
      </c>
      <c r="AA344" s="4">
        <v>175.7</v>
      </c>
      <c r="AB344" s="4">
        <v>171.1</v>
      </c>
      <c r="AC344" s="4">
        <v>172.6</v>
      </c>
      <c r="AD344" s="4">
        <v>175.3</v>
      </c>
    </row>
    <row r="345" spans="1:30">
      <c r="A345" s="5" t="s">
        <v>32</v>
      </c>
      <c r="B345" s="6">
        <v>2022</v>
      </c>
      <c r="C345" s="6" t="s">
        <v>40</v>
      </c>
      <c r="D345" s="6">
        <v>162.1</v>
      </c>
      <c r="E345" s="6">
        <v>210.9</v>
      </c>
      <c r="F345" s="6">
        <v>170.6</v>
      </c>
      <c r="G345" s="6">
        <v>168.4</v>
      </c>
      <c r="H345" s="6">
        <v>182.5</v>
      </c>
      <c r="I345" s="6">
        <v>177.1</v>
      </c>
      <c r="J345" s="6">
        <v>213.1</v>
      </c>
      <c r="K345" s="6">
        <v>167.3</v>
      </c>
      <c r="L345" s="6">
        <v>122.2</v>
      </c>
      <c r="M345" s="6">
        <v>189.7</v>
      </c>
      <c r="N345" s="6">
        <v>160.5</v>
      </c>
      <c r="O345" s="6">
        <v>188.9</v>
      </c>
      <c r="P345" s="6">
        <v>180.4</v>
      </c>
      <c r="Q345" s="6">
        <v>198.7</v>
      </c>
      <c r="R345" s="6">
        <v>173.7</v>
      </c>
      <c r="S345" s="6">
        <v>160</v>
      </c>
      <c r="T345" s="6">
        <v>171.6</v>
      </c>
      <c r="U345" s="6">
        <v>169</v>
      </c>
      <c r="V345" s="6">
        <v>178.4</v>
      </c>
      <c r="W345" s="6">
        <v>164.2</v>
      </c>
      <c r="X345" s="6">
        <v>172.6</v>
      </c>
      <c r="Y345" s="6">
        <v>157.69999999999999</v>
      </c>
      <c r="Z345" s="6">
        <v>165.1</v>
      </c>
      <c r="AA345" s="6">
        <v>169.9</v>
      </c>
      <c r="AB345" s="6">
        <v>171.4</v>
      </c>
      <c r="AC345" s="6">
        <v>165.4</v>
      </c>
      <c r="AD345" s="6">
        <v>173.1</v>
      </c>
    </row>
    <row r="346" spans="1:30">
      <c r="A346" s="3" t="s">
        <v>33</v>
      </c>
      <c r="B346" s="4">
        <v>2022</v>
      </c>
      <c r="C346" s="4" t="s">
        <v>40</v>
      </c>
      <c r="D346" s="4">
        <v>160.30000000000001</v>
      </c>
      <c r="E346" s="4">
        <v>206.5</v>
      </c>
      <c r="F346" s="4">
        <v>169.2</v>
      </c>
      <c r="G346" s="4">
        <v>168.1</v>
      </c>
      <c r="H346" s="4">
        <v>192.4</v>
      </c>
      <c r="I346" s="4">
        <v>172.9</v>
      </c>
      <c r="J346" s="4">
        <v>186.7</v>
      </c>
      <c r="K346" s="4">
        <v>167.2</v>
      </c>
      <c r="L346" s="4">
        <v>120.9</v>
      </c>
      <c r="M346" s="4">
        <v>193.6</v>
      </c>
      <c r="N346" s="4">
        <v>168.8</v>
      </c>
      <c r="O346" s="4">
        <v>186.3</v>
      </c>
      <c r="P346" s="4">
        <v>176.3</v>
      </c>
      <c r="Q346" s="4">
        <v>195</v>
      </c>
      <c r="R346" s="4">
        <v>179.5</v>
      </c>
      <c r="S346" s="4">
        <v>172.7</v>
      </c>
      <c r="T346" s="4">
        <v>178.5</v>
      </c>
      <c r="U346" s="4">
        <v>169</v>
      </c>
      <c r="V346" s="4">
        <v>178.8</v>
      </c>
      <c r="W346" s="4">
        <v>168.5</v>
      </c>
      <c r="X346" s="4">
        <v>176.8</v>
      </c>
      <c r="Y346" s="4">
        <v>161.9</v>
      </c>
      <c r="Z346" s="4">
        <v>166.9</v>
      </c>
      <c r="AA346" s="4">
        <v>172.3</v>
      </c>
      <c r="AB346" s="4">
        <v>171.2</v>
      </c>
      <c r="AC346" s="4">
        <v>169.1</v>
      </c>
      <c r="AD346" s="4">
        <v>174.3</v>
      </c>
    </row>
    <row r="347" spans="1:30">
      <c r="A347" s="5" t="s">
        <v>30</v>
      </c>
      <c r="B347" s="6">
        <v>2022</v>
      </c>
      <c r="C347" s="6" t="s">
        <v>41</v>
      </c>
      <c r="D347" s="6">
        <v>162.9</v>
      </c>
      <c r="E347" s="6">
        <v>206.7</v>
      </c>
      <c r="F347" s="6">
        <v>169</v>
      </c>
      <c r="G347" s="6">
        <v>169.5</v>
      </c>
      <c r="H347" s="6">
        <v>194.1</v>
      </c>
      <c r="I347" s="6">
        <v>164.1</v>
      </c>
      <c r="J347" s="6">
        <v>176.9</v>
      </c>
      <c r="K347" s="6">
        <v>169</v>
      </c>
      <c r="L347" s="6">
        <v>120.8</v>
      </c>
      <c r="M347" s="6">
        <v>199.1</v>
      </c>
      <c r="N347" s="6">
        <v>175.4</v>
      </c>
      <c r="O347" s="6">
        <v>184.8</v>
      </c>
      <c r="P347" s="6">
        <v>175.5</v>
      </c>
      <c r="Q347" s="6">
        <v>194.5</v>
      </c>
      <c r="R347" s="6">
        <v>184.7</v>
      </c>
      <c r="S347" s="6">
        <v>183.3</v>
      </c>
      <c r="T347" s="6">
        <v>184.5</v>
      </c>
      <c r="U347" s="6">
        <v>169.25</v>
      </c>
      <c r="V347" s="6">
        <v>179.7</v>
      </c>
      <c r="W347" s="6">
        <v>173.6</v>
      </c>
      <c r="X347" s="6">
        <v>180.2</v>
      </c>
      <c r="Y347" s="6">
        <v>166.9</v>
      </c>
      <c r="Z347" s="6">
        <v>170</v>
      </c>
      <c r="AA347" s="6">
        <v>176.2</v>
      </c>
      <c r="AB347" s="6">
        <v>170.8</v>
      </c>
      <c r="AC347" s="6">
        <v>173.1</v>
      </c>
      <c r="AD347" s="6">
        <v>176.4</v>
      </c>
    </row>
    <row r="348" spans="1:30">
      <c r="A348" s="3" t="s">
        <v>32</v>
      </c>
      <c r="B348" s="4">
        <v>2022</v>
      </c>
      <c r="C348" s="4" t="s">
        <v>41</v>
      </c>
      <c r="D348" s="4">
        <v>164.9</v>
      </c>
      <c r="E348" s="4">
        <v>213.7</v>
      </c>
      <c r="F348" s="4">
        <v>170.9</v>
      </c>
      <c r="G348" s="4">
        <v>170.1</v>
      </c>
      <c r="H348" s="4">
        <v>179.3</v>
      </c>
      <c r="I348" s="4">
        <v>167.5</v>
      </c>
      <c r="J348" s="4">
        <v>220.8</v>
      </c>
      <c r="K348" s="4">
        <v>169.2</v>
      </c>
      <c r="L348" s="4">
        <v>123.1</v>
      </c>
      <c r="M348" s="4">
        <v>193.6</v>
      </c>
      <c r="N348" s="4">
        <v>161.1</v>
      </c>
      <c r="O348" s="4">
        <v>190.4</v>
      </c>
      <c r="P348" s="4">
        <v>181.8</v>
      </c>
      <c r="Q348" s="4">
        <v>199.7</v>
      </c>
      <c r="R348" s="4">
        <v>175</v>
      </c>
      <c r="S348" s="4">
        <v>161.69999999999999</v>
      </c>
      <c r="T348" s="4">
        <v>173</v>
      </c>
      <c r="U348" s="4">
        <v>169.5</v>
      </c>
      <c r="V348" s="4">
        <v>179.2</v>
      </c>
      <c r="W348" s="4">
        <v>165</v>
      </c>
      <c r="X348" s="4">
        <v>173.8</v>
      </c>
      <c r="Y348" s="4">
        <v>158.19999999999999</v>
      </c>
      <c r="Z348" s="4">
        <v>165.8</v>
      </c>
      <c r="AA348" s="4">
        <v>170.9</v>
      </c>
      <c r="AB348" s="4">
        <v>171.1</v>
      </c>
      <c r="AC348" s="4">
        <v>166.1</v>
      </c>
      <c r="AD348" s="4">
        <v>174.1</v>
      </c>
    </row>
    <row r="349" spans="1:30">
      <c r="A349" s="5" t="s">
        <v>33</v>
      </c>
      <c r="B349" s="6">
        <v>2022</v>
      </c>
      <c r="C349" s="6" t="s">
        <v>41</v>
      </c>
      <c r="D349" s="6">
        <v>163.5</v>
      </c>
      <c r="E349" s="6">
        <v>209.2</v>
      </c>
      <c r="F349" s="6">
        <v>169.7</v>
      </c>
      <c r="G349" s="6">
        <v>169.7</v>
      </c>
      <c r="H349" s="6">
        <v>188.7</v>
      </c>
      <c r="I349" s="6">
        <v>165.7</v>
      </c>
      <c r="J349" s="6">
        <v>191.8</v>
      </c>
      <c r="K349" s="6">
        <v>169.1</v>
      </c>
      <c r="L349" s="6">
        <v>121.6</v>
      </c>
      <c r="M349" s="6">
        <v>197.3</v>
      </c>
      <c r="N349" s="6">
        <v>169.4</v>
      </c>
      <c r="O349" s="6">
        <v>187.4</v>
      </c>
      <c r="P349" s="6">
        <v>177.8</v>
      </c>
      <c r="Q349" s="6">
        <v>195.9</v>
      </c>
      <c r="R349" s="6">
        <v>180.9</v>
      </c>
      <c r="S349" s="6">
        <v>174.3</v>
      </c>
      <c r="T349" s="6">
        <v>179.9</v>
      </c>
      <c r="U349" s="6">
        <v>169.5</v>
      </c>
      <c r="V349" s="6">
        <v>179.5</v>
      </c>
      <c r="W349" s="6">
        <v>169.5</v>
      </c>
      <c r="X349" s="6">
        <v>177.8</v>
      </c>
      <c r="Y349" s="6">
        <v>162.30000000000001</v>
      </c>
      <c r="Z349" s="6">
        <v>167.6</v>
      </c>
      <c r="AA349" s="6">
        <v>173.1</v>
      </c>
      <c r="AB349" s="6">
        <v>170.9</v>
      </c>
      <c r="AC349" s="6">
        <v>169.7</v>
      </c>
      <c r="AD349" s="6">
        <v>175.3</v>
      </c>
    </row>
    <row r="350" spans="1:30">
      <c r="A350" s="3" t="s">
        <v>30</v>
      </c>
      <c r="B350" s="4">
        <v>2022</v>
      </c>
      <c r="C350" s="4" t="s">
        <v>42</v>
      </c>
      <c r="D350" s="4">
        <v>164.7</v>
      </c>
      <c r="E350" s="4">
        <v>208.8</v>
      </c>
      <c r="F350" s="4">
        <v>170.3</v>
      </c>
      <c r="G350" s="4">
        <v>170.9</v>
      </c>
      <c r="H350" s="4">
        <v>191.6</v>
      </c>
      <c r="I350" s="4">
        <v>162.19999999999999</v>
      </c>
      <c r="J350" s="4">
        <v>184.8</v>
      </c>
      <c r="K350" s="4">
        <v>169.7</v>
      </c>
      <c r="L350" s="4">
        <v>121.1</v>
      </c>
      <c r="M350" s="4">
        <v>201.6</v>
      </c>
      <c r="N350" s="4">
        <v>175.8</v>
      </c>
      <c r="O350" s="4">
        <v>185.6</v>
      </c>
      <c r="P350" s="4">
        <v>177.4</v>
      </c>
      <c r="Q350" s="4">
        <v>194.9</v>
      </c>
      <c r="R350" s="4">
        <v>186.1</v>
      </c>
      <c r="S350" s="4">
        <v>184.4</v>
      </c>
      <c r="T350" s="4">
        <v>185.9</v>
      </c>
      <c r="U350" s="4">
        <v>171.5</v>
      </c>
      <c r="V350" s="4">
        <v>180.8</v>
      </c>
      <c r="W350" s="4">
        <v>174.4</v>
      </c>
      <c r="X350" s="4">
        <v>181.2</v>
      </c>
      <c r="Y350" s="4">
        <v>167.4</v>
      </c>
      <c r="Z350" s="4">
        <v>170.6</v>
      </c>
      <c r="AA350" s="4">
        <v>176.5</v>
      </c>
      <c r="AB350" s="4">
        <v>172</v>
      </c>
      <c r="AC350" s="4">
        <v>173.9</v>
      </c>
      <c r="AD350" s="4">
        <v>177.9</v>
      </c>
    </row>
    <row r="351" spans="1:30">
      <c r="A351" s="5" t="s">
        <v>32</v>
      </c>
      <c r="B351" s="6">
        <v>2022</v>
      </c>
      <c r="C351" s="6" t="s">
        <v>42</v>
      </c>
      <c r="D351" s="6">
        <v>166.4</v>
      </c>
      <c r="E351" s="6">
        <v>214.9</v>
      </c>
      <c r="F351" s="6">
        <v>171.9</v>
      </c>
      <c r="G351" s="6">
        <v>171</v>
      </c>
      <c r="H351" s="6">
        <v>177.7</v>
      </c>
      <c r="I351" s="6">
        <v>165.7</v>
      </c>
      <c r="J351" s="6">
        <v>228.6</v>
      </c>
      <c r="K351" s="6">
        <v>169.9</v>
      </c>
      <c r="L351" s="6">
        <v>123.4</v>
      </c>
      <c r="M351" s="6">
        <v>196.4</v>
      </c>
      <c r="N351" s="6">
        <v>161.6</v>
      </c>
      <c r="O351" s="6">
        <v>191.5</v>
      </c>
      <c r="P351" s="6">
        <v>183.3</v>
      </c>
      <c r="Q351" s="6">
        <v>200.1</v>
      </c>
      <c r="R351" s="6">
        <v>175.5</v>
      </c>
      <c r="S351" s="6">
        <v>162.6</v>
      </c>
      <c r="T351" s="6">
        <v>173.6</v>
      </c>
      <c r="U351" s="6">
        <v>171.2</v>
      </c>
      <c r="V351" s="6">
        <v>180</v>
      </c>
      <c r="W351" s="6">
        <v>166</v>
      </c>
      <c r="X351" s="6">
        <v>174.7</v>
      </c>
      <c r="Y351" s="6">
        <v>158.80000000000001</v>
      </c>
      <c r="Z351" s="6">
        <v>166.3</v>
      </c>
      <c r="AA351" s="6">
        <v>171.2</v>
      </c>
      <c r="AB351" s="6">
        <v>172.3</v>
      </c>
      <c r="AC351" s="6">
        <v>166.8</v>
      </c>
      <c r="AD351" s="6">
        <v>175.3</v>
      </c>
    </row>
    <row r="352" spans="1:30">
      <c r="A352" s="3" t="s">
        <v>33</v>
      </c>
      <c r="B352" s="4">
        <v>2022</v>
      </c>
      <c r="C352" s="4" t="s">
        <v>42</v>
      </c>
      <c r="D352" s="4">
        <v>165.2</v>
      </c>
      <c r="E352" s="4">
        <v>210.9</v>
      </c>
      <c r="F352" s="4">
        <v>170.9</v>
      </c>
      <c r="G352" s="4">
        <v>170.9</v>
      </c>
      <c r="H352" s="4">
        <v>186.5</v>
      </c>
      <c r="I352" s="4">
        <v>163.80000000000001</v>
      </c>
      <c r="J352" s="4">
        <v>199.7</v>
      </c>
      <c r="K352" s="4">
        <v>169.8</v>
      </c>
      <c r="L352" s="4">
        <v>121.9</v>
      </c>
      <c r="M352" s="4">
        <v>199.9</v>
      </c>
      <c r="N352" s="4">
        <v>169.9</v>
      </c>
      <c r="O352" s="4">
        <v>188.3</v>
      </c>
      <c r="P352" s="4">
        <v>179.6</v>
      </c>
      <c r="Q352" s="4">
        <v>196.3</v>
      </c>
      <c r="R352" s="4">
        <v>181.9</v>
      </c>
      <c r="S352" s="4">
        <v>175.3</v>
      </c>
      <c r="T352" s="4">
        <v>181</v>
      </c>
      <c r="U352" s="4">
        <v>171.2</v>
      </c>
      <c r="V352" s="4">
        <v>180.5</v>
      </c>
      <c r="W352" s="4">
        <v>170.4</v>
      </c>
      <c r="X352" s="4">
        <v>178.7</v>
      </c>
      <c r="Y352" s="4">
        <v>162.9</v>
      </c>
      <c r="Z352" s="4">
        <v>168.2</v>
      </c>
      <c r="AA352" s="4">
        <v>173.4</v>
      </c>
      <c r="AB352" s="4">
        <v>172.1</v>
      </c>
      <c r="AC352" s="4">
        <v>170.5</v>
      </c>
      <c r="AD352" s="4">
        <v>176.7</v>
      </c>
    </row>
    <row r="353" spans="1:30">
      <c r="A353" s="5" t="s">
        <v>30</v>
      </c>
      <c r="B353" s="6">
        <v>2022</v>
      </c>
      <c r="C353" s="6" t="s">
        <v>43</v>
      </c>
      <c r="D353" s="6">
        <v>166.9</v>
      </c>
      <c r="E353" s="6">
        <v>207.2</v>
      </c>
      <c r="F353" s="6">
        <v>180.2</v>
      </c>
      <c r="G353" s="6">
        <v>172.3</v>
      </c>
      <c r="H353" s="6">
        <v>194</v>
      </c>
      <c r="I353" s="6">
        <v>159.1</v>
      </c>
      <c r="J353" s="6">
        <v>171.6</v>
      </c>
      <c r="K353" s="6">
        <v>170.2</v>
      </c>
      <c r="L353" s="6">
        <v>121.5</v>
      </c>
      <c r="M353" s="6">
        <v>204.8</v>
      </c>
      <c r="N353" s="6">
        <v>176.4</v>
      </c>
      <c r="O353" s="6">
        <v>186.9</v>
      </c>
      <c r="P353" s="6">
        <v>176.6</v>
      </c>
      <c r="Q353" s="6">
        <v>195.5</v>
      </c>
      <c r="R353" s="6">
        <v>187.2</v>
      </c>
      <c r="S353" s="6">
        <v>185.2</v>
      </c>
      <c r="T353" s="6">
        <v>186.9</v>
      </c>
      <c r="U353" s="6">
        <v>171.5</v>
      </c>
      <c r="V353" s="6">
        <v>181.9</v>
      </c>
      <c r="W353" s="6">
        <v>175.5</v>
      </c>
      <c r="X353" s="6">
        <v>182.3</v>
      </c>
      <c r="Y353" s="6">
        <v>167.5</v>
      </c>
      <c r="Z353" s="6">
        <v>170.8</v>
      </c>
      <c r="AA353" s="6">
        <v>176.9</v>
      </c>
      <c r="AB353" s="6">
        <v>173.4</v>
      </c>
      <c r="AC353" s="6">
        <v>174.6</v>
      </c>
      <c r="AD353" s="6">
        <v>177.8</v>
      </c>
    </row>
    <row r="354" spans="1:30">
      <c r="A354" s="3" t="s">
        <v>32</v>
      </c>
      <c r="B354" s="4">
        <v>2022</v>
      </c>
      <c r="C354" s="4" t="s">
        <v>43</v>
      </c>
      <c r="D354" s="4">
        <v>168.4</v>
      </c>
      <c r="E354" s="4">
        <v>213.4</v>
      </c>
      <c r="F354" s="4">
        <v>183.2</v>
      </c>
      <c r="G354" s="4">
        <v>172.3</v>
      </c>
      <c r="H354" s="4">
        <v>180</v>
      </c>
      <c r="I354" s="4">
        <v>162.6</v>
      </c>
      <c r="J354" s="4">
        <v>205.5</v>
      </c>
      <c r="K354" s="4">
        <v>171</v>
      </c>
      <c r="L354" s="4">
        <v>123.4</v>
      </c>
      <c r="M354" s="4">
        <v>198.8</v>
      </c>
      <c r="N354" s="4">
        <v>162.1</v>
      </c>
      <c r="O354" s="4">
        <v>192.4</v>
      </c>
      <c r="P354" s="4">
        <v>181.3</v>
      </c>
      <c r="Q354" s="4">
        <v>200.6</v>
      </c>
      <c r="R354" s="4">
        <v>176.7</v>
      </c>
      <c r="S354" s="4">
        <v>163.5</v>
      </c>
      <c r="T354" s="4">
        <v>174.7</v>
      </c>
      <c r="U354" s="4">
        <v>171.8</v>
      </c>
      <c r="V354" s="4">
        <v>180.3</v>
      </c>
      <c r="W354" s="4">
        <v>166.9</v>
      </c>
      <c r="X354" s="4">
        <v>175.8</v>
      </c>
      <c r="Y354" s="4">
        <v>158.9</v>
      </c>
      <c r="Z354" s="4">
        <v>166.7</v>
      </c>
      <c r="AA354" s="4">
        <v>171.5</v>
      </c>
      <c r="AB354" s="4">
        <v>173.8</v>
      </c>
      <c r="AC354" s="4">
        <v>167.4</v>
      </c>
      <c r="AD354" s="4">
        <v>174.1</v>
      </c>
    </row>
    <row r="355" spans="1:30">
      <c r="A355" s="5" t="s">
        <v>33</v>
      </c>
      <c r="B355" s="6">
        <v>2022</v>
      </c>
      <c r="C355" s="6" t="s">
        <v>43</v>
      </c>
      <c r="D355" s="6">
        <v>167.4</v>
      </c>
      <c r="E355" s="6">
        <v>209.4</v>
      </c>
      <c r="F355" s="6">
        <v>181.4</v>
      </c>
      <c r="G355" s="6">
        <v>172.3</v>
      </c>
      <c r="H355" s="6">
        <v>188.9</v>
      </c>
      <c r="I355" s="6">
        <v>160.69999999999999</v>
      </c>
      <c r="J355" s="6">
        <v>183.1</v>
      </c>
      <c r="K355" s="6">
        <v>170.5</v>
      </c>
      <c r="L355" s="6">
        <v>122.1</v>
      </c>
      <c r="M355" s="6">
        <v>202.8</v>
      </c>
      <c r="N355" s="6">
        <v>170.4</v>
      </c>
      <c r="O355" s="6">
        <v>189.5</v>
      </c>
      <c r="P355" s="6">
        <v>178.3</v>
      </c>
      <c r="Q355" s="6">
        <v>196.9</v>
      </c>
      <c r="R355" s="6">
        <v>183.1</v>
      </c>
      <c r="S355" s="6">
        <v>176.2</v>
      </c>
      <c r="T355" s="6">
        <v>182.1</v>
      </c>
      <c r="U355" s="6">
        <v>171.8</v>
      </c>
      <c r="V355" s="6">
        <v>181.3</v>
      </c>
      <c r="W355" s="6">
        <v>171.4</v>
      </c>
      <c r="X355" s="6">
        <v>179.8</v>
      </c>
      <c r="Y355" s="6">
        <v>163</v>
      </c>
      <c r="Z355" s="6">
        <v>168.5</v>
      </c>
      <c r="AA355" s="6">
        <v>173.7</v>
      </c>
      <c r="AB355" s="6">
        <v>173.6</v>
      </c>
      <c r="AC355" s="6">
        <v>171.1</v>
      </c>
      <c r="AD355" s="6">
        <v>176.5</v>
      </c>
    </row>
    <row r="356" spans="1:30">
      <c r="A356" s="3" t="s">
        <v>30</v>
      </c>
      <c r="B356" s="4">
        <v>2022</v>
      </c>
      <c r="C356" s="4" t="s">
        <v>44</v>
      </c>
      <c r="D356" s="4">
        <v>168.8</v>
      </c>
      <c r="E356" s="4">
        <v>206.9</v>
      </c>
      <c r="F356" s="4">
        <v>189.1</v>
      </c>
      <c r="G356" s="4">
        <v>173.4</v>
      </c>
      <c r="H356" s="4">
        <v>193.9</v>
      </c>
      <c r="I356" s="4">
        <v>156.69999999999999</v>
      </c>
      <c r="J356" s="4">
        <v>150.19999999999999</v>
      </c>
      <c r="K356" s="4">
        <v>170.5</v>
      </c>
      <c r="L356" s="4">
        <v>121.2</v>
      </c>
      <c r="M356" s="4">
        <v>207.5</v>
      </c>
      <c r="N356" s="4">
        <v>176.8</v>
      </c>
      <c r="O356" s="4">
        <v>187.7</v>
      </c>
      <c r="P356" s="4">
        <v>174.4</v>
      </c>
      <c r="Q356" s="4">
        <v>195.9</v>
      </c>
      <c r="R356" s="4">
        <v>188.1</v>
      </c>
      <c r="S356" s="4">
        <v>185.9</v>
      </c>
      <c r="T356" s="4">
        <v>187.8</v>
      </c>
      <c r="U356" s="4">
        <v>171.4</v>
      </c>
      <c r="V356" s="4">
        <v>182.8</v>
      </c>
      <c r="W356" s="4">
        <v>176.4</v>
      </c>
      <c r="X356" s="4">
        <v>183.5</v>
      </c>
      <c r="Y356" s="4">
        <v>167.8</v>
      </c>
      <c r="Z356" s="4">
        <v>171.2</v>
      </c>
      <c r="AA356" s="4">
        <v>177.3</v>
      </c>
      <c r="AB356" s="4">
        <v>175.7</v>
      </c>
      <c r="AC356" s="4">
        <v>175.5</v>
      </c>
      <c r="AD356" s="4">
        <v>177.1</v>
      </c>
    </row>
    <row r="357" spans="1:30">
      <c r="A357" s="5" t="s">
        <v>32</v>
      </c>
      <c r="B357" s="6">
        <v>2022</v>
      </c>
      <c r="C357" s="6" t="s">
        <v>44</v>
      </c>
      <c r="D357" s="6">
        <v>170.2</v>
      </c>
      <c r="E357" s="6">
        <v>212.9</v>
      </c>
      <c r="F357" s="6">
        <v>191.9</v>
      </c>
      <c r="G357" s="6">
        <v>173.9</v>
      </c>
      <c r="H357" s="6">
        <v>179.1</v>
      </c>
      <c r="I357" s="6">
        <v>159.5</v>
      </c>
      <c r="J357" s="6">
        <v>178.7</v>
      </c>
      <c r="K357" s="6">
        <v>171.3</v>
      </c>
      <c r="L357" s="6">
        <v>123.1</v>
      </c>
      <c r="M357" s="6">
        <v>200.5</v>
      </c>
      <c r="N357" s="6">
        <v>162.80000000000001</v>
      </c>
      <c r="O357" s="6">
        <v>193.3</v>
      </c>
      <c r="P357" s="6">
        <v>178.6</v>
      </c>
      <c r="Q357" s="6">
        <v>201.1</v>
      </c>
      <c r="R357" s="6">
        <v>177.7</v>
      </c>
      <c r="S357" s="6">
        <v>164.5</v>
      </c>
      <c r="T357" s="6">
        <v>175.7</v>
      </c>
      <c r="U357" s="6">
        <v>170.7</v>
      </c>
      <c r="V357" s="6">
        <v>180.6</v>
      </c>
      <c r="W357" s="6">
        <v>167.3</v>
      </c>
      <c r="X357" s="6">
        <v>177.2</v>
      </c>
      <c r="Y357" s="6">
        <v>159.4</v>
      </c>
      <c r="Z357" s="6">
        <v>167.1</v>
      </c>
      <c r="AA357" s="6">
        <v>171.8</v>
      </c>
      <c r="AB357" s="6">
        <v>176</v>
      </c>
      <c r="AC357" s="6">
        <v>168.2</v>
      </c>
      <c r="AD357" s="6">
        <v>174.1</v>
      </c>
    </row>
    <row r="358" spans="1:30">
      <c r="A358" s="3" t="s">
        <v>33</v>
      </c>
      <c r="B358" s="4">
        <v>2022</v>
      </c>
      <c r="C358" s="4" t="s">
        <v>44</v>
      </c>
      <c r="D358" s="4">
        <v>169.2</v>
      </c>
      <c r="E358" s="4">
        <v>209</v>
      </c>
      <c r="F358" s="4">
        <v>190.2</v>
      </c>
      <c r="G358" s="4">
        <v>173.6</v>
      </c>
      <c r="H358" s="4">
        <v>188.5</v>
      </c>
      <c r="I358" s="4">
        <v>158</v>
      </c>
      <c r="J358" s="4">
        <v>159.9</v>
      </c>
      <c r="K358" s="4">
        <v>170.8</v>
      </c>
      <c r="L358" s="4">
        <v>121.8</v>
      </c>
      <c r="M358" s="4">
        <v>205.2</v>
      </c>
      <c r="N358" s="4">
        <v>171</v>
      </c>
      <c r="O358" s="4">
        <v>190.3</v>
      </c>
      <c r="P358" s="4">
        <v>175.9</v>
      </c>
      <c r="Q358" s="4">
        <v>197.3</v>
      </c>
      <c r="R358" s="4">
        <v>184</v>
      </c>
      <c r="S358" s="4">
        <v>177</v>
      </c>
      <c r="T358" s="4">
        <v>183</v>
      </c>
      <c r="U358" s="4">
        <v>170.7</v>
      </c>
      <c r="V358" s="4">
        <v>182</v>
      </c>
      <c r="W358" s="4">
        <v>172.1</v>
      </c>
      <c r="X358" s="4">
        <v>181.1</v>
      </c>
      <c r="Y358" s="4">
        <v>163.4</v>
      </c>
      <c r="Z358" s="4">
        <v>168.9</v>
      </c>
      <c r="AA358" s="4">
        <v>174.1</v>
      </c>
      <c r="AB358" s="4">
        <v>175.8</v>
      </c>
      <c r="AC358" s="4">
        <v>172</v>
      </c>
      <c r="AD358" s="4">
        <v>175.7</v>
      </c>
    </row>
    <row r="359" spans="1:30">
      <c r="A359" s="5" t="s">
        <v>30</v>
      </c>
      <c r="B359" s="6">
        <v>2023</v>
      </c>
      <c r="C359" s="6" t="s">
        <v>31</v>
      </c>
      <c r="D359" s="6">
        <v>174</v>
      </c>
      <c r="E359" s="6">
        <v>208.3</v>
      </c>
      <c r="F359" s="6">
        <v>192.9</v>
      </c>
      <c r="G359" s="6">
        <v>174.3</v>
      </c>
      <c r="H359" s="6">
        <v>192.6</v>
      </c>
      <c r="I359" s="6">
        <v>156.30000000000001</v>
      </c>
      <c r="J359" s="6">
        <v>142.9</v>
      </c>
      <c r="K359" s="6">
        <v>170.7</v>
      </c>
      <c r="L359" s="6">
        <v>120.3</v>
      </c>
      <c r="M359" s="6">
        <v>210.5</v>
      </c>
      <c r="N359" s="6">
        <v>176.9</v>
      </c>
      <c r="O359" s="6">
        <v>188.5</v>
      </c>
      <c r="P359" s="6">
        <v>175</v>
      </c>
      <c r="Q359" s="6">
        <v>196.9</v>
      </c>
      <c r="R359" s="6">
        <v>189</v>
      </c>
      <c r="S359" s="6">
        <v>186.3</v>
      </c>
      <c r="T359" s="6">
        <v>188.6</v>
      </c>
      <c r="U359" s="6">
        <v>171.4</v>
      </c>
      <c r="V359" s="6">
        <v>183.2</v>
      </c>
      <c r="W359" s="6">
        <v>177.2</v>
      </c>
      <c r="X359" s="6">
        <v>184.7</v>
      </c>
      <c r="Y359" s="6">
        <v>168.2</v>
      </c>
      <c r="Z359" s="6">
        <v>171.8</v>
      </c>
      <c r="AA359" s="6">
        <v>177.8</v>
      </c>
      <c r="AB359" s="6">
        <v>178.4</v>
      </c>
      <c r="AC359" s="6">
        <v>176.5</v>
      </c>
      <c r="AD359" s="6">
        <v>177.8</v>
      </c>
    </row>
    <row r="360" spans="1:30">
      <c r="A360" s="3" t="s">
        <v>32</v>
      </c>
      <c r="B360" s="4">
        <v>2023</v>
      </c>
      <c r="C360" s="4" t="s">
        <v>31</v>
      </c>
      <c r="D360" s="4">
        <v>173.3</v>
      </c>
      <c r="E360" s="4">
        <v>215.2</v>
      </c>
      <c r="F360" s="4">
        <v>197</v>
      </c>
      <c r="G360" s="4">
        <v>175.2</v>
      </c>
      <c r="H360" s="4">
        <v>178</v>
      </c>
      <c r="I360" s="4">
        <v>160.5</v>
      </c>
      <c r="J360" s="4">
        <v>175.3</v>
      </c>
      <c r="K360" s="4">
        <v>171.2</v>
      </c>
      <c r="L360" s="4">
        <v>122.7</v>
      </c>
      <c r="M360" s="4">
        <v>204.3</v>
      </c>
      <c r="N360" s="4">
        <v>163.69999999999999</v>
      </c>
      <c r="O360" s="4">
        <v>194.3</v>
      </c>
      <c r="P360" s="4">
        <v>179.5</v>
      </c>
      <c r="Q360" s="4">
        <v>201.6</v>
      </c>
      <c r="R360" s="4">
        <v>178.7</v>
      </c>
      <c r="S360" s="4">
        <v>165.3</v>
      </c>
      <c r="T360" s="4">
        <v>176.6</v>
      </c>
      <c r="U360" s="4">
        <v>172.1</v>
      </c>
      <c r="V360" s="4">
        <v>180.1</v>
      </c>
      <c r="W360" s="4">
        <v>168</v>
      </c>
      <c r="X360" s="4">
        <v>178.5</v>
      </c>
      <c r="Y360" s="4">
        <v>159.5</v>
      </c>
      <c r="Z360" s="4">
        <v>167.8</v>
      </c>
      <c r="AA360" s="4">
        <v>171.8</v>
      </c>
      <c r="AB360" s="4">
        <v>178.8</v>
      </c>
      <c r="AC360" s="4">
        <v>168.9</v>
      </c>
      <c r="AD360" s="4">
        <v>174.9</v>
      </c>
    </row>
    <row r="361" spans="1:30">
      <c r="A361" s="5" t="s">
        <v>33</v>
      </c>
      <c r="B361" s="6">
        <v>2023</v>
      </c>
      <c r="C361" s="6" t="s">
        <v>31</v>
      </c>
      <c r="D361" s="6">
        <v>173.8</v>
      </c>
      <c r="E361" s="6">
        <v>210.7</v>
      </c>
      <c r="F361" s="6">
        <v>194.5</v>
      </c>
      <c r="G361" s="6">
        <v>174.6</v>
      </c>
      <c r="H361" s="6">
        <v>187.2</v>
      </c>
      <c r="I361" s="6">
        <v>158.30000000000001</v>
      </c>
      <c r="J361" s="6">
        <v>153.9</v>
      </c>
      <c r="K361" s="6">
        <v>170.9</v>
      </c>
      <c r="L361" s="6">
        <v>121.1</v>
      </c>
      <c r="M361" s="6">
        <v>208.4</v>
      </c>
      <c r="N361" s="6">
        <v>171.4</v>
      </c>
      <c r="O361" s="6">
        <v>191.2</v>
      </c>
      <c r="P361" s="6">
        <v>176.7</v>
      </c>
      <c r="Q361" s="6">
        <v>198.2</v>
      </c>
      <c r="R361" s="6">
        <v>184.9</v>
      </c>
      <c r="S361" s="6">
        <v>177.6</v>
      </c>
      <c r="T361" s="6">
        <v>183.8</v>
      </c>
      <c r="U361" s="6">
        <v>172.1</v>
      </c>
      <c r="V361" s="6">
        <v>182</v>
      </c>
      <c r="W361" s="6">
        <v>172.9</v>
      </c>
      <c r="X361" s="6">
        <v>182.3</v>
      </c>
      <c r="Y361" s="6">
        <v>163.6</v>
      </c>
      <c r="Z361" s="6">
        <v>169.5</v>
      </c>
      <c r="AA361" s="6">
        <v>174.3</v>
      </c>
      <c r="AB361" s="6">
        <v>178.6</v>
      </c>
      <c r="AC361" s="6">
        <v>172.8</v>
      </c>
      <c r="AD361" s="6">
        <v>176.5</v>
      </c>
    </row>
    <row r="362" spans="1:30">
      <c r="A362" s="3" t="s">
        <v>30</v>
      </c>
      <c r="B362" s="4">
        <v>2023</v>
      </c>
      <c r="C362" s="4" t="s">
        <v>34</v>
      </c>
      <c r="D362" s="4">
        <v>174.2</v>
      </c>
      <c r="E362" s="4">
        <v>205.2</v>
      </c>
      <c r="F362" s="4">
        <v>173.9</v>
      </c>
      <c r="G362" s="4">
        <v>177</v>
      </c>
      <c r="H362" s="4">
        <v>183.4</v>
      </c>
      <c r="I362" s="4">
        <v>167.2</v>
      </c>
      <c r="J362" s="4">
        <v>140.9</v>
      </c>
      <c r="K362" s="4">
        <v>170.4</v>
      </c>
      <c r="L362" s="4">
        <v>119.1</v>
      </c>
      <c r="M362" s="4">
        <v>212.1</v>
      </c>
      <c r="N362" s="4">
        <v>177.6</v>
      </c>
      <c r="O362" s="4">
        <v>189.9</v>
      </c>
      <c r="P362" s="4">
        <v>174.8</v>
      </c>
      <c r="Q362" s="4">
        <v>198.3</v>
      </c>
      <c r="R362" s="4">
        <v>190</v>
      </c>
      <c r="S362" s="4">
        <v>187</v>
      </c>
      <c r="T362" s="4">
        <v>189.6</v>
      </c>
      <c r="U362" s="4">
        <v>173.5</v>
      </c>
      <c r="V362" s="4">
        <v>181.6</v>
      </c>
      <c r="W362" s="4">
        <v>178.6</v>
      </c>
      <c r="X362" s="4">
        <v>186.6</v>
      </c>
      <c r="Y362" s="4">
        <v>169</v>
      </c>
      <c r="Z362" s="4">
        <v>172.8</v>
      </c>
      <c r="AA362" s="4">
        <v>178.5</v>
      </c>
      <c r="AB362" s="4">
        <v>180.7</v>
      </c>
      <c r="AC362" s="4">
        <v>177.9</v>
      </c>
      <c r="AD362" s="4">
        <v>178</v>
      </c>
    </row>
    <row r="363" spans="1:30">
      <c r="A363" s="5" t="s">
        <v>32</v>
      </c>
      <c r="B363" s="6">
        <v>2023</v>
      </c>
      <c r="C363" s="6" t="s">
        <v>34</v>
      </c>
      <c r="D363" s="6">
        <v>174.7</v>
      </c>
      <c r="E363" s="6">
        <v>212.2</v>
      </c>
      <c r="F363" s="6">
        <v>177.2</v>
      </c>
      <c r="G363" s="6">
        <v>177.9</v>
      </c>
      <c r="H363" s="6">
        <v>172.2</v>
      </c>
      <c r="I363" s="6">
        <v>172.1</v>
      </c>
      <c r="J363" s="6">
        <v>175.8</v>
      </c>
      <c r="K363" s="6">
        <v>172.2</v>
      </c>
      <c r="L363" s="6">
        <v>121.9</v>
      </c>
      <c r="M363" s="6">
        <v>204.8</v>
      </c>
      <c r="N363" s="6">
        <v>164.9</v>
      </c>
      <c r="O363" s="6">
        <v>196.6</v>
      </c>
      <c r="P363" s="6">
        <v>180.7</v>
      </c>
      <c r="Q363" s="6">
        <v>202.7</v>
      </c>
      <c r="R363" s="6">
        <v>180.3</v>
      </c>
      <c r="S363" s="6">
        <v>167</v>
      </c>
      <c r="T363" s="6">
        <v>178.2</v>
      </c>
      <c r="U363" s="6">
        <v>173.5</v>
      </c>
      <c r="V363" s="6">
        <v>182.8</v>
      </c>
      <c r="W363" s="6">
        <v>169.2</v>
      </c>
      <c r="X363" s="6">
        <v>180.8</v>
      </c>
      <c r="Y363" s="6">
        <v>159.80000000000001</v>
      </c>
      <c r="Z363" s="6">
        <v>168.4</v>
      </c>
      <c r="AA363" s="6">
        <v>172.5</v>
      </c>
      <c r="AB363" s="6">
        <v>181.4</v>
      </c>
      <c r="AC363" s="6">
        <v>170</v>
      </c>
      <c r="AD363" s="6">
        <v>176.3</v>
      </c>
    </row>
    <row r="364" spans="1:30">
      <c r="A364" s="3" t="s">
        <v>33</v>
      </c>
      <c r="B364" s="4">
        <v>2023</v>
      </c>
      <c r="C364" s="4" t="s">
        <v>34</v>
      </c>
      <c r="D364" s="4">
        <v>174.4</v>
      </c>
      <c r="E364" s="4">
        <v>207.7</v>
      </c>
      <c r="F364" s="4">
        <v>175.2</v>
      </c>
      <c r="G364" s="4">
        <v>177.3</v>
      </c>
      <c r="H364" s="4">
        <v>179.3</v>
      </c>
      <c r="I364" s="4">
        <v>169.5</v>
      </c>
      <c r="J364" s="4">
        <v>152.69999999999999</v>
      </c>
      <c r="K364" s="4">
        <v>171</v>
      </c>
      <c r="L364" s="4">
        <v>120</v>
      </c>
      <c r="M364" s="4">
        <v>209.7</v>
      </c>
      <c r="N364" s="4">
        <v>172.3</v>
      </c>
      <c r="O364" s="4">
        <v>193</v>
      </c>
      <c r="P364" s="4">
        <v>177</v>
      </c>
      <c r="Q364" s="4">
        <v>199.5</v>
      </c>
      <c r="R364" s="4">
        <v>186.2</v>
      </c>
      <c r="S364" s="4">
        <v>178.7</v>
      </c>
      <c r="T364" s="4">
        <v>185.1</v>
      </c>
      <c r="U364" s="4">
        <v>173.5</v>
      </c>
      <c r="V364" s="4">
        <v>182.1</v>
      </c>
      <c r="W364" s="4">
        <v>174.2</v>
      </c>
      <c r="X364" s="4">
        <v>184.4</v>
      </c>
      <c r="Y364" s="4">
        <v>164.2</v>
      </c>
      <c r="Z364" s="4">
        <v>170.3</v>
      </c>
      <c r="AA364" s="4">
        <v>175</v>
      </c>
      <c r="AB364" s="4">
        <v>181</v>
      </c>
      <c r="AC364" s="4">
        <v>174.1</v>
      </c>
      <c r="AD364" s="4">
        <v>177.2</v>
      </c>
    </row>
    <row r="365" spans="1:30">
      <c r="A365" s="5" t="s">
        <v>30</v>
      </c>
      <c r="B365" s="6">
        <v>2023</v>
      </c>
      <c r="C365" s="6" t="s">
        <v>35</v>
      </c>
      <c r="D365" s="6">
        <v>174.3</v>
      </c>
      <c r="E365" s="6">
        <v>205.2</v>
      </c>
      <c r="F365" s="6">
        <v>173.9</v>
      </c>
      <c r="G365" s="6">
        <v>177</v>
      </c>
      <c r="H365" s="6">
        <v>183.3</v>
      </c>
      <c r="I365" s="6">
        <v>167.2</v>
      </c>
      <c r="J365" s="6">
        <v>140.9</v>
      </c>
      <c r="K365" s="6">
        <v>170.5</v>
      </c>
      <c r="L365" s="6">
        <v>119.1</v>
      </c>
      <c r="M365" s="6">
        <v>212.1</v>
      </c>
      <c r="N365" s="6">
        <v>177.6</v>
      </c>
      <c r="O365" s="6">
        <v>189.9</v>
      </c>
      <c r="P365" s="6">
        <v>174.8</v>
      </c>
      <c r="Q365" s="6">
        <v>198.4</v>
      </c>
      <c r="R365" s="6">
        <v>190</v>
      </c>
      <c r="S365" s="6">
        <v>187</v>
      </c>
      <c r="T365" s="6">
        <v>189.6</v>
      </c>
      <c r="U365" s="6">
        <v>173.5</v>
      </c>
      <c r="V365" s="6">
        <v>181.4</v>
      </c>
      <c r="W365" s="6">
        <v>178.6</v>
      </c>
      <c r="X365" s="6">
        <v>186.6</v>
      </c>
      <c r="Y365" s="6">
        <v>169</v>
      </c>
      <c r="Z365" s="6">
        <v>172.8</v>
      </c>
      <c r="AA365" s="6">
        <v>178.5</v>
      </c>
      <c r="AB365" s="6">
        <v>180.7</v>
      </c>
      <c r="AC365" s="6">
        <v>177.9</v>
      </c>
      <c r="AD365" s="6">
        <v>178</v>
      </c>
    </row>
    <row r="366" spans="1:30">
      <c r="A366" s="3" t="s">
        <v>32</v>
      </c>
      <c r="B366" s="4">
        <v>2023</v>
      </c>
      <c r="C366" s="4" t="s">
        <v>35</v>
      </c>
      <c r="D366" s="4">
        <v>174.7</v>
      </c>
      <c r="E366" s="4">
        <v>212.2</v>
      </c>
      <c r="F366" s="4">
        <v>177.2</v>
      </c>
      <c r="G366" s="4">
        <v>177.9</v>
      </c>
      <c r="H366" s="4">
        <v>172.2</v>
      </c>
      <c r="I366" s="4">
        <v>172.1</v>
      </c>
      <c r="J366" s="4">
        <v>175.9</v>
      </c>
      <c r="K366" s="4">
        <v>172.2</v>
      </c>
      <c r="L366" s="4">
        <v>121.9</v>
      </c>
      <c r="M366" s="4">
        <v>204.8</v>
      </c>
      <c r="N366" s="4">
        <v>164.9</v>
      </c>
      <c r="O366" s="4">
        <v>196.6</v>
      </c>
      <c r="P366" s="4">
        <v>180.8</v>
      </c>
      <c r="Q366" s="4">
        <v>202.7</v>
      </c>
      <c r="R366" s="4">
        <v>180.2</v>
      </c>
      <c r="S366" s="4">
        <v>167</v>
      </c>
      <c r="T366" s="4">
        <v>178.2</v>
      </c>
      <c r="U366" s="4">
        <v>173.5</v>
      </c>
      <c r="V366" s="4">
        <v>182.6</v>
      </c>
      <c r="W366" s="4">
        <v>169.2</v>
      </c>
      <c r="X366" s="4">
        <v>180.8</v>
      </c>
      <c r="Y366" s="4">
        <v>159.80000000000001</v>
      </c>
      <c r="Z366" s="4">
        <v>168.4</v>
      </c>
      <c r="AA366" s="4">
        <v>172.5</v>
      </c>
      <c r="AB366" s="4">
        <v>181.5</v>
      </c>
      <c r="AC366" s="4">
        <v>170</v>
      </c>
      <c r="AD366" s="4">
        <v>176.3</v>
      </c>
    </row>
    <row r="367" spans="1:30">
      <c r="A367" s="5" t="s">
        <v>33</v>
      </c>
      <c r="B367" s="6">
        <v>2023</v>
      </c>
      <c r="C367" s="6" t="s">
        <v>35</v>
      </c>
      <c r="D367" s="6">
        <v>174.4</v>
      </c>
      <c r="E367" s="6">
        <v>207.7</v>
      </c>
      <c r="F367" s="6">
        <v>175.2</v>
      </c>
      <c r="G367" s="6">
        <v>177.3</v>
      </c>
      <c r="H367" s="6">
        <v>179.2</v>
      </c>
      <c r="I367" s="6">
        <v>169.5</v>
      </c>
      <c r="J367" s="6">
        <v>152.80000000000001</v>
      </c>
      <c r="K367" s="6">
        <v>171.1</v>
      </c>
      <c r="L367" s="6">
        <v>120</v>
      </c>
      <c r="M367" s="6">
        <v>209.7</v>
      </c>
      <c r="N367" s="6">
        <v>172.3</v>
      </c>
      <c r="O367" s="6">
        <v>193</v>
      </c>
      <c r="P367" s="6">
        <v>177</v>
      </c>
      <c r="Q367" s="6">
        <v>199.5</v>
      </c>
      <c r="R367" s="6">
        <v>186.1</v>
      </c>
      <c r="S367" s="6">
        <v>178.7</v>
      </c>
      <c r="T367" s="6">
        <v>185.1</v>
      </c>
      <c r="U367" s="6">
        <v>173.5</v>
      </c>
      <c r="V367" s="6">
        <v>181.9</v>
      </c>
      <c r="W367" s="6">
        <v>174.2</v>
      </c>
      <c r="X367" s="6">
        <v>184.4</v>
      </c>
      <c r="Y367" s="6">
        <v>164.2</v>
      </c>
      <c r="Z367" s="6">
        <v>170.3</v>
      </c>
      <c r="AA367" s="6">
        <v>175</v>
      </c>
      <c r="AB367" s="6">
        <v>181</v>
      </c>
      <c r="AC367" s="6">
        <v>174.1</v>
      </c>
      <c r="AD367" s="6">
        <v>177.2</v>
      </c>
    </row>
    <row r="368" spans="1:30">
      <c r="A368" s="3" t="s">
        <v>30</v>
      </c>
      <c r="B368" s="4">
        <v>2023</v>
      </c>
      <c r="C368" s="4" t="s">
        <v>36</v>
      </c>
      <c r="D368" s="4">
        <v>173.3</v>
      </c>
      <c r="E368" s="4">
        <v>206.9</v>
      </c>
      <c r="F368" s="4">
        <v>167.9</v>
      </c>
      <c r="G368" s="4">
        <v>178.2</v>
      </c>
      <c r="H368" s="4">
        <v>178.5</v>
      </c>
      <c r="I368" s="4">
        <v>173.7</v>
      </c>
      <c r="J368" s="4">
        <v>142.80000000000001</v>
      </c>
      <c r="K368" s="4">
        <v>172.8</v>
      </c>
      <c r="L368" s="4">
        <v>120.4</v>
      </c>
      <c r="M368" s="4">
        <v>215.5</v>
      </c>
      <c r="N368" s="4">
        <v>178.2</v>
      </c>
      <c r="O368" s="4">
        <v>190.5</v>
      </c>
      <c r="P368" s="4">
        <v>175.5</v>
      </c>
      <c r="Q368" s="4">
        <v>199.5</v>
      </c>
      <c r="R368" s="4">
        <v>190.7</v>
      </c>
      <c r="S368" s="4">
        <v>187.3</v>
      </c>
      <c r="T368" s="4">
        <v>190.2</v>
      </c>
      <c r="U368" s="4">
        <v>175.4</v>
      </c>
      <c r="V368" s="4">
        <v>181.5</v>
      </c>
      <c r="W368" s="4">
        <v>179.1</v>
      </c>
      <c r="X368" s="4">
        <v>187.2</v>
      </c>
      <c r="Y368" s="4">
        <v>169.4</v>
      </c>
      <c r="Z368" s="4">
        <v>173.2</v>
      </c>
      <c r="AA368" s="4">
        <v>179.4</v>
      </c>
      <c r="AB368" s="4">
        <v>183.8</v>
      </c>
      <c r="AC368" s="4">
        <v>178.9</v>
      </c>
      <c r="AD368" s="4">
        <v>178.8</v>
      </c>
    </row>
    <row r="369" spans="1:30">
      <c r="A369" s="5" t="s">
        <v>32</v>
      </c>
      <c r="B369" s="6">
        <v>2023</v>
      </c>
      <c r="C369" s="6" t="s">
        <v>36</v>
      </c>
      <c r="D369" s="6">
        <v>174.8</v>
      </c>
      <c r="E369" s="6">
        <v>213.7</v>
      </c>
      <c r="F369" s="6">
        <v>172.4</v>
      </c>
      <c r="G369" s="6">
        <v>178.8</v>
      </c>
      <c r="H369" s="6">
        <v>168.7</v>
      </c>
      <c r="I369" s="6">
        <v>179.2</v>
      </c>
      <c r="J369" s="6">
        <v>179.9</v>
      </c>
      <c r="K369" s="6">
        <v>174.7</v>
      </c>
      <c r="L369" s="6">
        <v>123.1</v>
      </c>
      <c r="M369" s="6">
        <v>207.8</v>
      </c>
      <c r="N369" s="6">
        <v>165.5</v>
      </c>
      <c r="O369" s="6">
        <v>197</v>
      </c>
      <c r="P369" s="6">
        <v>182.1</v>
      </c>
      <c r="Q369" s="6">
        <v>203.5</v>
      </c>
      <c r="R369" s="6">
        <v>181</v>
      </c>
      <c r="S369" s="6">
        <v>167.7</v>
      </c>
      <c r="T369" s="6">
        <v>178.9</v>
      </c>
      <c r="U369" s="6">
        <v>175.2</v>
      </c>
      <c r="V369" s="6">
        <v>182.1</v>
      </c>
      <c r="W369" s="6">
        <v>169.6</v>
      </c>
      <c r="X369" s="6">
        <v>181.5</v>
      </c>
      <c r="Y369" s="6">
        <v>160.1</v>
      </c>
      <c r="Z369" s="6">
        <v>168.8</v>
      </c>
      <c r="AA369" s="6">
        <v>174.2</v>
      </c>
      <c r="AB369" s="6">
        <v>184.4</v>
      </c>
      <c r="AC369" s="6">
        <v>170.9</v>
      </c>
      <c r="AD369" s="6">
        <v>177.4</v>
      </c>
    </row>
    <row r="370" spans="1:30">
      <c r="A370" s="3" t="s">
        <v>33</v>
      </c>
      <c r="B370" s="4">
        <v>2023</v>
      </c>
      <c r="C370" s="4" t="s">
        <v>36</v>
      </c>
      <c r="D370" s="4">
        <v>173.8</v>
      </c>
      <c r="E370" s="4">
        <v>209.3</v>
      </c>
      <c r="F370" s="4">
        <v>169.6</v>
      </c>
      <c r="G370" s="4">
        <v>178.4</v>
      </c>
      <c r="H370" s="4">
        <v>174.9</v>
      </c>
      <c r="I370" s="4">
        <v>176.3</v>
      </c>
      <c r="J370" s="4">
        <v>155.4</v>
      </c>
      <c r="K370" s="4">
        <v>173.4</v>
      </c>
      <c r="L370" s="4">
        <v>121.3</v>
      </c>
      <c r="M370" s="4">
        <v>212.9</v>
      </c>
      <c r="N370" s="4">
        <v>172.9</v>
      </c>
      <c r="O370" s="4">
        <v>193.5</v>
      </c>
      <c r="P370" s="4">
        <v>177.9</v>
      </c>
      <c r="Q370" s="4">
        <v>200.6</v>
      </c>
      <c r="R370" s="4">
        <v>186.9</v>
      </c>
      <c r="S370" s="4">
        <v>179.2</v>
      </c>
      <c r="T370" s="4">
        <v>185.7</v>
      </c>
      <c r="U370" s="4">
        <v>175.2</v>
      </c>
      <c r="V370" s="4">
        <v>181.7</v>
      </c>
      <c r="W370" s="4">
        <v>174.6</v>
      </c>
      <c r="X370" s="4">
        <v>185</v>
      </c>
      <c r="Y370" s="4">
        <v>164.5</v>
      </c>
      <c r="Z370" s="4">
        <v>170.7</v>
      </c>
      <c r="AA370" s="4">
        <v>176.4</v>
      </c>
      <c r="AB370" s="4">
        <v>184</v>
      </c>
      <c r="AC370" s="4">
        <v>175</v>
      </c>
      <c r="AD370" s="4">
        <v>178.1</v>
      </c>
    </row>
    <row r="371" spans="1:30">
      <c r="A371" s="5" t="s">
        <v>30</v>
      </c>
      <c r="B371" s="6">
        <v>2023</v>
      </c>
      <c r="C371" s="6" t="s">
        <v>37</v>
      </c>
      <c r="D371" s="6">
        <v>173.2</v>
      </c>
      <c r="E371" s="6">
        <v>211.5</v>
      </c>
      <c r="F371" s="6">
        <v>171</v>
      </c>
      <c r="G371" s="6">
        <v>179.6</v>
      </c>
      <c r="H371" s="6">
        <v>173.3</v>
      </c>
      <c r="I371" s="6">
        <v>169</v>
      </c>
      <c r="J371" s="6">
        <v>148.69999999999999</v>
      </c>
      <c r="K371" s="6">
        <v>174.9</v>
      </c>
      <c r="L371" s="6">
        <v>121.9</v>
      </c>
      <c r="M371" s="6">
        <v>221</v>
      </c>
      <c r="N371" s="6">
        <v>178.7</v>
      </c>
      <c r="O371" s="6">
        <v>191.1</v>
      </c>
      <c r="P371" s="6">
        <v>176.8</v>
      </c>
      <c r="Q371" s="6">
        <v>199.9</v>
      </c>
      <c r="R371" s="6">
        <v>191.2</v>
      </c>
      <c r="S371" s="6">
        <v>187.9</v>
      </c>
      <c r="T371" s="6">
        <v>190.8</v>
      </c>
      <c r="U371" s="6">
        <v>175.4</v>
      </c>
      <c r="V371" s="6">
        <v>182.5</v>
      </c>
      <c r="W371" s="6">
        <v>179.8</v>
      </c>
      <c r="X371" s="6">
        <v>187.8</v>
      </c>
      <c r="Y371" s="6">
        <v>169.7</v>
      </c>
      <c r="Z371" s="6">
        <v>173.8</v>
      </c>
      <c r="AA371" s="6">
        <v>180.3</v>
      </c>
      <c r="AB371" s="6">
        <v>184.9</v>
      </c>
      <c r="AC371" s="6">
        <v>179.5</v>
      </c>
      <c r="AD371" s="6">
        <v>179.8</v>
      </c>
    </row>
    <row r="372" spans="1:30">
      <c r="A372" s="3" t="s">
        <v>32</v>
      </c>
      <c r="B372" s="4">
        <v>2023</v>
      </c>
      <c r="C372" s="4" t="s">
        <v>37</v>
      </c>
      <c r="D372" s="4">
        <v>174.7</v>
      </c>
      <c r="E372" s="4">
        <v>219.4</v>
      </c>
      <c r="F372" s="4">
        <v>176.7</v>
      </c>
      <c r="G372" s="4">
        <v>179.4</v>
      </c>
      <c r="H372" s="4">
        <v>164.4</v>
      </c>
      <c r="I372" s="4">
        <v>175.8</v>
      </c>
      <c r="J372" s="4">
        <v>185</v>
      </c>
      <c r="K372" s="4">
        <v>176.9</v>
      </c>
      <c r="L372" s="4">
        <v>124.2</v>
      </c>
      <c r="M372" s="4">
        <v>211.9</v>
      </c>
      <c r="N372" s="4">
        <v>165.9</v>
      </c>
      <c r="O372" s="4">
        <v>197.7</v>
      </c>
      <c r="P372" s="4">
        <v>183.1</v>
      </c>
      <c r="Q372" s="4">
        <v>204.2</v>
      </c>
      <c r="R372" s="4">
        <v>181.3</v>
      </c>
      <c r="S372" s="4">
        <v>168.1</v>
      </c>
      <c r="T372" s="4">
        <v>179.3</v>
      </c>
      <c r="U372" s="4">
        <v>175.6</v>
      </c>
      <c r="V372" s="4">
        <v>183.4</v>
      </c>
      <c r="W372" s="4">
        <v>170.1</v>
      </c>
      <c r="X372" s="4">
        <v>182.2</v>
      </c>
      <c r="Y372" s="4">
        <v>160.4</v>
      </c>
      <c r="Z372" s="4">
        <v>169.2</v>
      </c>
      <c r="AA372" s="4">
        <v>174.8</v>
      </c>
      <c r="AB372" s="4">
        <v>185.6</v>
      </c>
      <c r="AC372" s="4">
        <v>171.6</v>
      </c>
      <c r="AD372" s="4">
        <v>178.2</v>
      </c>
    </row>
    <row r="373" spans="1:30">
      <c r="A373" s="5" t="s">
        <v>33</v>
      </c>
      <c r="B373" s="6">
        <v>2023</v>
      </c>
      <c r="C373" s="6" t="s">
        <v>37</v>
      </c>
      <c r="D373" s="6">
        <v>173.7</v>
      </c>
      <c r="E373" s="6">
        <v>214.3</v>
      </c>
      <c r="F373" s="6">
        <v>173.2</v>
      </c>
      <c r="G373" s="6">
        <v>179.5</v>
      </c>
      <c r="H373" s="6">
        <v>170</v>
      </c>
      <c r="I373" s="6">
        <v>172.2</v>
      </c>
      <c r="J373" s="6">
        <v>161</v>
      </c>
      <c r="K373" s="6">
        <v>175.6</v>
      </c>
      <c r="L373" s="6">
        <v>122.7</v>
      </c>
      <c r="M373" s="6">
        <v>218</v>
      </c>
      <c r="N373" s="6">
        <v>173.4</v>
      </c>
      <c r="O373" s="6">
        <v>194.2</v>
      </c>
      <c r="P373" s="6">
        <v>179.1</v>
      </c>
      <c r="Q373" s="6">
        <v>201</v>
      </c>
      <c r="R373" s="6">
        <v>187.3</v>
      </c>
      <c r="S373" s="6">
        <v>179.7</v>
      </c>
      <c r="T373" s="6">
        <v>186.2</v>
      </c>
      <c r="U373" s="6">
        <v>175.6</v>
      </c>
      <c r="V373" s="6">
        <v>182.8</v>
      </c>
      <c r="W373" s="6">
        <v>175.2</v>
      </c>
      <c r="X373" s="6">
        <v>185.7</v>
      </c>
      <c r="Y373" s="6">
        <v>164.8</v>
      </c>
      <c r="Z373" s="6">
        <v>171.2</v>
      </c>
      <c r="AA373" s="6">
        <v>177.1</v>
      </c>
      <c r="AB373" s="6">
        <v>185.2</v>
      </c>
      <c r="AC373" s="6">
        <v>175.7</v>
      </c>
      <c r="AD373" s="6">
        <v>179.1</v>
      </c>
    </row>
  </sheetData>
  <autoFilter ref="A1:AF373" xr:uid="{163FA8BB-B576-43F8-B74F-40368DE9F28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60FF3-4F5B-4CA0-ABFD-903A990EAF57}">
  <dimension ref="A1:J30"/>
  <sheetViews>
    <sheetView topLeftCell="A22" zoomScale="90" workbookViewId="0">
      <selection sqref="A1:F2"/>
    </sheetView>
  </sheetViews>
  <sheetFormatPr defaultRowHeight="14.4"/>
  <cols>
    <col min="1" max="1" width="29.88671875" customWidth="1"/>
    <col min="2" max="2" width="23.77734375" customWidth="1"/>
    <col min="4" max="4" width="23.77734375" customWidth="1"/>
    <col min="5" max="5" width="15.109375" customWidth="1"/>
    <col min="6" max="6" width="17.21875" customWidth="1"/>
    <col min="8" max="8" width="23.77734375" customWidth="1"/>
    <col min="9" max="9" width="11.6640625" customWidth="1"/>
    <col min="10" max="10" width="23" customWidth="1"/>
    <col min="11" max="11" width="12.6640625" customWidth="1"/>
    <col min="12" max="12" width="15.109375" bestFit="1" customWidth="1"/>
    <col min="13" max="13" width="11.6640625" bestFit="1" customWidth="1"/>
    <col min="14" max="14" width="12.6640625" bestFit="1" customWidth="1"/>
    <col min="16" max="16" width="17.88671875" bestFit="1" customWidth="1"/>
    <col min="17" max="17" width="34.77734375" bestFit="1" customWidth="1"/>
    <col min="20" max="20" width="12.44140625" customWidth="1"/>
  </cols>
  <sheetData>
    <row r="1" spans="1:10">
      <c r="A1" s="96" t="s">
        <v>53</v>
      </c>
      <c r="B1" s="97"/>
      <c r="C1" s="97"/>
      <c r="D1" s="97"/>
      <c r="E1" s="97"/>
      <c r="F1" s="98"/>
    </row>
    <row r="2" spans="1:10">
      <c r="A2" s="99"/>
      <c r="B2" s="100"/>
      <c r="C2" s="100"/>
      <c r="D2" s="100"/>
      <c r="E2" s="100"/>
      <c r="F2" s="101"/>
    </row>
    <row r="3" spans="1:10">
      <c r="A3" t="s">
        <v>47</v>
      </c>
      <c r="B3" t="s">
        <v>167</v>
      </c>
      <c r="C3" t="s">
        <v>30</v>
      </c>
      <c r="D3" s="90" t="s">
        <v>32</v>
      </c>
      <c r="E3" s="90" t="s">
        <v>33</v>
      </c>
      <c r="F3" t="s">
        <v>52</v>
      </c>
      <c r="H3" s="68" t="s">
        <v>47</v>
      </c>
      <c r="I3" s="65" t="s">
        <v>192</v>
      </c>
      <c r="J3" s="41" t="s">
        <v>193</v>
      </c>
    </row>
    <row r="4" spans="1:10">
      <c r="A4" s="9" t="s">
        <v>45</v>
      </c>
      <c r="B4" s="9" t="s">
        <v>3</v>
      </c>
      <c r="C4" s="9">
        <v>173.3</v>
      </c>
      <c r="D4" s="25">
        <v>174.8</v>
      </c>
      <c r="E4" s="9">
        <v>173.8</v>
      </c>
      <c r="F4" s="11">
        <v>521.90000000000009</v>
      </c>
      <c r="H4" s="69" t="s">
        <v>17</v>
      </c>
      <c r="I4">
        <v>1647.6000000000001</v>
      </c>
      <c r="J4" s="70">
        <v>0.11418829008649369</v>
      </c>
    </row>
    <row r="5" spans="1:10">
      <c r="A5" s="10" t="s">
        <v>45</v>
      </c>
      <c r="B5" s="10" t="s">
        <v>4</v>
      </c>
      <c r="C5" s="10">
        <v>206.9</v>
      </c>
      <c r="D5" s="24">
        <v>213.7</v>
      </c>
      <c r="E5" s="10">
        <v>209.3</v>
      </c>
      <c r="F5" s="12">
        <v>629.90000000000009</v>
      </c>
      <c r="H5" s="69" t="s">
        <v>114</v>
      </c>
      <c r="I5">
        <v>2618.3999999999996</v>
      </c>
      <c r="J5" s="70">
        <v>0.18147039254823683</v>
      </c>
    </row>
    <row r="6" spans="1:10">
      <c r="A6" s="9" t="s">
        <v>45</v>
      </c>
      <c r="B6" s="9" t="s">
        <v>5</v>
      </c>
      <c r="C6" s="9">
        <v>167.9</v>
      </c>
      <c r="D6" s="25">
        <v>172.4</v>
      </c>
      <c r="E6" s="9">
        <v>169.6</v>
      </c>
      <c r="F6" s="11">
        <v>509.9</v>
      </c>
      <c r="H6" s="69" t="s">
        <v>45</v>
      </c>
      <c r="I6">
        <v>6364.9000000000005</v>
      </c>
      <c r="J6" s="70">
        <v>0.44112469505433577</v>
      </c>
    </row>
    <row r="7" spans="1:10">
      <c r="A7" s="10" t="s">
        <v>45</v>
      </c>
      <c r="B7" s="10" t="s">
        <v>6</v>
      </c>
      <c r="C7" s="10">
        <v>178.2</v>
      </c>
      <c r="D7" s="24">
        <v>178.8</v>
      </c>
      <c r="E7" s="10">
        <v>178.4</v>
      </c>
      <c r="F7" s="12">
        <v>535.4</v>
      </c>
      <c r="H7" s="69" t="s">
        <v>115</v>
      </c>
      <c r="I7">
        <v>1105.9000000000001</v>
      </c>
      <c r="J7" s="70">
        <v>7.6645320470170766E-2</v>
      </c>
    </row>
    <row r="8" spans="1:10">
      <c r="A8" s="9" t="s">
        <v>45</v>
      </c>
      <c r="B8" s="9" t="s">
        <v>7</v>
      </c>
      <c r="C8" s="9">
        <v>178.5</v>
      </c>
      <c r="D8" s="25">
        <v>168.7</v>
      </c>
      <c r="E8" s="9">
        <v>174.9</v>
      </c>
      <c r="F8" s="11">
        <v>522.1</v>
      </c>
      <c r="H8" s="69" t="s">
        <v>48</v>
      </c>
      <c r="I8">
        <v>1632.9</v>
      </c>
      <c r="J8" s="70">
        <v>0.11316949434464404</v>
      </c>
    </row>
    <row r="9" spans="1:10">
      <c r="A9" s="10" t="s">
        <v>45</v>
      </c>
      <c r="B9" s="10" t="s">
        <v>8</v>
      </c>
      <c r="C9" s="10">
        <v>173.7</v>
      </c>
      <c r="D9" s="24">
        <v>179.2</v>
      </c>
      <c r="E9" s="10">
        <v>176.3</v>
      </c>
      <c r="F9" s="12">
        <v>529.20000000000005</v>
      </c>
      <c r="H9" s="69" t="s">
        <v>49</v>
      </c>
      <c r="I9">
        <v>1059.0999999999999</v>
      </c>
      <c r="J9" s="70">
        <v>7.3401807496118868E-2</v>
      </c>
    </row>
    <row r="10" spans="1:10">
      <c r="A10" s="9" t="s">
        <v>45</v>
      </c>
      <c r="B10" s="9" t="s">
        <v>9</v>
      </c>
      <c r="C10" s="9">
        <v>142.80000000000001</v>
      </c>
      <c r="D10" s="25">
        <v>179.9</v>
      </c>
      <c r="E10" s="9">
        <v>155.4</v>
      </c>
      <c r="F10" s="11">
        <v>478.1</v>
      </c>
      <c r="H10" s="71" t="s">
        <v>51</v>
      </c>
      <c r="I10" s="66">
        <v>14428.800000000001</v>
      </c>
      <c r="J10" s="72">
        <v>1</v>
      </c>
    </row>
    <row r="11" spans="1:10">
      <c r="A11" s="10" t="s">
        <v>45</v>
      </c>
      <c r="B11" s="10" t="s">
        <v>10</v>
      </c>
      <c r="C11" s="10">
        <v>172.8</v>
      </c>
      <c r="D11" s="24">
        <v>174.7</v>
      </c>
      <c r="E11" s="10">
        <v>173.4</v>
      </c>
      <c r="F11" s="12">
        <v>520.9</v>
      </c>
    </row>
    <row r="12" spans="1:10">
      <c r="A12" s="9" t="s">
        <v>45</v>
      </c>
      <c r="B12" s="9" t="s">
        <v>11</v>
      </c>
      <c r="C12" s="9">
        <v>120.4</v>
      </c>
      <c r="D12" s="25">
        <v>123.1</v>
      </c>
      <c r="E12" s="9">
        <v>121.3</v>
      </c>
      <c r="F12" s="11">
        <v>364.8</v>
      </c>
    </row>
    <row r="13" spans="1:10">
      <c r="A13" s="10" t="s">
        <v>45</v>
      </c>
      <c r="B13" s="10" t="s">
        <v>12</v>
      </c>
      <c r="C13" s="10">
        <v>215.5</v>
      </c>
      <c r="D13" s="24">
        <v>207.8</v>
      </c>
      <c r="E13" s="10">
        <v>212.9</v>
      </c>
      <c r="F13" s="12">
        <v>636.20000000000005</v>
      </c>
    </row>
    <row r="14" spans="1:10">
      <c r="A14" s="9" t="s">
        <v>48</v>
      </c>
      <c r="B14" s="9" t="s">
        <v>13</v>
      </c>
      <c r="C14" s="9">
        <v>178.2</v>
      </c>
      <c r="D14" s="25">
        <v>165.5</v>
      </c>
      <c r="E14" s="9">
        <v>172.9</v>
      </c>
      <c r="F14" s="11">
        <v>516.6</v>
      </c>
    </row>
    <row r="15" spans="1:10">
      <c r="A15" s="10" t="s">
        <v>45</v>
      </c>
      <c r="B15" s="10" t="s">
        <v>14</v>
      </c>
      <c r="C15" s="10">
        <v>190.5</v>
      </c>
      <c r="D15" s="24">
        <v>197</v>
      </c>
      <c r="E15" s="10">
        <v>193.5</v>
      </c>
      <c r="F15" s="12">
        <v>581</v>
      </c>
    </row>
    <row r="16" spans="1:10">
      <c r="A16" s="9" t="s">
        <v>45</v>
      </c>
      <c r="B16" s="9" t="s">
        <v>15</v>
      </c>
      <c r="C16" s="9">
        <v>175.5</v>
      </c>
      <c r="D16" s="25">
        <v>182.1</v>
      </c>
      <c r="E16" s="9">
        <v>177.9</v>
      </c>
      <c r="F16" s="11">
        <v>535.5</v>
      </c>
    </row>
    <row r="17" spans="1:6">
      <c r="A17" s="10" t="s">
        <v>48</v>
      </c>
      <c r="B17" s="10" t="s">
        <v>16</v>
      </c>
      <c r="C17" s="10">
        <v>199.5</v>
      </c>
      <c r="D17" s="24">
        <v>203.5</v>
      </c>
      <c r="E17" s="10">
        <v>200.6</v>
      </c>
      <c r="F17" s="12">
        <v>603.6</v>
      </c>
    </row>
    <row r="18" spans="1:6">
      <c r="A18" s="9" t="s">
        <v>17</v>
      </c>
      <c r="B18" s="9" t="s">
        <v>17</v>
      </c>
      <c r="C18" s="9">
        <v>190.7</v>
      </c>
      <c r="D18" s="25">
        <v>181</v>
      </c>
      <c r="E18" s="9">
        <v>186.9</v>
      </c>
      <c r="F18" s="11">
        <v>558.6</v>
      </c>
    </row>
    <row r="19" spans="1:6">
      <c r="A19" s="10" t="s">
        <v>17</v>
      </c>
      <c r="B19" s="10" t="s">
        <v>18</v>
      </c>
      <c r="C19" s="10">
        <v>187.3</v>
      </c>
      <c r="D19" s="24">
        <v>167.7</v>
      </c>
      <c r="E19" s="10">
        <v>179.2</v>
      </c>
      <c r="F19" s="12">
        <v>534.20000000000005</v>
      </c>
    </row>
    <row r="20" spans="1:6">
      <c r="A20" s="9" t="s">
        <v>17</v>
      </c>
      <c r="B20" s="9" t="s">
        <v>19</v>
      </c>
      <c r="C20" s="9">
        <v>190.2</v>
      </c>
      <c r="D20" s="25">
        <v>178.9</v>
      </c>
      <c r="E20" s="9">
        <v>185.7</v>
      </c>
      <c r="F20" s="11">
        <v>554.79999999999995</v>
      </c>
    </row>
    <row r="21" spans="1:6">
      <c r="A21" s="10" t="s">
        <v>114</v>
      </c>
      <c r="B21" s="10" t="s">
        <v>20</v>
      </c>
      <c r="C21" s="10">
        <v>175.4</v>
      </c>
      <c r="D21" s="24">
        <v>175.2</v>
      </c>
      <c r="E21" s="10">
        <v>175.2</v>
      </c>
      <c r="F21" s="12">
        <v>525.79999999999995</v>
      </c>
    </row>
    <row r="22" spans="1:6">
      <c r="A22" s="10" t="s">
        <v>114</v>
      </c>
      <c r="B22" s="9" t="s">
        <v>21</v>
      </c>
      <c r="C22" s="9">
        <v>181.5</v>
      </c>
      <c r="D22" s="25">
        <v>182.1</v>
      </c>
      <c r="E22" s="9">
        <v>181.7</v>
      </c>
      <c r="F22" s="11">
        <v>545.29999999999995</v>
      </c>
    </row>
    <row r="23" spans="1:6">
      <c r="A23" s="10" t="s">
        <v>114</v>
      </c>
      <c r="B23" s="10" t="s">
        <v>22</v>
      </c>
      <c r="C23" s="10">
        <v>179.1</v>
      </c>
      <c r="D23" s="24">
        <v>169.6</v>
      </c>
      <c r="E23" s="10">
        <v>174.6</v>
      </c>
      <c r="F23" s="12">
        <v>523.29999999999995</v>
      </c>
    </row>
    <row r="24" spans="1:6">
      <c r="A24" s="9" t="s">
        <v>115</v>
      </c>
      <c r="B24" s="9" t="s">
        <v>23</v>
      </c>
      <c r="C24" s="9">
        <v>187.2</v>
      </c>
      <c r="D24" s="25">
        <v>181.5</v>
      </c>
      <c r="E24" s="9">
        <v>185</v>
      </c>
      <c r="F24" s="11">
        <v>553.70000000000005</v>
      </c>
    </row>
    <row r="25" spans="1:6">
      <c r="A25" s="10" t="s">
        <v>114</v>
      </c>
      <c r="B25" s="10" t="s">
        <v>24</v>
      </c>
      <c r="C25" s="10">
        <v>169.4</v>
      </c>
      <c r="D25" s="24">
        <v>160.1</v>
      </c>
      <c r="E25" s="10">
        <v>164.5</v>
      </c>
      <c r="F25" s="12">
        <v>494</v>
      </c>
    </row>
    <row r="26" spans="1:6">
      <c r="A26" s="9" t="s">
        <v>48</v>
      </c>
      <c r="B26" s="9" t="s">
        <v>25</v>
      </c>
      <c r="C26" s="9">
        <v>173.2</v>
      </c>
      <c r="D26" s="25">
        <v>168.8</v>
      </c>
      <c r="E26" s="9">
        <v>170.7</v>
      </c>
      <c r="F26" s="11">
        <v>512.70000000000005</v>
      </c>
    </row>
    <row r="27" spans="1:6">
      <c r="A27" s="10" t="s">
        <v>114</v>
      </c>
      <c r="B27" s="10" t="s">
        <v>26</v>
      </c>
      <c r="C27" s="10">
        <v>179.4</v>
      </c>
      <c r="D27" s="24">
        <v>174.2</v>
      </c>
      <c r="E27" s="10">
        <v>176.4</v>
      </c>
      <c r="F27" s="12">
        <v>530</v>
      </c>
    </row>
    <row r="28" spans="1:6">
      <c r="A28" s="9" t="s">
        <v>115</v>
      </c>
      <c r="B28" s="9" t="s">
        <v>27</v>
      </c>
      <c r="C28" s="9">
        <v>183.8</v>
      </c>
      <c r="D28" s="25">
        <v>184.4</v>
      </c>
      <c r="E28" s="9">
        <v>184</v>
      </c>
      <c r="F28" s="11">
        <v>552.20000000000005</v>
      </c>
    </row>
    <row r="29" spans="1:6">
      <c r="A29" s="10" t="s">
        <v>49</v>
      </c>
      <c r="B29" s="10" t="s">
        <v>28</v>
      </c>
      <c r="C29" s="10">
        <v>178.9</v>
      </c>
      <c r="D29" s="24">
        <v>170.9</v>
      </c>
      <c r="E29" s="10">
        <v>175</v>
      </c>
      <c r="F29" s="12">
        <v>524.79999999999995</v>
      </c>
    </row>
    <row r="30" spans="1:6">
      <c r="A30" s="44" t="s">
        <v>49</v>
      </c>
      <c r="B30" s="44" t="s">
        <v>29</v>
      </c>
      <c r="C30" s="44">
        <v>178.8</v>
      </c>
      <c r="D30" s="29">
        <v>177.4</v>
      </c>
      <c r="E30" s="44">
        <v>178.1</v>
      </c>
      <c r="F30" s="45">
        <v>534.30000000000007</v>
      </c>
    </row>
  </sheetData>
  <mergeCells count="1">
    <mergeCell ref="A1:F2"/>
  </mergeCells>
  <phoneticPr fontId="13" type="noConversion"/>
  <pageMargins left="0.7" right="0.7" top="0.75" bottom="0.75" header="0.3" footer="0.3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D229A-F0CF-44A6-8B9B-8E8B043AC502}">
  <dimension ref="A1:O31"/>
  <sheetViews>
    <sheetView zoomScale="75" zoomScaleNormal="77" workbookViewId="0">
      <selection sqref="A1:L2"/>
    </sheetView>
  </sheetViews>
  <sheetFormatPr defaultRowHeight="14.4"/>
  <cols>
    <col min="1" max="1" width="29.88671875" customWidth="1"/>
    <col min="2" max="2" width="15.77734375" customWidth="1"/>
    <col min="3" max="5" width="7" customWidth="1"/>
    <col min="6" max="6" width="8" customWidth="1"/>
    <col min="7" max="9" width="7" customWidth="1"/>
    <col min="10" max="10" width="9.6640625" customWidth="1"/>
    <col min="11" max="11" width="8" customWidth="1"/>
    <col min="12" max="12" width="16" customWidth="1"/>
    <col min="14" max="14" width="12.6640625" customWidth="1"/>
    <col min="15" max="15" width="15.21875" bestFit="1" customWidth="1"/>
    <col min="16" max="16" width="13.109375" customWidth="1"/>
    <col min="17" max="17" width="20.44140625" bestFit="1" customWidth="1"/>
  </cols>
  <sheetData>
    <row r="1" spans="1:15">
      <c r="A1" s="102" t="s">
        <v>56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4"/>
    </row>
    <row r="2" spans="1:15" ht="18" customHeight="1">
      <c r="A2" s="105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7"/>
    </row>
    <row r="3" spans="1:15">
      <c r="A3" s="91" t="s">
        <v>46</v>
      </c>
      <c r="B3" s="91" t="s">
        <v>47</v>
      </c>
      <c r="C3" t="s">
        <v>57</v>
      </c>
      <c r="D3" t="s">
        <v>58</v>
      </c>
      <c r="E3" t="s">
        <v>59</v>
      </c>
      <c r="F3" t="s">
        <v>60</v>
      </c>
      <c r="G3" t="s">
        <v>61</v>
      </c>
      <c r="H3" t="s">
        <v>62</v>
      </c>
      <c r="I3" t="s">
        <v>63</v>
      </c>
      <c r="J3" t="s">
        <v>65</v>
      </c>
      <c r="K3" t="s">
        <v>64</v>
      </c>
      <c r="L3" t="s">
        <v>66</v>
      </c>
      <c r="N3" s="68" t="s">
        <v>65</v>
      </c>
      <c r="O3" s="41" t="s">
        <v>194</v>
      </c>
    </row>
    <row r="4" spans="1:15">
      <c r="A4" s="9" t="s">
        <v>3</v>
      </c>
      <c r="B4" s="9" t="s">
        <v>45</v>
      </c>
      <c r="C4">
        <v>1607.8000000000002</v>
      </c>
      <c r="D4">
        <v>1644.7</v>
      </c>
      <c r="E4">
        <v>1537.6</v>
      </c>
      <c r="F4">
        <v>1767.9000000000003</v>
      </c>
      <c r="G4">
        <v>1754.5000000000002</v>
      </c>
      <c r="H4">
        <v>1894.9000000000003</v>
      </c>
      <c r="I4">
        <v>870.10000000000014</v>
      </c>
      <c r="J4" s="17">
        <v>2017</v>
      </c>
      <c r="K4">
        <f>SUM(Table2[2017])</f>
        <v>43222.799999999996</v>
      </c>
      <c r="L4" s="15">
        <v>0</v>
      </c>
      <c r="N4" s="69">
        <v>2017</v>
      </c>
      <c r="O4" s="73">
        <v>0</v>
      </c>
    </row>
    <row r="5" spans="1:15">
      <c r="A5" s="10" t="s">
        <v>4</v>
      </c>
      <c r="B5" s="10" t="s">
        <v>45</v>
      </c>
      <c r="C5">
        <v>1701.9000000000003</v>
      </c>
      <c r="D5">
        <v>1763.1</v>
      </c>
      <c r="E5">
        <v>1750.3</v>
      </c>
      <c r="F5">
        <v>2205.15</v>
      </c>
      <c r="G5">
        <v>2389.1</v>
      </c>
      <c r="H5">
        <v>2516.2000000000003</v>
      </c>
      <c r="I5">
        <v>1049.6999999999998</v>
      </c>
      <c r="J5" s="17" t="s">
        <v>67</v>
      </c>
      <c r="K5">
        <f>SUM(Table2[2018])</f>
        <v>44665.799999999988</v>
      </c>
      <c r="L5" s="15">
        <f>(K5-K4)/K4</f>
        <v>3.3385157833365556E-2</v>
      </c>
      <c r="N5" s="69" t="s">
        <v>67</v>
      </c>
      <c r="O5" s="73">
        <v>3.3385157833365556E-2</v>
      </c>
    </row>
    <row r="6" spans="1:15">
      <c r="A6" s="9" t="s">
        <v>5</v>
      </c>
      <c r="B6" s="9" t="s">
        <v>45</v>
      </c>
      <c r="C6">
        <v>1579.0000000000002</v>
      </c>
      <c r="D6">
        <v>1650.9999999999998</v>
      </c>
      <c r="E6">
        <v>1553.1999999999996</v>
      </c>
      <c r="F6">
        <v>1869.4</v>
      </c>
      <c r="G6">
        <v>2073.3000000000002</v>
      </c>
      <c r="H6">
        <v>2076.7000000000003</v>
      </c>
      <c r="I6">
        <v>887.7</v>
      </c>
      <c r="J6" s="17" t="s">
        <v>68</v>
      </c>
      <c r="K6">
        <f>SUM(Table2[2019])</f>
        <v>42432.6</v>
      </c>
      <c r="L6" s="15">
        <f t="shared" ref="L6:L10" si="0">(K6-K5)/K5</f>
        <v>-4.9997985035530323E-2</v>
      </c>
      <c r="N6" s="69" t="s">
        <v>68</v>
      </c>
      <c r="O6" s="73">
        <v>-4.9997985035530323E-2</v>
      </c>
    </row>
    <row r="7" spans="1:15">
      <c r="A7" s="10" t="s">
        <v>6</v>
      </c>
      <c r="B7" s="10" t="s">
        <v>45</v>
      </c>
      <c r="C7">
        <v>1659.9999999999998</v>
      </c>
      <c r="D7">
        <v>1703</v>
      </c>
      <c r="E7">
        <v>1587.7</v>
      </c>
      <c r="F7">
        <v>1836.2999999999995</v>
      </c>
      <c r="G7">
        <v>1883.6000000000001</v>
      </c>
      <c r="H7">
        <v>1999.1999999999998</v>
      </c>
      <c r="I7">
        <v>887.1</v>
      </c>
      <c r="J7" s="17" t="s">
        <v>69</v>
      </c>
      <c r="K7">
        <f>SUM(Table2[2020])</f>
        <v>49351.999999999993</v>
      </c>
      <c r="L7" s="15">
        <f t="shared" si="0"/>
        <v>0.1630680184575066</v>
      </c>
      <c r="N7" s="75" t="s">
        <v>69</v>
      </c>
      <c r="O7" s="76">
        <v>0.1630680184575066</v>
      </c>
    </row>
    <row r="8" spans="1:15">
      <c r="A8" s="9" t="s">
        <v>7</v>
      </c>
      <c r="B8" s="9" t="s">
        <v>45</v>
      </c>
      <c r="C8">
        <v>1425.1000000000001</v>
      </c>
      <c r="D8">
        <v>1454.9999999999998</v>
      </c>
      <c r="E8">
        <v>1352.8</v>
      </c>
      <c r="F8">
        <v>1643.3999999999999</v>
      </c>
      <c r="G8">
        <v>2132.3999999999996</v>
      </c>
      <c r="H8">
        <v>2307.8000000000002</v>
      </c>
      <c r="I8">
        <v>890.6</v>
      </c>
      <c r="J8" s="17" t="s">
        <v>70</v>
      </c>
      <c r="K8">
        <f>SUM(Table2[2021])</f>
        <v>52486.200000000004</v>
      </c>
      <c r="L8" s="15">
        <f t="shared" si="0"/>
        <v>6.3507051385962313E-2</v>
      </c>
      <c r="N8" s="69" t="s">
        <v>70</v>
      </c>
      <c r="O8" s="73">
        <v>6.3507051385962313E-2</v>
      </c>
    </row>
    <row r="9" spans="1:15">
      <c r="A9" s="10" t="s">
        <v>8</v>
      </c>
      <c r="B9" s="10" t="s">
        <v>45</v>
      </c>
      <c r="C9">
        <v>1679.1</v>
      </c>
      <c r="D9">
        <v>1764</v>
      </c>
      <c r="E9">
        <v>1590.1000000000001</v>
      </c>
      <c r="F9">
        <v>1763.6000000000004</v>
      </c>
      <c r="G9">
        <v>1894.6000000000001</v>
      </c>
      <c r="H9">
        <v>1973.6000000000001</v>
      </c>
      <c r="I9">
        <v>845.8</v>
      </c>
      <c r="J9" s="17" t="s">
        <v>71</v>
      </c>
      <c r="K9">
        <f>SUM(Table2[2022])</f>
        <v>55839.30000000001</v>
      </c>
      <c r="L9" s="15">
        <f t="shared" si="0"/>
        <v>6.3885364152863139E-2</v>
      </c>
      <c r="N9" s="69" t="s">
        <v>71</v>
      </c>
      <c r="O9" s="73">
        <v>6.3885364152863139E-2</v>
      </c>
    </row>
    <row r="10" spans="1:15">
      <c r="A10" s="9" t="s">
        <v>9</v>
      </c>
      <c r="B10" s="9" t="s">
        <v>45</v>
      </c>
      <c r="C10">
        <v>1724.4999999999998</v>
      </c>
      <c r="D10">
        <v>1729.7000000000003</v>
      </c>
      <c r="E10">
        <v>1793</v>
      </c>
      <c r="F10">
        <v>2190</v>
      </c>
      <c r="G10">
        <v>2012.6</v>
      </c>
      <c r="H10">
        <v>2137.6</v>
      </c>
      <c r="I10">
        <v>775.80000000000007</v>
      </c>
      <c r="J10" s="17" t="s">
        <v>72</v>
      </c>
      <c r="K10">
        <f>SUM(Table2[2023])</f>
        <v>23991.499999999993</v>
      </c>
      <c r="L10" s="15">
        <f t="shared" si="0"/>
        <v>-0.57034740765016778</v>
      </c>
      <c r="N10" s="69" t="s">
        <v>72</v>
      </c>
      <c r="O10" s="73">
        <v>-0.57034740765016778</v>
      </c>
    </row>
    <row r="11" spans="1:15">
      <c r="A11" s="10" t="s">
        <v>10</v>
      </c>
      <c r="B11" s="10" t="s">
        <v>45</v>
      </c>
      <c r="C11">
        <v>1662.8</v>
      </c>
      <c r="D11">
        <v>1468.3999999999999</v>
      </c>
      <c r="E11">
        <v>1415.3</v>
      </c>
      <c r="F11">
        <v>1793.2</v>
      </c>
      <c r="G11">
        <v>1959.1999999999998</v>
      </c>
      <c r="H11">
        <v>1996.8999999999999</v>
      </c>
      <c r="I11">
        <v>862</v>
      </c>
      <c r="N11" s="71" t="s">
        <v>51</v>
      </c>
      <c r="O11" s="74">
        <v>-0.29649980085600047</v>
      </c>
    </row>
    <row r="12" spans="1:15">
      <c r="A12" s="9" t="s">
        <v>11</v>
      </c>
      <c r="B12" s="9" t="s">
        <v>45</v>
      </c>
      <c r="C12">
        <v>1437.8999999999999</v>
      </c>
      <c r="D12">
        <v>1362.4</v>
      </c>
      <c r="E12">
        <v>1226.5</v>
      </c>
      <c r="F12">
        <v>1381.5000000000002</v>
      </c>
      <c r="G12">
        <v>1402.2000000000003</v>
      </c>
      <c r="H12">
        <v>1444.6</v>
      </c>
      <c r="I12">
        <v>605.1</v>
      </c>
    </row>
    <row r="13" spans="1:15">
      <c r="A13" s="10" t="s">
        <v>12</v>
      </c>
      <c r="B13" s="10" t="s">
        <v>45</v>
      </c>
      <c r="C13">
        <v>1640.5999999999997</v>
      </c>
      <c r="D13">
        <v>1667.6</v>
      </c>
      <c r="E13">
        <v>1568.6000000000001</v>
      </c>
      <c r="F13">
        <v>1898.1</v>
      </c>
      <c r="G13">
        <v>2007.5999999999997</v>
      </c>
      <c r="H13">
        <v>2265.8999999999996</v>
      </c>
      <c r="I13">
        <v>1058.6999999999998</v>
      </c>
    </row>
    <row r="14" spans="1:15">
      <c r="A14" s="9" t="s">
        <v>13</v>
      </c>
      <c r="B14" s="9" t="s">
        <v>48</v>
      </c>
      <c r="C14">
        <v>1536.2</v>
      </c>
      <c r="D14">
        <v>1569.5999999999997</v>
      </c>
      <c r="E14">
        <v>1479.6</v>
      </c>
      <c r="F14">
        <v>1689.5</v>
      </c>
      <c r="G14">
        <v>1918.1000000000004</v>
      </c>
      <c r="H14">
        <v>2013.4000000000003</v>
      </c>
      <c r="I14">
        <v>862.3</v>
      </c>
    </row>
    <row r="15" spans="1:15">
      <c r="A15" s="10" t="s">
        <v>14</v>
      </c>
      <c r="B15" s="10" t="s">
        <v>45</v>
      </c>
      <c r="C15">
        <v>1749.5</v>
      </c>
      <c r="D15">
        <v>1826.8999999999999</v>
      </c>
      <c r="E15">
        <v>1718.2999999999997</v>
      </c>
      <c r="F15">
        <v>1940.3999999999999</v>
      </c>
      <c r="G15">
        <v>2059.7000000000003</v>
      </c>
      <c r="H15">
        <v>2208.9</v>
      </c>
      <c r="I15">
        <v>964.90000000000009</v>
      </c>
    </row>
    <row r="16" spans="1:15">
      <c r="A16" s="9" t="s">
        <v>15</v>
      </c>
      <c r="B16" s="9" t="s">
        <v>45</v>
      </c>
      <c r="C16">
        <v>1642.8999999999999</v>
      </c>
      <c r="D16">
        <v>1670.1000000000001</v>
      </c>
      <c r="E16">
        <v>1590.6999999999998</v>
      </c>
      <c r="F16">
        <v>1871.1000000000001</v>
      </c>
      <c r="G16">
        <v>1953.5000000000002</v>
      </c>
      <c r="H16">
        <v>2082.8999999999996</v>
      </c>
      <c r="I16">
        <v>887.7</v>
      </c>
    </row>
    <row r="17" spans="1:9">
      <c r="A17" s="10" t="s">
        <v>16</v>
      </c>
      <c r="B17" s="10" t="s">
        <v>48</v>
      </c>
      <c r="C17">
        <v>1779.2</v>
      </c>
      <c r="D17">
        <v>1901.8</v>
      </c>
      <c r="E17">
        <v>1820.1</v>
      </c>
      <c r="F17">
        <v>2158.1999999999998</v>
      </c>
      <c r="G17">
        <v>2287.8000000000002</v>
      </c>
      <c r="H17">
        <v>2337</v>
      </c>
      <c r="I17">
        <v>998.80000000000007</v>
      </c>
    </row>
    <row r="18" spans="1:9">
      <c r="A18" s="9" t="s">
        <v>17</v>
      </c>
      <c r="B18" s="9" t="s">
        <v>17</v>
      </c>
      <c r="C18">
        <v>1674.1999999999998</v>
      </c>
      <c r="D18">
        <v>1755.2</v>
      </c>
      <c r="E18">
        <v>1637</v>
      </c>
      <c r="F18">
        <v>1834.65</v>
      </c>
      <c r="G18">
        <v>1946.6</v>
      </c>
      <c r="H18">
        <v>2127.1000000000004</v>
      </c>
      <c r="I18">
        <v>931.40000000000009</v>
      </c>
    </row>
    <row r="19" spans="1:9">
      <c r="A19" s="10" t="s">
        <v>18</v>
      </c>
      <c r="B19" s="10" t="s">
        <v>17</v>
      </c>
      <c r="C19">
        <v>1587.8</v>
      </c>
      <c r="D19">
        <v>1653.5</v>
      </c>
      <c r="E19">
        <v>1544.1999999999998</v>
      </c>
      <c r="F19">
        <v>1732.45</v>
      </c>
      <c r="G19">
        <v>1829.8999999999999</v>
      </c>
      <c r="H19">
        <v>2039.3</v>
      </c>
      <c r="I19">
        <v>893.90000000000009</v>
      </c>
    </row>
    <row r="20" spans="1:9">
      <c r="A20" s="9" t="s">
        <v>19</v>
      </c>
      <c r="B20" s="9" t="s">
        <v>17</v>
      </c>
      <c r="C20">
        <v>1661.7999999999997</v>
      </c>
      <c r="D20">
        <v>1740.4</v>
      </c>
      <c r="E20">
        <v>1623.5</v>
      </c>
      <c r="F20">
        <v>1819.75</v>
      </c>
      <c r="G20">
        <v>1929.8</v>
      </c>
      <c r="H20">
        <v>2114.3999999999996</v>
      </c>
      <c r="I20">
        <v>925.90000000000009</v>
      </c>
    </row>
    <row r="21" spans="1:9">
      <c r="A21" s="10" t="s">
        <v>20</v>
      </c>
      <c r="B21" s="10" t="s">
        <v>114</v>
      </c>
      <c r="C21">
        <v>1604.1</v>
      </c>
      <c r="D21">
        <v>1726.1000000000001</v>
      </c>
      <c r="E21">
        <v>1658.3999999999999</v>
      </c>
      <c r="F21">
        <v>1867.9</v>
      </c>
      <c r="G21">
        <v>1937.8</v>
      </c>
      <c r="H21">
        <v>2016.6</v>
      </c>
      <c r="I21">
        <v>869.9</v>
      </c>
    </row>
    <row r="22" spans="1:9">
      <c r="A22" s="10" t="s">
        <v>21</v>
      </c>
      <c r="B22" s="10" t="s">
        <v>114</v>
      </c>
      <c r="C22">
        <v>1566.1</v>
      </c>
      <c r="D22">
        <v>1677.3</v>
      </c>
      <c r="E22">
        <v>1542.6999999999998</v>
      </c>
      <c r="F22">
        <v>1730.6999999999998</v>
      </c>
      <c r="G22">
        <v>1908.6999999999998</v>
      </c>
      <c r="H22">
        <v>2101.6</v>
      </c>
      <c r="I22">
        <v>910.5</v>
      </c>
    </row>
    <row r="23" spans="1:9">
      <c r="A23" s="10" t="s">
        <v>22</v>
      </c>
      <c r="B23" s="10" t="s">
        <v>114</v>
      </c>
      <c r="C23">
        <v>1582.4</v>
      </c>
      <c r="D23">
        <v>1662.9000000000003</v>
      </c>
      <c r="E23">
        <v>1587.9999999999998</v>
      </c>
      <c r="F23">
        <v>1777.2500000000002</v>
      </c>
      <c r="G23">
        <v>1862.1</v>
      </c>
      <c r="H23">
        <v>2000.6000000000001</v>
      </c>
      <c r="I23">
        <v>871.09999999999991</v>
      </c>
    </row>
    <row r="24" spans="1:9">
      <c r="A24" s="9" t="s">
        <v>23</v>
      </c>
      <c r="B24" s="9" t="s">
        <v>115</v>
      </c>
      <c r="C24">
        <v>1554.4999999999995</v>
      </c>
      <c r="D24">
        <v>1651</v>
      </c>
      <c r="E24">
        <v>1626.3000000000002</v>
      </c>
      <c r="F24">
        <v>1855.2999999999997</v>
      </c>
      <c r="G24">
        <v>1990.1000000000001</v>
      </c>
      <c r="H24">
        <v>2111.1</v>
      </c>
      <c r="I24">
        <v>921.8</v>
      </c>
    </row>
    <row r="25" spans="1:9">
      <c r="A25" s="10" t="s">
        <v>24</v>
      </c>
      <c r="B25" s="10" t="s">
        <v>114</v>
      </c>
      <c r="C25">
        <v>1408</v>
      </c>
      <c r="D25">
        <v>1477.5</v>
      </c>
      <c r="E25">
        <v>1381.4999999999998</v>
      </c>
      <c r="F25">
        <v>1637.95</v>
      </c>
      <c r="G25">
        <v>1806.6999999999998</v>
      </c>
      <c r="H25">
        <v>1933.1000000000001</v>
      </c>
      <c r="I25">
        <v>821.3</v>
      </c>
    </row>
    <row r="26" spans="1:9">
      <c r="A26" s="9" t="s">
        <v>25</v>
      </c>
      <c r="B26" s="9" t="s">
        <v>48</v>
      </c>
      <c r="C26">
        <v>1518.6000000000001</v>
      </c>
      <c r="D26">
        <v>1596.6999999999998</v>
      </c>
      <c r="E26">
        <v>1539.1</v>
      </c>
      <c r="F26">
        <v>1763.9499999999998</v>
      </c>
      <c r="G26">
        <v>1867.1999999999998</v>
      </c>
      <c r="H26">
        <v>1988.3000000000002</v>
      </c>
      <c r="I26">
        <v>852</v>
      </c>
    </row>
    <row r="27" spans="1:9">
      <c r="A27" s="10" t="s">
        <v>26</v>
      </c>
      <c r="B27" s="10" t="s">
        <v>114</v>
      </c>
      <c r="C27">
        <v>1632</v>
      </c>
      <c r="D27">
        <v>1726.7</v>
      </c>
      <c r="E27">
        <v>1685.6000000000001</v>
      </c>
      <c r="F27">
        <v>1894.4499999999998</v>
      </c>
      <c r="G27">
        <v>1945.4000000000003</v>
      </c>
      <c r="H27">
        <v>2037.8999999999999</v>
      </c>
      <c r="I27">
        <v>877.8</v>
      </c>
    </row>
    <row r="28" spans="1:9">
      <c r="A28" s="9" t="s">
        <v>27</v>
      </c>
      <c r="B28" s="9" t="s">
        <v>115</v>
      </c>
      <c r="C28">
        <v>1489.7</v>
      </c>
      <c r="D28">
        <v>1559.7</v>
      </c>
      <c r="E28">
        <v>1502.5</v>
      </c>
      <c r="F28">
        <v>1817.2</v>
      </c>
      <c r="G28">
        <v>1904.8999999999999</v>
      </c>
      <c r="H28">
        <v>2034.4999999999998</v>
      </c>
      <c r="I28">
        <v>909.8</v>
      </c>
    </row>
    <row r="29" spans="1:9">
      <c r="A29" s="10" t="s">
        <v>28</v>
      </c>
      <c r="B29" s="10" t="s">
        <v>49</v>
      </c>
      <c r="C29">
        <v>1515.1</v>
      </c>
      <c r="D29">
        <v>1596.2</v>
      </c>
      <c r="E29">
        <v>1534</v>
      </c>
      <c r="F29">
        <v>1775.5500000000002</v>
      </c>
      <c r="G29">
        <v>1891.3000000000002</v>
      </c>
      <c r="H29">
        <v>2013.3999999999999</v>
      </c>
      <c r="I29">
        <v>871.7</v>
      </c>
    </row>
    <row r="30" spans="1:9">
      <c r="A30" s="44" t="s">
        <v>29</v>
      </c>
      <c r="B30" s="44" t="s">
        <v>49</v>
      </c>
      <c r="C30">
        <v>1602</v>
      </c>
      <c r="D30">
        <v>1665.3</v>
      </c>
      <c r="E30">
        <v>1586</v>
      </c>
      <c r="F30">
        <v>1837.1500000000003</v>
      </c>
      <c r="G30">
        <v>1937.5000000000002</v>
      </c>
      <c r="H30">
        <v>2065.7999999999997</v>
      </c>
      <c r="I30">
        <v>888.1</v>
      </c>
    </row>
    <row r="31" spans="1:9">
      <c r="B31" s="56" t="s">
        <v>64</v>
      </c>
      <c r="C31" s="56">
        <f>SUM(Table2[2017])</f>
        <v>43222.799999999996</v>
      </c>
      <c r="D31" s="56">
        <f>SUM(Table2[2018])</f>
        <v>44665.799999999988</v>
      </c>
      <c r="E31" s="56">
        <f>SUM(Table2[2019])</f>
        <v>42432.6</v>
      </c>
      <c r="F31" s="56">
        <f>SUM(Table2[2020])</f>
        <v>49351.999999999993</v>
      </c>
      <c r="G31" s="56">
        <f>SUM(Table2[2021])</f>
        <v>52486.200000000004</v>
      </c>
      <c r="H31" s="56">
        <f>SUM(Table2[2022])</f>
        <v>55839.30000000001</v>
      </c>
      <c r="I31" s="56">
        <f>SUM(Table2[2023])</f>
        <v>23991.499999999993</v>
      </c>
    </row>
  </sheetData>
  <mergeCells count="1">
    <mergeCell ref="A1:L2"/>
  </mergeCells>
  <phoneticPr fontId="13" type="noConversion"/>
  <conditionalFormatting pivot="1" sqref="O4:O10">
    <cfRule type="top10" dxfId="114" priority="3" percent="1" rank="10"/>
  </conditionalFormatting>
  <conditionalFormatting sqref="N7">
    <cfRule type="top10" dxfId="113" priority="1" percent="1" rank="10"/>
  </conditionalFormatting>
  <pageMargins left="0.7" right="0.7" top="0.75" bottom="0.75" header="0.3" footer="0.3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41B51-97D9-4D03-A17B-023B4EC8D0C0}">
  <dimension ref="A1:AD37"/>
  <sheetViews>
    <sheetView workbookViewId="0">
      <selection activeCell="AE8" sqref="AE8"/>
    </sheetView>
  </sheetViews>
  <sheetFormatPr defaultRowHeight="14.4"/>
  <cols>
    <col min="30" max="30" width="13.88671875" customWidth="1"/>
  </cols>
  <sheetData>
    <row r="1" spans="1:3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s="3" t="s">
        <v>30</v>
      </c>
      <c r="B2" s="4">
        <v>2022</v>
      </c>
      <c r="C2" s="4" t="s">
        <v>38</v>
      </c>
      <c r="D2" s="4">
        <v>153.80000000000001</v>
      </c>
      <c r="E2" s="4">
        <v>217.2</v>
      </c>
      <c r="F2" s="4">
        <v>169.6</v>
      </c>
      <c r="G2" s="4">
        <v>165.4</v>
      </c>
      <c r="H2" s="4">
        <v>208.1</v>
      </c>
      <c r="I2" s="4">
        <v>165.8</v>
      </c>
      <c r="J2" s="4">
        <v>167.3</v>
      </c>
      <c r="K2" s="4">
        <v>164.6</v>
      </c>
      <c r="L2" s="4">
        <v>119.1</v>
      </c>
      <c r="M2" s="4">
        <v>188.9</v>
      </c>
      <c r="N2" s="4">
        <v>174.2</v>
      </c>
      <c r="O2" s="4">
        <v>181.9</v>
      </c>
      <c r="P2" s="4">
        <v>172.4</v>
      </c>
      <c r="Q2" s="4">
        <v>192.9</v>
      </c>
      <c r="R2" s="4">
        <v>180.7</v>
      </c>
      <c r="S2" s="4">
        <v>178.7</v>
      </c>
      <c r="T2" s="4">
        <v>180.4</v>
      </c>
      <c r="U2" s="4">
        <v>167.3</v>
      </c>
      <c r="V2" s="4">
        <v>176.7</v>
      </c>
      <c r="W2" s="4">
        <v>170.3</v>
      </c>
      <c r="X2" s="4">
        <v>178.2</v>
      </c>
      <c r="Y2" s="4">
        <v>165.5</v>
      </c>
      <c r="Z2" s="4">
        <v>168</v>
      </c>
      <c r="AA2" s="4">
        <v>172.6</v>
      </c>
      <c r="AB2" s="4">
        <v>169.5</v>
      </c>
      <c r="AC2" s="4">
        <v>171</v>
      </c>
      <c r="AD2" s="4">
        <v>173.6</v>
      </c>
    </row>
    <row r="3" spans="1:30">
      <c r="A3" s="5" t="s">
        <v>32</v>
      </c>
      <c r="B3" s="6">
        <v>2022</v>
      </c>
      <c r="C3" s="6" t="s">
        <v>38</v>
      </c>
      <c r="D3" s="6">
        <v>157.5</v>
      </c>
      <c r="E3" s="6">
        <v>223.4</v>
      </c>
      <c r="F3" s="6">
        <v>172.8</v>
      </c>
      <c r="G3" s="6">
        <v>166.4</v>
      </c>
      <c r="H3" s="6">
        <v>188.6</v>
      </c>
      <c r="I3" s="6">
        <v>174.1</v>
      </c>
      <c r="J3" s="6">
        <v>211.5</v>
      </c>
      <c r="K3" s="6">
        <v>163.6</v>
      </c>
      <c r="L3" s="6">
        <v>121.4</v>
      </c>
      <c r="M3" s="6">
        <v>183.5</v>
      </c>
      <c r="N3" s="6">
        <v>159.1</v>
      </c>
      <c r="O3" s="6">
        <v>186.3</v>
      </c>
      <c r="P3" s="6">
        <v>179.3</v>
      </c>
      <c r="Q3" s="6">
        <v>198.3</v>
      </c>
      <c r="R3" s="6">
        <v>171.6</v>
      </c>
      <c r="S3" s="6">
        <v>157.4</v>
      </c>
      <c r="T3" s="6">
        <v>169.4</v>
      </c>
      <c r="U3" s="6">
        <v>166.8</v>
      </c>
      <c r="V3" s="6">
        <v>174.9</v>
      </c>
      <c r="W3" s="6">
        <v>162.1</v>
      </c>
      <c r="X3" s="6">
        <v>170.9</v>
      </c>
      <c r="Y3" s="6">
        <v>157.19999999999999</v>
      </c>
      <c r="Z3" s="6">
        <v>164.1</v>
      </c>
      <c r="AA3" s="6">
        <v>166.5</v>
      </c>
      <c r="AB3" s="6">
        <v>169.2</v>
      </c>
      <c r="AC3" s="6">
        <v>163.80000000000001</v>
      </c>
      <c r="AD3" s="6">
        <v>171.4</v>
      </c>
    </row>
    <row r="4" spans="1:30">
      <c r="A4" s="3" t="s">
        <v>33</v>
      </c>
      <c r="B4" s="4">
        <v>2022</v>
      </c>
      <c r="C4" s="4" t="s">
        <v>38</v>
      </c>
      <c r="D4" s="4">
        <v>155</v>
      </c>
      <c r="E4" s="4">
        <v>219.4</v>
      </c>
      <c r="F4" s="4">
        <v>170.8</v>
      </c>
      <c r="G4" s="4">
        <v>165.8</v>
      </c>
      <c r="H4" s="4">
        <v>200.9</v>
      </c>
      <c r="I4" s="4">
        <v>169.7</v>
      </c>
      <c r="J4" s="4">
        <v>182.3</v>
      </c>
      <c r="K4" s="4">
        <v>164.3</v>
      </c>
      <c r="L4" s="4">
        <v>119.9</v>
      </c>
      <c r="M4" s="4">
        <v>187.1</v>
      </c>
      <c r="N4" s="4">
        <v>167.9</v>
      </c>
      <c r="O4" s="4">
        <v>183.9</v>
      </c>
      <c r="P4" s="4">
        <v>174.9</v>
      </c>
      <c r="Q4" s="4">
        <v>194.3</v>
      </c>
      <c r="R4" s="4">
        <v>177.1</v>
      </c>
      <c r="S4" s="4">
        <v>169.9</v>
      </c>
      <c r="T4" s="4">
        <v>176</v>
      </c>
      <c r="U4" s="4">
        <v>166.8</v>
      </c>
      <c r="V4" s="4">
        <v>176</v>
      </c>
      <c r="W4" s="4">
        <v>166.4</v>
      </c>
      <c r="X4" s="4">
        <v>175.4</v>
      </c>
      <c r="Y4" s="4">
        <v>161.1</v>
      </c>
      <c r="Z4" s="4">
        <v>165.8</v>
      </c>
      <c r="AA4" s="4">
        <v>169</v>
      </c>
      <c r="AB4" s="4">
        <v>169.4</v>
      </c>
      <c r="AC4" s="4">
        <v>167.5</v>
      </c>
      <c r="AD4" s="4">
        <v>172.6</v>
      </c>
    </row>
    <row r="5" spans="1:30">
      <c r="A5" s="5" t="s">
        <v>30</v>
      </c>
      <c r="B5" s="6">
        <v>2022</v>
      </c>
      <c r="C5" s="6" t="s">
        <v>39</v>
      </c>
      <c r="D5" s="6">
        <v>155.19999999999999</v>
      </c>
      <c r="E5" s="6">
        <v>210.8</v>
      </c>
      <c r="F5" s="6">
        <v>174.3</v>
      </c>
      <c r="G5" s="6">
        <v>166.3</v>
      </c>
      <c r="H5" s="6">
        <v>202.2</v>
      </c>
      <c r="I5" s="6">
        <v>169.6</v>
      </c>
      <c r="J5" s="6">
        <v>168.6</v>
      </c>
      <c r="K5" s="6">
        <v>164.4</v>
      </c>
      <c r="L5" s="6">
        <v>119.2</v>
      </c>
      <c r="M5" s="6">
        <v>191.8</v>
      </c>
      <c r="N5" s="6">
        <v>174.5</v>
      </c>
      <c r="O5" s="6">
        <v>183.1</v>
      </c>
      <c r="P5" s="6">
        <v>172.5</v>
      </c>
      <c r="Q5" s="6">
        <v>193.2</v>
      </c>
      <c r="R5" s="6">
        <v>182</v>
      </c>
      <c r="S5" s="6">
        <v>180.3</v>
      </c>
      <c r="T5" s="6">
        <v>181.7</v>
      </c>
      <c r="U5" s="6">
        <v>167.3</v>
      </c>
      <c r="V5" s="6">
        <v>179.6</v>
      </c>
      <c r="W5" s="6">
        <v>171.3</v>
      </c>
      <c r="X5" s="6">
        <v>178.8</v>
      </c>
      <c r="Y5" s="6">
        <v>166.3</v>
      </c>
      <c r="Z5" s="6">
        <v>168.6</v>
      </c>
      <c r="AA5" s="6">
        <v>174.7</v>
      </c>
      <c r="AB5" s="6">
        <v>169.7</v>
      </c>
      <c r="AC5" s="6">
        <v>171.8</v>
      </c>
      <c r="AD5" s="6">
        <v>174.3</v>
      </c>
    </row>
    <row r="6" spans="1:30">
      <c r="A6" s="3" t="s">
        <v>32</v>
      </c>
      <c r="B6" s="4">
        <v>2022</v>
      </c>
      <c r="C6" s="4" t="s">
        <v>39</v>
      </c>
      <c r="D6" s="4">
        <v>159.30000000000001</v>
      </c>
      <c r="E6" s="4">
        <v>217.1</v>
      </c>
      <c r="F6" s="4">
        <v>176.6</v>
      </c>
      <c r="G6" s="4">
        <v>167.1</v>
      </c>
      <c r="H6" s="4">
        <v>184.8</v>
      </c>
      <c r="I6" s="4">
        <v>179.5</v>
      </c>
      <c r="J6" s="4">
        <v>208.5</v>
      </c>
      <c r="K6" s="4">
        <v>164</v>
      </c>
      <c r="L6" s="4">
        <v>121.5</v>
      </c>
      <c r="M6" s="4">
        <v>186.3</v>
      </c>
      <c r="N6" s="4">
        <v>159.80000000000001</v>
      </c>
      <c r="O6" s="4">
        <v>187.7</v>
      </c>
      <c r="P6" s="4">
        <v>179.4</v>
      </c>
      <c r="Q6" s="4">
        <v>198.6</v>
      </c>
      <c r="R6" s="4">
        <v>172.7</v>
      </c>
      <c r="S6" s="4">
        <v>158.69999999999999</v>
      </c>
      <c r="T6" s="4">
        <v>170.6</v>
      </c>
      <c r="U6" s="4">
        <v>167.8</v>
      </c>
      <c r="V6" s="4">
        <v>179.5</v>
      </c>
      <c r="W6" s="4">
        <v>163.1</v>
      </c>
      <c r="X6" s="4">
        <v>171.7</v>
      </c>
      <c r="Y6" s="4">
        <v>157.4</v>
      </c>
      <c r="Z6" s="4">
        <v>164.6</v>
      </c>
      <c r="AA6" s="4">
        <v>169.1</v>
      </c>
      <c r="AB6" s="4">
        <v>169.8</v>
      </c>
      <c r="AC6" s="4">
        <v>164.7</v>
      </c>
      <c r="AD6" s="4">
        <v>172.3</v>
      </c>
    </row>
    <row r="7" spans="1:30">
      <c r="A7" s="5" t="s">
        <v>33</v>
      </c>
      <c r="B7" s="6">
        <v>2022</v>
      </c>
      <c r="C7" s="6" t="s">
        <v>39</v>
      </c>
      <c r="D7" s="6">
        <v>156.5</v>
      </c>
      <c r="E7" s="6">
        <v>213</v>
      </c>
      <c r="F7" s="6">
        <v>175.2</v>
      </c>
      <c r="G7" s="6">
        <v>166.6</v>
      </c>
      <c r="H7" s="6">
        <v>195.8</v>
      </c>
      <c r="I7" s="6">
        <v>174.2</v>
      </c>
      <c r="J7" s="6">
        <v>182.1</v>
      </c>
      <c r="K7" s="6">
        <v>164.3</v>
      </c>
      <c r="L7" s="6">
        <v>120</v>
      </c>
      <c r="M7" s="6">
        <v>190</v>
      </c>
      <c r="N7" s="6">
        <v>168.4</v>
      </c>
      <c r="O7" s="6">
        <v>185.2</v>
      </c>
      <c r="P7" s="6">
        <v>175</v>
      </c>
      <c r="Q7" s="6">
        <v>194.6</v>
      </c>
      <c r="R7" s="6">
        <v>178.3</v>
      </c>
      <c r="S7" s="6">
        <v>171.3</v>
      </c>
      <c r="T7" s="6">
        <v>177.3</v>
      </c>
      <c r="U7" s="6">
        <v>167.8</v>
      </c>
      <c r="V7" s="6">
        <v>179.6</v>
      </c>
      <c r="W7" s="6">
        <v>167.4</v>
      </c>
      <c r="X7" s="6">
        <v>176.1</v>
      </c>
      <c r="Y7" s="6">
        <v>161.6</v>
      </c>
      <c r="Z7" s="6">
        <v>166.3</v>
      </c>
      <c r="AA7" s="6">
        <v>171.4</v>
      </c>
      <c r="AB7" s="6">
        <v>169.7</v>
      </c>
      <c r="AC7" s="6">
        <v>168.4</v>
      </c>
      <c r="AD7" s="6">
        <v>173.4</v>
      </c>
    </row>
    <row r="8" spans="1:30">
      <c r="A8" s="3" t="s">
        <v>30</v>
      </c>
      <c r="B8" s="4">
        <v>2022</v>
      </c>
      <c r="C8" s="4" t="s">
        <v>40</v>
      </c>
      <c r="D8" s="4">
        <v>159.5</v>
      </c>
      <c r="E8" s="4">
        <v>204.1</v>
      </c>
      <c r="F8" s="4">
        <v>168.3</v>
      </c>
      <c r="G8" s="4">
        <v>167.9</v>
      </c>
      <c r="H8" s="4">
        <v>198.1</v>
      </c>
      <c r="I8" s="4">
        <v>169.2</v>
      </c>
      <c r="J8" s="4">
        <v>173.1</v>
      </c>
      <c r="K8" s="4">
        <v>167.1</v>
      </c>
      <c r="L8" s="4">
        <v>120.2</v>
      </c>
      <c r="M8" s="4">
        <v>195.6</v>
      </c>
      <c r="N8" s="4">
        <v>174.8</v>
      </c>
      <c r="O8" s="4">
        <v>184</v>
      </c>
      <c r="P8" s="4">
        <v>173.9</v>
      </c>
      <c r="Q8" s="4">
        <v>193.7</v>
      </c>
      <c r="R8" s="4">
        <v>183.2</v>
      </c>
      <c r="S8" s="4">
        <v>181.7</v>
      </c>
      <c r="T8" s="4">
        <v>183</v>
      </c>
      <c r="U8" s="4">
        <v>169.25</v>
      </c>
      <c r="V8" s="4">
        <v>179.1</v>
      </c>
      <c r="W8" s="4">
        <v>172.3</v>
      </c>
      <c r="X8" s="4">
        <v>179.4</v>
      </c>
      <c r="Y8" s="4">
        <v>166.6</v>
      </c>
      <c r="Z8" s="4">
        <v>169.3</v>
      </c>
      <c r="AA8" s="4">
        <v>175.7</v>
      </c>
      <c r="AB8" s="4">
        <v>171.1</v>
      </c>
      <c r="AC8" s="4">
        <v>172.6</v>
      </c>
      <c r="AD8" s="4">
        <v>175.3</v>
      </c>
    </row>
    <row r="9" spans="1:30">
      <c r="A9" s="5" t="s">
        <v>32</v>
      </c>
      <c r="B9" s="6">
        <v>2022</v>
      </c>
      <c r="C9" s="6" t="s">
        <v>40</v>
      </c>
      <c r="D9" s="6">
        <v>162.1</v>
      </c>
      <c r="E9" s="6">
        <v>210.9</v>
      </c>
      <c r="F9" s="6">
        <v>170.6</v>
      </c>
      <c r="G9" s="6">
        <v>168.4</v>
      </c>
      <c r="H9" s="6">
        <v>182.5</v>
      </c>
      <c r="I9" s="6">
        <v>177.1</v>
      </c>
      <c r="J9" s="6">
        <v>213.1</v>
      </c>
      <c r="K9" s="6">
        <v>167.3</v>
      </c>
      <c r="L9" s="6">
        <v>122.2</v>
      </c>
      <c r="M9" s="6">
        <v>189.7</v>
      </c>
      <c r="N9" s="6">
        <v>160.5</v>
      </c>
      <c r="O9" s="6">
        <v>188.9</v>
      </c>
      <c r="P9" s="6">
        <v>180.4</v>
      </c>
      <c r="Q9" s="6">
        <v>198.7</v>
      </c>
      <c r="R9" s="6">
        <v>173.7</v>
      </c>
      <c r="S9" s="6">
        <v>160</v>
      </c>
      <c r="T9" s="6">
        <v>171.6</v>
      </c>
      <c r="U9" s="6">
        <v>169</v>
      </c>
      <c r="V9" s="6">
        <v>178.4</v>
      </c>
      <c r="W9" s="6">
        <v>164.2</v>
      </c>
      <c r="X9" s="6">
        <v>172.6</v>
      </c>
      <c r="Y9" s="6">
        <v>157.69999999999999</v>
      </c>
      <c r="Z9" s="6">
        <v>165.1</v>
      </c>
      <c r="AA9" s="6">
        <v>169.9</v>
      </c>
      <c r="AB9" s="6">
        <v>171.4</v>
      </c>
      <c r="AC9" s="6">
        <v>165.4</v>
      </c>
      <c r="AD9" s="6">
        <v>173.1</v>
      </c>
    </row>
    <row r="10" spans="1:30">
      <c r="A10" s="3" t="s">
        <v>33</v>
      </c>
      <c r="B10" s="4">
        <v>2022</v>
      </c>
      <c r="C10" s="4" t="s">
        <v>40</v>
      </c>
      <c r="D10" s="4">
        <v>160.30000000000001</v>
      </c>
      <c r="E10" s="4">
        <v>206.5</v>
      </c>
      <c r="F10" s="4">
        <v>169.2</v>
      </c>
      <c r="G10" s="4">
        <v>168.1</v>
      </c>
      <c r="H10" s="4">
        <v>192.4</v>
      </c>
      <c r="I10" s="4">
        <v>172.9</v>
      </c>
      <c r="J10" s="4">
        <v>186.7</v>
      </c>
      <c r="K10" s="4">
        <v>167.2</v>
      </c>
      <c r="L10" s="4">
        <v>120.9</v>
      </c>
      <c r="M10" s="4">
        <v>193.6</v>
      </c>
      <c r="N10" s="4">
        <v>168.8</v>
      </c>
      <c r="O10" s="4">
        <v>186.3</v>
      </c>
      <c r="P10" s="4">
        <v>176.3</v>
      </c>
      <c r="Q10" s="4">
        <v>195</v>
      </c>
      <c r="R10" s="4">
        <v>179.5</v>
      </c>
      <c r="S10" s="4">
        <v>172.7</v>
      </c>
      <c r="T10" s="4">
        <v>178.5</v>
      </c>
      <c r="U10" s="4">
        <v>169</v>
      </c>
      <c r="V10" s="4">
        <v>178.8</v>
      </c>
      <c r="W10" s="4">
        <v>168.5</v>
      </c>
      <c r="X10" s="4">
        <v>176.8</v>
      </c>
      <c r="Y10" s="4">
        <v>161.9</v>
      </c>
      <c r="Z10" s="4">
        <v>166.9</v>
      </c>
      <c r="AA10" s="4">
        <v>172.3</v>
      </c>
      <c r="AB10" s="4">
        <v>171.2</v>
      </c>
      <c r="AC10" s="4">
        <v>169.1</v>
      </c>
      <c r="AD10" s="4">
        <v>174.3</v>
      </c>
    </row>
    <row r="11" spans="1:30">
      <c r="A11" s="5" t="s">
        <v>30</v>
      </c>
      <c r="B11" s="6">
        <v>2022</v>
      </c>
      <c r="C11" s="6" t="s">
        <v>41</v>
      </c>
      <c r="D11" s="6">
        <v>162.9</v>
      </c>
      <c r="E11" s="6">
        <v>206.7</v>
      </c>
      <c r="F11" s="6">
        <v>169</v>
      </c>
      <c r="G11" s="6">
        <v>169.5</v>
      </c>
      <c r="H11" s="6">
        <v>194.1</v>
      </c>
      <c r="I11" s="6">
        <v>164.1</v>
      </c>
      <c r="J11" s="6">
        <v>176.9</v>
      </c>
      <c r="K11" s="6">
        <v>169</v>
      </c>
      <c r="L11" s="6">
        <v>120.8</v>
      </c>
      <c r="M11" s="6">
        <v>199.1</v>
      </c>
      <c r="N11" s="6">
        <v>175.4</v>
      </c>
      <c r="O11" s="6">
        <v>184.8</v>
      </c>
      <c r="P11" s="6">
        <v>175.5</v>
      </c>
      <c r="Q11" s="6">
        <v>194.5</v>
      </c>
      <c r="R11" s="6">
        <v>184.7</v>
      </c>
      <c r="S11" s="6">
        <v>183.3</v>
      </c>
      <c r="T11" s="6">
        <v>184.5</v>
      </c>
      <c r="U11" s="6">
        <v>169.25</v>
      </c>
      <c r="V11" s="6">
        <v>179.7</v>
      </c>
      <c r="W11" s="6">
        <v>173.6</v>
      </c>
      <c r="X11" s="6">
        <v>180.2</v>
      </c>
      <c r="Y11" s="6">
        <v>166.9</v>
      </c>
      <c r="Z11" s="6">
        <v>170</v>
      </c>
      <c r="AA11" s="6">
        <v>176.2</v>
      </c>
      <c r="AB11" s="6">
        <v>170.8</v>
      </c>
      <c r="AC11" s="6">
        <v>173.1</v>
      </c>
      <c r="AD11" s="6">
        <v>176.4</v>
      </c>
    </row>
    <row r="12" spans="1:30">
      <c r="A12" s="3" t="s">
        <v>32</v>
      </c>
      <c r="B12" s="4">
        <v>2022</v>
      </c>
      <c r="C12" s="4" t="s">
        <v>41</v>
      </c>
      <c r="D12" s="4">
        <v>164.9</v>
      </c>
      <c r="E12" s="4">
        <v>213.7</v>
      </c>
      <c r="F12" s="4">
        <v>170.9</v>
      </c>
      <c r="G12" s="4">
        <v>170.1</v>
      </c>
      <c r="H12" s="4">
        <v>179.3</v>
      </c>
      <c r="I12" s="4">
        <v>167.5</v>
      </c>
      <c r="J12" s="4">
        <v>220.8</v>
      </c>
      <c r="K12" s="4">
        <v>169.2</v>
      </c>
      <c r="L12" s="4">
        <v>123.1</v>
      </c>
      <c r="M12" s="4">
        <v>193.6</v>
      </c>
      <c r="N12" s="4">
        <v>161.1</v>
      </c>
      <c r="O12" s="4">
        <v>190.4</v>
      </c>
      <c r="P12" s="4">
        <v>181.8</v>
      </c>
      <c r="Q12" s="4">
        <v>199.7</v>
      </c>
      <c r="R12" s="4">
        <v>175</v>
      </c>
      <c r="S12" s="4">
        <v>161.69999999999999</v>
      </c>
      <c r="T12" s="4">
        <v>173</v>
      </c>
      <c r="U12" s="4">
        <v>169.5</v>
      </c>
      <c r="V12" s="4">
        <v>179.2</v>
      </c>
      <c r="W12" s="4">
        <v>165</v>
      </c>
      <c r="X12" s="4">
        <v>173.8</v>
      </c>
      <c r="Y12" s="4">
        <v>158.19999999999999</v>
      </c>
      <c r="Z12" s="4">
        <v>165.8</v>
      </c>
      <c r="AA12" s="4">
        <v>170.9</v>
      </c>
      <c r="AB12" s="4">
        <v>171.1</v>
      </c>
      <c r="AC12" s="4">
        <v>166.1</v>
      </c>
      <c r="AD12" s="4">
        <v>174.1</v>
      </c>
    </row>
    <row r="13" spans="1:30">
      <c r="A13" s="5" t="s">
        <v>33</v>
      </c>
      <c r="B13" s="6">
        <v>2022</v>
      </c>
      <c r="C13" s="6" t="s">
        <v>41</v>
      </c>
      <c r="D13" s="6">
        <v>163.5</v>
      </c>
      <c r="E13" s="6">
        <v>209.2</v>
      </c>
      <c r="F13" s="6">
        <v>169.7</v>
      </c>
      <c r="G13" s="6">
        <v>169.7</v>
      </c>
      <c r="H13" s="6">
        <v>188.7</v>
      </c>
      <c r="I13" s="6">
        <v>165.7</v>
      </c>
      <c r="J13" s="6">
        <v>191.8</v>
      </c>
      <c r="K13" s="6">
        <v>169.1</v>
      </c>
      <c r="L13" s="6">
        <v>121.6</v>
      </c>
      <c r="M13" s="6">
        <v>197.3</v>
      </c>
      <c r="N13" s="6">
        <v>169.4</v>
      </c>
      <c r="O13" s="6">
        <v>187.4</v>
      </c>
      <c r="P13" s="6">
        <v>177.8</v>
      </c>
      <c r="Q13" s="6">
        <v>195.9</v>
      </c>
      <c r="R13" s="6">
        <v>180.9</v>
      </c>
      <c r="S13" s="6">
        <v>174.3</v>
      </c>
      <c r="T13" s="6">
        <v>179.9</v>
      </c>
      <c r="U13" s="6">
        <v>169.5</v>
      </c>
      <c r="V13" s="6">
        <v>179.5</v>
      </c>
      <c r="W13" s="6">
        <v>169.5</v>
      </c>
      <c r="X13" s="6">
        <v>177.8</v>
      </c>
      <c r="Y13" s="6">
        <v>162.30000000000001</v>
      </c>
      <c r="Z13" s="6">
        <v>167.6</v>
      </c>
      <c r="AA13" s="6">
        <v>173.1</v>
      </c>
      <c r="AB13" s="6">
        <v>170.9</v>
      </c>
      <c r="AC13" s="6">
        <v>169.7</v>
      </c>
      <c r="AD13" s="6">
        <v>175.3</v>
      </c>
    </row>
    <row r="14" spans="1:30">
      <c r="A14" s="3" t="s">
        <v>30</v>
      </c>
      <c r="B14" s="4">
        <v>2022</v>
      </c>
      <c r="C14" s="4" t="s">
        <v>42</v>
      </c>
      <c r="D14" s="4">
        <v>164.7</v>
      </c>
      <c r="E14" s="4">
        <v>208.8</v>
      </c>
      <c r="F14" s="4">
        <v>170.3</v>
      </c>
      <c r="G14" s="4">
        <v>170.9</v>
      </c>
      <c r="H14" s="4">
        <v>191.6</v>
      </c>
      <c r="I14" s="4">
        <v>162.19999999999999</v>
      </c>
      <c r="J14" s="4">
        <v>184.8</v>
      </c>
      <c r="K14" s="4">
        <v>169.7</v>
      </c>
      <c r="L14" s="4">
        <v>121.1</v>
      </c>
      <c r="M14" s="4">
        <v>201.6</v>
      </c>
      <c r="N14" s="4">
        <v>175.8</v>
      </c>
      <c r="O14" s="4">
        <v>185.6</v>
      </c>
      <c r="P14" s="4">
        <v>177.4</v>
      </c>
      <c r="Q14" s="4">
        <v>194.9</v>
      </c>
      <c r="R14" s="4">
        <v>186.1</v>
      </c>
      <c r="S14" s="4">
        <v>184.4</v>
      </c>
      <c r="T14" s="4">
        <v>185.9</v>
      </c>
      <c r="U14" s="4">
        <v>171.5</v>
      </c>
      <c r="V14" s="4">
        <v>180.8</v>
      </c>
      <c r="W14" s="4">
        <v>174.4</v>
      </c>
      <c r="X14" s="4">
        <v>181.2</v>
      </c>
      <c r="Y14" s="4">
        <v>167.4</v>
      </c>
      <c r="Z14" s="4">
        <v>170.6</v>
      </c>
      <c r="AA14" s="4">
        <v>176.5</v>
      </c>
      <c r="AB14" s="4">
        <v>172</v>
      </c>
      <c r="AC14" s="4">
        <v>173.9</v>
      </c>
      <c r="AD14" s="4">
        <v>177.9</v>
      </c>
    </row>
    <row r="15" spans="1:30">
      <c r="A15" s="5" t="s">
        <v>32</v>
      </c>
      <c r="B15" s="6">
        <v>2022</v>
      </c>
      <c r="C15" s="6" t="s">
        <v>42</v>
      </c>
      <c r="D15" s="6">
        <v>166.4</v>
      </c>
      <c r="E15" s="6">
        <v>214.9</v>
      </c>
      <c r="F15" s="6">
        <v>171.9</v>
      </c>
      <c r="G15" s="6">
        <v>171</v>
      </c>
      <c r="H15" s="6">
        <v>177.7</v>
      </c>
      <c r="I15" s="6">
        <v>165.7</v>
      </c>
      <c r="J15" s="6">
        <v>228.6</v>
      </c>
      <c r="K15" s="6">
        <v>169.9</v>
      </c>
      <c r="L15" s="6">
        <v>123.4</v>
      </c>
      <c r="M15" s="6">
        <v>196.4</v>
      </c>
      <c r="N15" s="6">
        <v>161.6</v>
      </c>
      <c r="O15" s="6">
        <v>191.5</v>
      </c>
      <c r="P15" s="6">
        <v>183.3</v>
      </c>
      <c r="Q15" s="6">
        <v>200.1</v>
      </c>
      <c r="R15" s="6">
        <v>175.5</v>
      </c>
      <c r="S15" s="6">
        <v>162.6</v>
      </c>
      <c r="T15" s="6">
        <v>173.6</v>
      </c>
      <c r="U15" s="6">
        <v>171.2</v>
      </c>
      <c r="V15" s="6">
        <v>180</v>
      </c>
      <c r="W15" s="6">
        <v>166</v>
      </c>
      <c r="X15" s="6">
        <v>174.7</v>
      </c>
      <c r="Y15" s="6">
        <v>158.80000000000001</v>
      </c>
      <c r="Z15" s="6">
        <v>166.3</v>
      </c>
      <c r="AA15" s="6">
        <v>171.2</v>
      </c>
      <c r="AB15" s="6">
        <v>172.3</v>
      </c>
      <c r="AC15" s="6">
        <v>166.8</v>
      </c>
      <c r="AD15" s="6">
        <v>175.3</v>
      </c>
    </row>
    <row r="16" spans="1:30">
      <c r="A16" s="3" t="s">
        <v>33</v>
      </c>
      <c r="B16" s="4">
        <v>2022</v>
      </c>
      <c r="C16" s="4" t="s">
        <v>42</v>
      </c>
      <c r="D16" s="4">
        <v>165.2</v>
      </c>
      <c r="E16" s="4">
        <v>210.9</v>
      </c>
      <c r="F16" s="4">
        <v>170.9</v>
      </c>
      <c r="G16" s="4">
        <v>170.9</v>
      </c>
      <c r="H16" s="4">
        <v>186.5</v>
      </c>
      <c r="I16" s="4">
        <v>163.80000000000001</v>
      </c>
      <c r="J16" s="4">
        <v>199.7</v>
      </c>
      <c r="K16" s="4">
        <v>169.8</v>
      </c>
      <c r="L16" s="4">
        <v>121.9</v>
      </c>
      <c r="M16" s="4">
        <v>199.9</v>
      </c>
      <c r="N16" s="4">
        <v>169.9</v>
      </c>
      <c r="O16" s="4">
        <v>188.3</v>
      </c>
      <c r="P16" s="4">
        <v>179.6</v>
      </c>
      <c r="Q16" s="4">
        <v>196.3</v>
      </c>
      <c r="R16" s="4">
        <v>181.9</v>
      </c>
      <c r="S16" s="4">
        <v>175.3</v>
      </c>
      <c r="T16" s="4">
        <v>181</v>
      </c>
      <c r="U16" s="4">
        <v>171.2</v>
      </c>
      <c r="V16" s="4">
        <v>180.5</v>
      </c>
      <c r="W16" s="4">
        <v>170.4</v>
      </c>
      <c r="X16" s="4">
        <v>178.7</v>
      </c>
      <c r="Y16" s="4">
        <v>162.9</v>
      </c>
      <c r="Z16" s="4">
        <v>168.2</v>
      </c>
      <c r="AA16" s="4">
        <v>173.4</v>
      </c>
      <c r="AB16" s="4">
        <v>172.1</v>
      </c>
      <c r="AC16" s="4">
        <v>170.5</v>
      </c>
      <c r="AD16" s="4">
        <v>176.7</v>
      </c>
    </row>
    <row r="17" spans="1:30">
      <c r="A17" s="5" t="s">
        <v>30</v>
      </c>
      <c r="B17" s="6">
        <v>2022</v>
      </c>
      <c r="C17" s="6" t="s">
        <v>43</v>
      </c>
      <c r="D17" s="6">
        <v>166.9</v>
      </c>
      <c r="E17" s="6">
        <v>207.2</v>
      </c>
      <c r="F17" s="6">
        <v>180.2</v>
      </c>
      <c r="G17" s="6">
        <v>172.3</v>
      </c>
      <c r="H17" s="6">
        <v>194</v>
      </c>
      <c r="I17" s="6">
        <v>159.1</v>
      </c>
      <c r="J17" s="6">
        <v>171.6</v>
      </c>
      <c r="K17" s="6">
        <v>170.2</v>
      </c>
      <c r="L17" s="6">
        <v>121.5</v>
      </c>
      <c r="M17" s="6">
        <v>204.8</v>
      </c>
      <c r="N17" s="6">
        <v>176.4</v>
      </c>
      <c r="O17" s="6">
        <v>186.9</v>
      </c>
      <c r="P17" s="6">
        <v>176.6</v>
      </c>
      <c r="Q17" s="6">
        <v>195.5</v>
      </c>
      <c r="R17" s="6">
        <v>187.2</v>
      </c>
      <c r="S17" s="6">
        <v>185.2</v>
      </c>
      <c r="T17" s="6">
        <v>186.9</v>
      </c>
      <c r="U17" s="6">
        <v>171.5</v>
      </c>
      <c r="V17" s="6">
        <v>181.9</v>
      </c>
      <c r="W17" s="6">
        <v>175.5</v>
      </c>
      <c r="X17" s="6">
        <v>182.3</v>
      </c>
      <c r="Y17" s="6">
        <v>167.5</v>
      </c>
      <c r="Z17" s="6">
        <v>170.8</v>
      </c>
      <c r="AA17" s="6">
        <v>176.9</v>
      </c>
      <c r="AB17" s="6">
        <v>173.4</v>
      </c>
      <c r="AC17" s="6">
        <v>174.6</v>
      </c>
      <c r="AD17" s="6">
        <v>177.8</v>
      </c>
    </row>
    <row r="18" spans="1:30">
      <c r="A18" s="3" t="s">
        <v>32</v>
      </c>
      <c r="B18" s="4">
        <v>2022</v>
      </c>
      <c r="C18" s="4" t="s">
        <v>43</v>
      </c>
      <c r="D18" s="4">
        <v>168.4</v>
      </c>
      <c r="E18" s="4">
        <v>213.4</v>
      </c>
      <c r="F18" s="4">
        <v>183.2</v>
      </c>
      <c r="G18" s="4">
        <v>172.3</v>
      </c>
      <c r="H18" s="4">
        <v>180</v>
      </c>
      <c r="I18" s="4">
        <v>162.6</v>
      </c>
      <c r="J18" s="4">
        <v>205.5</v>
      </c>
      <c r="K18" s="4">
        <v>171</v>
      </c>
      <c r="L18" s="4">
        <v>123.4</v>
      </c>
      <c r="M18" s="4">
        <v>198.8</v>
      </c>
      <c r="N18" s="4">
        <v>162.1</v>
      </c>
      <c r="O18" s="4">
        <v>192.4</v>
      </c>
      <c r="P18" s="4">
        <v>181.3</v>
      </c>
      <c r="Q18" s="4">
        <v>200.6</v>
      </c>
      <c r="R18" s="4">
        <v>176.7</v>
      </c>
      <c r="S18" s="4">
        <v>163.5</v>
      </c>
      <c r="T18" s="4">
        <v>174.7</v>
      </c>
      <c r="U18" s="4">
        <v>171.8</v>
      </c>
      <c r="V18" s="4">
        <v>180.3</v>
      </c>
      <c r="W18" s="4">
        <v>166.9</v>
      </c>
      <c r="X18" s="4">
        <v>175.8</v>
      </c>
      <c r="Y18" s="4">
        <v>158.9</v>
      </c>
      <c r="Z18" s="4">
        <v>166.7</v>
      </c>
      <c r="AA18" s="4">
        <v>171.5</v>
      </c>
      <c r="AB18" s="4">
        <v>173.8</v>
      </c>
      <c r="AC18" s="4">
        <v>167.4</v>
      </c>
      <c r="AD18" s="4">
        <v>174.1</v>
      </c>
    </row>
    <row r="19" spans="1:30">
      <c r="A19" s="5" t="s">
        <v>33</v>
      </c>
      <c r="B19" s="6">
        <v>2022</v>
      </c>
      <c r="C19" s="6" t="s">
        <v>43</v>
      </c>
      <c r="D19" s="6">
        <v>167.4</v>
      </c>
      <c r="E19" s="6">
        <v>209.4</v>
      </c>
      <c r="F19" s="6">
        <v>181.4</v>
      </c>
      <c r="G19" s="6">
        <v>172.3</v>
      </c>
      <c r="H19" s="6">
        <v>188.9</v>
      </c>
      <c r="I19" s="6">
        <v>160.69999999999999</v>
      </c>
      <c r="J19" s="6">
        <v>183.1</v>
      </c>
      <c r="K19" s="6">
        <v>170.5</v>
      </c>
      <c r="L19" s="6">
        <v>122.1</v>
      </c>
      <c r="M19" s="6">
        <v>202.8</v>
      </c>
      <c r="N19" s="6">
        <v>170.4</v>
      </c>
      <c r="O19" s="6">
        <v>189.5</v>
      </c>
      <c r="P19" s="6">
        <v>178.3</v>
      </c>
      <c r="Q19" s="6">
        <v>196.9</v>
      </c>
      <c r="R19" s="6">
        <v>183.1</v>
      </c>
      <c r="S19" s="6">
        <v>176.2</v>
      </c>
      <c r="T19" s="6">
        <v>182.1</v>
      </c>
      <c r="U19" s="6">
        <v>171.8</v>
      </c>
      <c r="V19" s="6">
        <v>181.3</v>
      </c>
      <c r="W19" s="6">
        <v>171.4</v>
      </c>
      <c r="X19" s="6">
        <v>179.8</v>
      </c>
      <c r="Y19" s="6">
        <v>163</v>
      </c>
      <c r="Z19" s="6">
        <v>168.5</v>
      </c>
      <c r="AA19" s="6">
        <v>173.7</v>
      </c>
      <c r="AB19" s="6">
        <v>173.6</v>
      </c>
      <c r="AC19" s="6">
        <v>171.1</v>
      </c>
      <c r="AD19" s="6">
        <v>176.5</v>
      </c>
    </row>
    <row r="20" spans="1:30">
      <c r="A20" s="3" t="s">
        <v>30</v>
      </c>
      <c r="B20" s="4">
        <v>2022</v>
      </c>
      <c r="C20" s="4" t="s">
        <v>44</v>
      </c>
      <c r="D20" s="4">
        <v>168.8</v>
      </c>
      <c r="E20" s="4">
        <v>206.9</v>
      </c>
      <c r="F20" s="4">
        <v>189.1</v>
      </c>
      <c r="G20" s="4">
        <v>173.4</v>
      </c>
      <c r="H20" s="4">
        <v>193.9</v>
      </c>
      <c r="I20" s="4">
        <v>156.69999999999999</v>
      </c>
      <c r="J20" s="4">
        <v>150.19999999999999</v>
      </c>
      <c r="K20" s="4">
        <v>170.5</v>
      </c>
      <c r="L20" s="4">
        <v>121.2</v>
      </c>
      <c r="M20" s="4">
        <v>207.5</v>
      </c>
      <c r="N20" s="4">
        <v>176.8</v>
      </c>
      <c r="O20" s="4">
        <v>187.7</v>
      </c>
      <c r="P20" s="4">
        <v>174.4</v>
      </c>
      <c r="Q20" s="4">
        <v>195.9</v>
      </c>
      <c r="R20" s="4">
        <v>188.1</v>
      </c>
      <c r="S20" s="4">
        <v>185.9</v>
      </c>
      <c r="T20" s="4">
        <v>187.8</v>
      </c>
      <c r="U20" s="4">
        <v>171.4</v>
      </c>
      <c r="V20" s="4">
        <v>182.8</v>
      </c>
      <c r="W20" s="4">
        <v>176.4</v>
      </c>
      <c r="X20" s="4">
        <v>183.5</v>
      </c>
      <c r="Y20" s="4">
        <v>167.8</v>
      </c>
      <c r="Z20" s="4">
        <v>171.2</v>
      </c>
      <c r="AA20" s="4">
        <v>177.3</v>
      </c>
      <c r="AB20" s="4">
        <v>175.7</v>
      </c>
      <c r="AC20" s="4">
        <v>175.5</v>
      </c>
      <c r="AD20" s="4">
        <v>177.1</v>
      </c>
    </row>
    <row r="21" spans="1:30">
      <c r="A21" s="5" t="s">
        <v>32</v>
      </c>
      <c r="B21" s="6">
        <v>2022</v>
      </c>
      <c r="C21" s="6" t="s">
        <v>44</v>
      </c>
      <c r="D21" s="6">
        <v>170.2</v>
      </c>
      <c r="E21" s="6">
        <v>212.9</v>
      </c>
      <c r="F21" s="6">
        <v>191.9</v>
      </c>
      <c r="G21" s="6">
        <v>173.9</v>
      </c>
      <c r="H21" s="6">
        <v>179.1</v>
      </c>
      <c r="I21" s="6">
        <v>159.5</v>
      </c>
      <c r="J21" s="6">
        <v>178.7</v>
      </c>
      <c r="K21" s="6">
        <v>171.3</v>
      </c>
      <c r="L21" s="6">
        <v>123.1</v>
      </c>
      <c r="M21" s="6">
        <v>200.5</v>
      </c>
      <c r="N21" s="6">
        <v>162.80000000000001</v>
      </c>
      <c r="O21" s="6">
        <v>193.3</v>
      </c>
      <c r="P21" s="6">
        <v>178.6</v>
      </c>
      <c r="Q21" s="6">
        <v>201.1</v>
      </c>
      <c r="R21" s="6">
        <v>177.7</v>
      </c>
      <c r="S21" s="6">
        <v>164.5</v>
      </c>
      <c r="T21" s="6">
        <v>175.7</v>
      </c>
      <c r="U21" s="6">
        <v>170.7</v>
      </c>
      <c r="V21" s="6">
        <v>180.6</v>
      </c>
      <c r="W21" s="6">
        <v>167.3</v>
      </c>
      <c r="X21" s="6">
        <v>177.2</v>
      </c>
      <c r="Y21" s="6">
        <v>159.4</v>
      </c>
      <c r="Z21" s="6">
        <v>167.1</v>
      </c>
      <c r="AA21" s="6">
        <v>171.8</v>
      </c>
      <c r="AB21" s="6">
        <v>176</v>
      </c>
      <c r="AC21" s="6">
        <v>168.2</v>
      </c>
      <c r="AD21" s="6">
        <v>174.1</v>
      </c>
    </row>
    <row r="22" spans="1:30">
      <c r="A22" s="3" t="s">
        <v>33</v>
      </c>
      <c r="B22" s="4">
        <v>2022</v>
      </c>
      <c r="C22" s="4" t="s">
        <v>44</v>
      </c>
      <c r="D22" s="4">
        <v>169.2</v>
      </c>
      <c r="E22" s="4">
        <v>209</v>
      </c>
      <c r="F22" s="4">
        <v>190.2</v>
      </c>
      <c r="G22" s="4">
        <v>173.6</v>
      </c>
      <c r="H22" s="4">
        <v>188.5</v>
      </c>
      <c r="I22" s="4">
        <v>158</v>
      </c>
      <c r="J22" s="4">
        <v>159.9</v>
      </c>
      <c r="K22" s="4">
        <v>170.8</v>
      </c>
      <c r="L22" s="4">
        <v>121.8</v>
      </c>
      <c r="M22" s="4">
        <v>205.2</v>
      </c>
      <c r="N22" s="4">
        <v>171</v>
      </c>
      <c r="O22" s="4">
        <v>190.3</v>
      </c>
      <c r="P22" s="4">
        <v>175.9</v>
      </c>
      <c r="Q22" s="4">
        <v>197.3</v>
      </c>
      <c r="R22" s="4">
        <v>184</v>
      </c>
      <c r="S22" s="4">
        <v>177</v>
      </c>
      <c r="T22" s="4">
        <v>183</v>
      </c>
      <c r="U22" s="4">
        <v>170.7</v>
      </c>
      <c r="V22" s="4">
        <v>182</v>
      </c>
      <c r="W22" s="4">
        <v>172.1</v>
      </c>
      <c r="X22" s="4">
        <v>181.1</v>
      </c>
      <c r="Y22" s="4">
        <v>163.4</v>
      </c>
      <c r="Z22" s="4">
        <v>168.9</v>
      </c>
      <c r="AA22" s="4">
        <v>174.1</v>
      </c>
      <c r="AB22" s="4">
        <v>175.8</v>
      </c>
      <c r="AC22" s="4">
        <v>172</v>
      </c>
      <c r="AD22" s="4">
        <v>175.7</v>
      </c>
    </row>
    <row r="23" spans="1:30">
      <c r="A23" s="5" t="s">
        <v>30</v>
      </c>
      <c r="B23" s="6">
        <v>2023</v>
      </c>
      <c r="C23" s="6" t="s">
        <v>31</v>
      </c>
      <c r="D23" s="6">
        <v>174</v>
      </c>
      <c r="E23" s="6">
        <v>208.3</v>
      </c>
      <c r="F23" s="6">
        <v>192.9</v>
      </c>
      <c r="G23" s="6">
        <v>174.3</v>
      </c>
      <c r="H23" s="6">
        <v>192.6</v>
      </c>
      <c r="I23" s="6">
        <v>156.30000000000001</v>
      </c>
      <c r="J23" s="6">
        <v>142.9</v>
      </c>
      <c r="K23" s="6">
        <v>170.7</v>
      </c>
      <c r="L23" s="6">
        <v>120.3</v>
      </c>
      <c r="M23" s="6">
        <v>210.5</v>
      </c>
      <c r="N23" s="6">
        <v>176.9</v>
      </c>
      <c r="O23" s="6">
        <v>188.5</v>
      </c>
      <c r="P23" s="6">
        <v>175</v>
      </c>
      <c r="Q23" s="6">
        <v>196.9</v>
      </c>
      <c r="R23" s="6">
        <v>189</v>
      </c>
      <c r="S23" s="6">
        <v>186.3</v>
      </c>
      <c r="T23" s="6">
        <v>188.6</v>
      </c>
      <c r="U23" s="6">
        <v>171.4</v>
      </c>
      <c r="V23" s="6">
        <v>183.2</v>
      </c>
      <c r="W23" s="6">
        <v>177.2</v>
      </c>
      <c r="X23" s="6">
        <v>184.7</v>
      </c>
      <c r="Y23" s="6">
        <v>168.2</v>
      </c>
      <c r="Z23" s="6">
        <v>171.8</v>
      </c>
      <c r="AA23" s="6">
        <v>177.8</v>
      </c>
      <c r="AB23" s="6">
        <v>178.4</v>
      </c>
      <c r="AC23" s="6">
        <v>176.5</v>
      </c>
      <c r="AD23" s="6">
        <v>177.8</v>
      </c>
    </row>
    <row r="24" spans="1:30">
      <c r="A24" s="3" t="s">
        <v>32</v>
      </c>
      <c r="B24" s="4">
        <v>2023</v>
      </c>
      <c r="C24" s="4" t="s">
        <v>31</v>
      </c>
      <c r="D24" s="4">
        <v>173.3</v>
      </c>
      <c r="E24" s="4">
        <v>215.2</v>
      </c>
      <c r="F24" s="4">
        <v>197</v>
      </c>
      <c r="G24" s="4">
        <v>175.2</v>
      </c>
      <c r="H24" s="4">
        <v>178</v>
      </c>
      <c r="I24" s="4">
        <v>160.5</v>
      </c>
      <c r="J24" s="4">
        <v>175.3</v>
      </c>
      <c r="K24" s="4">
        <v>171.2</v>
      </c>
      <c r="L24" s="4">
        <v>122.7</v>
      </c>
      <c r="M24" s="4">
        <v>204.3</v>
      </c>
      <c r="N24" s="4">
        <v>163.69999999999999</v>
      </c>
      <c r="O24" s="4">
        <v>194.3</v>
      </c>
      <c r="P24" s="4">
        <v>179.5</v>
      </c>
      <c r="Q24" s="4">
        <v>201.6</v>
      </c>
      <c r="R24" s="4">
        <v>178.7</v>
      </c>
      <c r="S24" s="4">
        <v>165.3</v>
      </c>
      <c r="T24" s="4">
        <v>176.6</v>
      </c>
      <c r="U24" s="4">
        <v>172.1</v>
      </c>
      <c r="V24" s="4">
        <v>180.1</v>
      </c>
      <c r="W24" s="4">
        <v>168</v>
      </c>
      <c r="X24" s="4">
        <v>178.5</v>
      </c>
      <c r="Y24" s="4">
        <v>159.5</v>
      </c>
      <c r="Z24" s="4">
        <v>167.8</v>
      </c>
      <c r="AA24" s="4">
        <v>171.8</v>
      </c>
      <c r="AB24" s="4">
        <v>178.8</v>
      </c>
      <c r="AC24" s="4">
        <v>168.9</v>
      </c>
      <c r="AD24" s="4">
        <v>174.9</v>
      </c>
    </row>
    <row r="25" spans="1:30">
      <c r="A25" s="5" t="s">
        <v>33</v>
      </c>
      <c r="B25" s="6">
        <v>2023</v>
      </c>
      <c r="C25" s="6" t="s">
        <v>31</v>
      </c>
      <c r="D25" s="6">
        <v>173.8</v>
      </c>
      <c r="E25" s="6">
        <v>210.7</v>
      </c>
      <c r="F25" s="6">
        <v>194.5</v>
      </c>
      <c r="G25" s="6">
        <v>174.6</v>
      </c>
      <c r="H25" s="6">
        <v>187.2</v>
      </c>
      <c r="I25" s="6">
        <v>158.30000000000001</v>
      </c>
      <c r="J25" s="6">
        <v>153.9</v>
      </c>
      <c r="K25" s="6">
        <v>170.9</v>
      </c>
      <c r="L25" s="6">
        <v>121.1</v>
      </c>
      <c r="M25" s="6">
        <v>208.4</v>
      </c>
      <c r="N25" s="6">
        <v>171.4</v>
      </c>
      <c r="O25" s="6">
        <v>191.2</v>
      </c>
      <c r="P25" s="6">
        <v>176.7</v>
      </c>
      <c r="Q25" s="6">
        <v>198.2</v>
      </c>
      <c r="R25" s="6">
        <v>184.9</v>
      </c>
      <c r="S25" s="6">
        <v>177.6</v>
      </c>
      <c r="T25" s="6">
        <v>183.8</v>
      </c>
      <c r="U25" s="6">
        <v>172.1</v>
      </c>
      <c r="V25" s="6">
        <v>182</v>
      </c>
      <c r="W25" s="6">
        <v>172.9</v>
      </c>
      <c r="X25" s="6">
        <v>182.3</v>
      </c>
      <c r="Y25" s="6">
        <v>163.6</v>
      </c>
      <c r="Z25" s="6">
        <v>169.5</v>
      </c>
      <c r="AA25" s="6">
        <v>174.3</v>
      </c>
      <c r="AB25" s="6">
        <v>178.6</v>
      </c>
      <c r="AC25" s="6">
        <v>172.8</v>
      </c>
      <c r="AD25" s="6">
        <v>176.5</v>
      </c>
    </row>
    <row r="26" spans="1:30">
      <c r="A26" s="3" t="s">
        <v>30</v>
      </c>
      <c r="B26" s="4">
        <v>2023</v>
      </c>
      <c r="C26" s="4" t="s">
        <v>34</v>
      </c>
      <c r="D26" s="4">
        <v>174.2</v>
      </c>
      <c r="E26" s="4">
        <v>205.2</v>
      </c>
      <c r="F26" s="4">
        <v>173.9</v>
      </c>
      <c r="G26" s="4">
        <v>177</v>
      </c>
      <c r="H26" s="4">
        <v>183.4</v>
      </c>
      <c r="I26" s="4">
        <v>167.2</v>
      </c>
      <c r="J26" s="4">
        <v>140.9</v>
      </c>
      <c r="K26" s="4">
        <v>170.4</v>
      </c>
      <c r="L26" s="4">
        <v>119.1</v>
      </c>
      <c r="M26" s="4">
        <v>212.1</v>
      </c>
      <c r="N26" s="4">
        <v>177.6</v>
      </c>
      <c r="O26" s="4">
        <v>189.9</v>
      </c>
      <c r="P26" s="4">
        <v>174.8</v>
      </c>
      <c r="Q26" s="4">
        <v>198.3</v>
      </c>
      <c r="R26" s="4">
        <v>190</v>
      </c>
      <c r="S26" s="4">
        <v>187</v>
      </c>
      <c r="T26" s="4">
        <v>189.6</v>
      </c>
      <c r="U26" s="4">
        <v>173.5</v>
      </c>
      <c r="V26" s="4">
        <v>181.6</v>
      </c>
      <c r="W26" s="4">
        <v>178.6</v>
      </c>
      <c r="X26" s="4">
        <v>186.6</v>
      </c>
      <c r="Y26" s="4">
        <v>169</v>
      </c>
      <c r="Z26" s="4">
        <v>172.8</v>
      </c>
      <c r="AA26" s="4">
        <v>178.5</v>
      </c>
      <c r="AB26" s="4">
        <v>180.7</v>
      </c>
      <c r="AC26" s="4">
        <v>177.9</v>
      </c>
      <c r="AD26" s="4">
        <v>178</v>
      </c>
    </row>
    <row r="27" spans="1:30">
      <c r="A27" s="5" t="s">
        <v>32</v>
      </c>
      <c r="B27" s="6">
        <v>2023</v>
      </c>
      <c r="C27" s="6" t="s">
        <v>34</v>
      </c>
      <c r="D27" s="6">
        <v>174.7</v>
      </c>
      <c r="E27" s="6">
        <v>212.2</v>
      </c>
      <c r="F27" s="6">
        <v>177.2</v>
      </c>
      <c r="G27" s="6">
        <v>177.9</v>
      </c>
      <c r="H27" s="6">
        <v>172.2</v>
      </c>
      <c r="I27" s="6">
        <v>172.1</v>
      </c>
      <c r="J27" s="6">
        <v>175.8</v>
      </c>
      <c r="K27" s="6">
        <v>172.2</v>
      </c>
      <c r="L27" s="6">
        <v>121.9</v>
      </c>
      <c r="M27" s="6">
        <v>204.8</v>
      </c>
      <c r="N27" s="6">
        <v>164.9</v>
      </c>
      <c r="O27" s="6">
        <v>196.6</v>
      </c>
      <c r="P27" s="6">
        <v>180.7</v>
      </c>
      <c r="Q27" s="6">
        <v>202.7</v>
      </c>
      <c r="R27" s="6">
        <v>180.3</v>
      </c>
      <c r="S27" s="6">
        <v>167</v>
      </c>
      <c r="T27" s="6">
        <v>178.2</v>
      </c>
      <c r="U27" s="6">
        <v>173.5</v>
      </c>
      <c r="V27" s="6">
        <v>182.8</v>
      </c>
      <c r="W27" s="6">
        <v>169.2</v>
      </c>
      <c r="X27" s="6">
        <v>180.8</v>
      </c>
      <c r="Y27" s="6">
        <v>159.80000000000001</v>
      </c>
      <c r="Z27" s="6">
        <v>168.4</v>
      </c>
      <c r="AA27" s="6">
        <v>172.5</v>
      </c>
      <c r="AB27" s="6">
        <v>181.4</v>
      </c>
      <c r="AC27" s="6">
        <v>170</v>
      </c>
      <c r="AD27" s="6">
        <v>176.3</v>
      </c>
    </row>
    <row r="28" spans="1:30">
      <c r="A28" s="3" t="s">
        <v>33</v>
      </c>
      <c r="B28" s="4">
        <v>2023</v>
      </c>
      <c r="C28" s="4" t="s">
        <v>34</v>
      </c>
      <c r="D28" s="4">
        <v>174.4</v>
      </c>
      <c r="E28" s="4">
        <v>207.7</v>
      </c>
      <c r="F28" s="4">
        <v>175.2</v>
      </c>
      <c r="G28" s="4">
        <v>177.3</v>
      </c>
      <c r="H28" s="4">
        <v>179.3</v>
      </c>
      <c r="I28" s="4">
        <v>169.5</v>
      </c>
      <c r="J28" s="4">
        <v>152.69999999999999</v>
      </c>
      <c r="K28" s="4">
        <v>171</v>
      </c>
      <c r="L28" s="4">
        <v>120</v>
      </c>
      <c r="M28" s="4">
        <v>209.7</v>
      </c>
      <c r="N28" s="4">
        <v>172.3</v>
      </c>
      <c r="O28" s="4">
        <v>193</v>
      </c>
      <c r="P28" s="4">
        <v>177</v>
      </c>
      <c r="Q28" s="4">
        <v>199.5</v>
      </c>
      <c r="R28" s="4">
        <v>186.2</v>
      </c>
      <c r="S28" s="4">
        <v>178.7</v>
      </c>
      <c r="T28" s="4">
        <v>185.1</v>
      </c>
      <c r="U28" s="4">
        <v>173.5</v>
      </c>
      <c r="V28" s="4">
        <v>182.1</v>
      </c>
      <c r="W28" s="4">
        <v>174.2</v>
      </c>
      <c r="X28" s="4">
        <v>184.4</v>
      </c>
      <c r="Y28" s="4">
        <v>164.2</v>
      </c>
      <c r="Z28" s="4">
        <v>170.3</v>
      </c>
      <c r="AA28" s="4">
        <v>175</v>
      </c>
      <c r="AB28" s="4">
        <v>181</v>
      </c>
      <c r="AC28" s="4">
        <v>174.1</v>
      </c>
      <c r="AD28" s="4">
        <v>177.2</v>
      </c>
    </row>
    <row r="29" spans="1:30">
      <c r="A29" s="5" t="s">
        <v>30</v>
      </c>
      <c r="B29" s="6">
        <v>2023</v>
      </c>
      <c r="C29" s="6" t="s">
        <v>35</v>
      </c>
      <c r="D29" s="6">
        <v>174.3</v>
      </c>
      <c r="E29" s="6">
        <v>205.2</v>
      </c>
      <c r="F29" s="6">
        <v>173.9</v>
      </c>
      <c r="G29" s="6">
        <v>177</v>
      </c>
      <c r="H29" s="6">
        <v>183.3</v>
      </c>
      <c r="I29" s="6">
        <v>167.2</v>
      </c>
      <c r="J29" s="6">
        <v>140.9</v>
      </c>
      <c r="K29" s="6">
        <v>170.5</v>
      </c>
      <c r="L29" s="6">
        <v>119.1</v>
      </c>
      <c r="M29" s="6">
        <v>212.1</v>
      </c>
      <c r="N29" s="6">
        <v>177.6</v>
      </c>
      <c r="O29" s="6">
        <v>189.9</v>
      </c>
      <c r="P29" s="6">
        <v>174.8</v>
      </c>
      <c r="Q29" s="6">
        <v>198.4</v>
      </c>
      <c r="R29" s="6">
        <v>190</v>
      </c>
      <c r="S29" s="6">
        <v>187</v>
      </c>
      <c r="T29" s="6">
        <v>189.6</v>
      </c>
      <c r="U29" s="6">
        <v>173.5</v>
      </c>
      <c r="V29" s="6">
        <v>181.4</v>
      </c>
      <c r="W29" s="6">
        <v>178.6</v>
      </c>
      <c r="X29" s="6">
        <v>186.6</v>
      </c>
      <c r="Y29" s="6">
        <v>169</v>
      </c>
      <c r="Z29" s="6">
        <v>172.8</v>
      </c>
      <c r="AA29" s="6">
        <v>178.5</v>
      </c>
      <c r="AB29" s="6">
        <v>180.7</v>
      </c>
      <c r="AC29" s="6">
        <v>177.9</v>
      </c>
      <c r="AD29" s="6">
        <v>178</v>
      </c>
    </row>
    <row r="30" spans="1:30">
      <c r="A30" s="3" t="s">
        <v>32</v>
      </c>
      <c r="B30" s="4">
        <v>2023</v>
      </c>
      <c r="C30" s="4" t="s">
        <v>35</v>
      </c>
      <c r="D30" s="4">
        <v>174.7</v>
      </c>
      <c r="E30" s="4">
        <v>212.2</v>
      </c>
      <c r="F30" s="4">
        <v>177.2</v>
      </c>
      <c r="G30" s="4">
        <v>177.9</v>
      </c>
      <c r="H30" s="4">
        <v>172.2</v>
      </c>
      <c r="I30" s="4">
        <v>172.1</v>
      </c>
      <c r="J30" s="4">
        <v>175.9</v>
      </c>
      <c r="K30" s="4">
        <v>172.2</v>
      </c>
      <c r="L30" s="4">
        <v>121.9</v>
      </c>
      <c r="M30" s="4">
        <v>204.8</v>
      </c>
      <c r="N30" s="4">
        <v>164.9</v>
      </c>
      <c r="O30" s="4">
        <v>196.6</v>
      </c>
      <c r="P30" s="4">
        <v>180.8</v>
      </c>
      <c r="Q30" s="4">
        <v>202.7</v>
      </c>
      <c r="R30" s="4">
        <v>180.2</v>
      </c>
      <c r="S30" s="4">
        <v>167</v>
      </c>
      <c r="T30" s="4">
        <v>178.2</v>
      </c>
      <c r="U30" s="4">
        <v>173.5</v>
      </c>
      <c r="V30" s="4">
        <v>182.6</v>
      </c>
      <c r="W30" s="4">
        <v>169.2</v>
      </c>
      <c r="X30" s="4">
        <v>180.8</v>
      </c>
      <c r="Y30" s="4">
        <v>159.80000000000001</v>
      </c>
      <c r="Z30" s="4">
        <v>168.4</v>
      </c>
      <c r="AA30" s="4">
        <v>172.5</v>
      </c>
      <c r="AB30" s="4">
        <v>181.5</v>
      </c>
      <c r="AC30" s="4">
        <v>170</v>
      </c>
      <c r="AD30" s="4">
        <v>176.3</v>
      </c>
    </row>
    <row r="31" spans="1:30">
      <c r="A31" s="5" t="s">
        <v>33</v>
      </c>
      <c r="B31" s="6">
        <v>2023</v>
      </c>
      <c r="C31" s="6" t="s">
        <v>35</v>
      </c>
      <c r="D31" s="6">
        <v>174.4</v>
      </c>
      <c r="E31" s="6">
        <v>207.7</v>
      </c>
      <c r="F31" s="6">
        <v>175.2</v>
      </c>
      <c r="G31" s="6">
        <v>177.3</v>
      </c>
      <c r="H31" s="6">
        <v>179.2</v>
      </c>
      <c r="I31" s="6">
        <v>169.5</v>
      </c>
      <c r="J31" s="6">
        <v>152.80000000000001</v>
      </c>
      <c r="K31" s="6">
        <v>171.1</v>
      </c>
      <c r="L31" s="6">
        <v>120</v>
      </c>
      <c r="M31" s="6">
        <v>209.7</v>
      </c>
      <c r="N31" s="6">
        <v>172.3</v>
      </c>
      <c r="O31" s="6">
        <v>193</v>
      </c>
      <c r="P31" s="6">
        <v>177</v>
      </c>
      <c r="Q31" s="6">
        <v>199.5</v>
      </c>
      <c r="R31" s="6">
        <v>186.1</v>
      </c>
      <c r="S31" s="6">
        <v>178.7</v>
      </c>
      <c r="T31" s="6">
        <v>185.1</v>
      </c>
      <c r="U31" s="6">
        <v>173.5</v>
      </c>
      <c r="V31" s="6">
        <v>181.9</v>
      </c>
      <c r="W31" s="6">
        <v>174.2</v>
      </c>
      <c r="X31" s="6">
        <v>184.4</v>
      </c>
      <c r="Y31" s="6">
        <v>164.2</v>
      </c>
      <c r="Z31" s="6">
        <v>170.3</v>
      </c>
      <c r="AA31" s="6">
        <v>175</v>
      </c>
      <c r="AB31" s="6">
        <v>181</v>
      </c>
      <c r="AC31" s="6">
        <v>174.1</v>
      </c>
      <c r="AD31" s="6">
        <v>177.2</v>
      </c>
    </row>
    <row r="32" spans="1:30">
      <c r="A32" s="3" t="s">
        <v>30</v>
      </c>
      <c r="B32" s="4">
        <v>2023</v>
      </c>
      <c r="C32" s="4" t="s">
        <v>36</v>
      </c>
      <c r="D32" s="4">
        <v>173.3</v>
      </c>
      <c r="E32" s="4">
        <v>206.9</v>
      </c>
      <c r="F32" s="4">
        <v>167.9</v>
      </c>
      <c r="G32" s="4">
        <v>178.2</v>
      </c>
      <c r="H32" s="4">
        <v>178.5</v>
      </c>
      <c r="I32" s="4">
        <v>173.7</v>
      </c>
      <c r="J32" s="4">
        <v>142.80000000000001</v>
      </c>
      <c r="K32" s="4">
        <v>172.8</v>
      </c>
      <c r="L32" s="4">
        <v>120.4</v>
      </c>
      <c r="M32" s="4">
        <v>215.5</v>
      </c>
      <c r="N32" s="4">
        <v>178.2</v>
      </c>
      <c r="O32" s="4">
        <v>190.5</v>
      </c>
      <c r="P32" s="4">
        <v>175.5</v>
      </c>
      <c r="Q32" s="4">
        <v>199.5</v>
      </c>
      <c r="R32" s="4">
        <v>190.7</v>
      </c>
      <c r="S32" s="4">
        <v>187.3</v>
      </c>
      <c r="T32" s="4">
        <v>190.2</v>
      </c>
      <c r="U32" s="4">
        <v>175.4</v>
      </c>
      <c r="V32" s="4">
        <v>181.5</v>
      </c>
      <c r="W32" s="4">
        <v>179.1</v>
      </c>
      <c r="X32" s="4">
        <v>187.2</v>
      </c>
      <c r="Y32" s="4">
        <v>169.4</v>
      </c>
      <c r="Z32" s="4">
        <v>173.2</v>
      </c>
      <c r="AA32" s="4">
        <v>179.4</v>
      </c>
      <c r="AB32" s="4">
        <v>183.8</v>
      </c>
      <c r="AC32" s="4">
        <v>178.9</v>
      </c>
      <c r="AD32" s="4">
        <v>178.8</v>
      </c>
    </row>
    <row r="33" spans="1:30">
      <c r="A33" s="5" t="s">
        <v>32</v>
      </c>
      <c r="B33" s="6">
        <v>2023</v>
      </c>
      <c r="C33" s="6" t="s">
        <v>36</v>
      </c>
      <c r="D33" s="6">
        <v>174.8</v>
      </c>
      <c r="E33" s="6">
        <v>213.7</v>
      </c>
      <c r="F33" s="6">
        <v>172.4</v>
      </c>
      <c r="G33" s="6">
        <v>178.8</v>
      </c>
      <c r="H33" s="6">
        <v>168.7</v>
      </c>
      <c r="I33" s="6">
        <v>179.2</v>
      </c>
      <c r="J33" s="6">
        <v>179.9</v>
      </c>
      <c r="K33" s="6">
        <v>174.7</v>
      </c>
      <c r="L33" s="6">
        <v>123.1</v>
      </c>
      <c r="M33" s="6">
        <v>207.8</v>
      </c>
      <c r="N33" s="6">
        <v>165.5</v>
      </c>
      <c r="O33" s="6">
        <v>197</v>
      </c>
      <c r="P33" s="6">
        <v>182.1</v>
      </c>
      <c r="Q33" s="6">
        <v>203.5</v>
      </c>
      <c r="R33" s="6">
        <v>181</v>
      </c>
      <c r="S33" s="6">
        <v>167.7</v>
      </c>
      <c r="T33" s="6">
        <v>178.9</v>
      </c>
      <c r="U33" s="6">
        <v>175.2</v>
      </c>
      <c r="V33" s="6">
        <v>182.1</v>
      </c>
      <c r="W33" s="6">
        <v>169.6</v>
      </c>
      <c r="X33" s="6">
        <v>181.5</v>
      </c>
      <c r="Y33" s="6">
        <v>160.1</v>
      </c>
      <c r="Z33" s="6">
        <v>168.8</v>
      </c>
      <c r="AA33" s="6">
        <v>174.2</v>
      </c>
      <c r="AB33" s="6">
        <v>184.4</v>
      </c>
      <c r="AC33" s="6">
        <v>170.9</v>
      </c>
      <c r="AD33" s="6">
        <v>177.4</v>
      </c>
    </row>
    <row r="34" spans="1:30">
      <c r="A34" s="3" t="s">
        <v>33</v>
      </c>
      <c r="B34" s="4">
        <v>2023</v>
      </c>
      <c r="C34" s="4" t="s">
        <v>36</v>
      </c>
      <c r="D34" s="4">
        <v>173.8</v>
      </c>
      <c r="E34" s="4">
        <v>209.3</v>
      </c>
      <c r="F34" s="4">
        <v>169.6</v>
      </c>
      <c r="G34" s="4">
        <v>178.4</v>
      </c>
      <c r="H34" s="4">
        <v>174.9</v>
      </c>
      <c r="I34" s="4">
        <v>176.3</v>
      </c>
      <c r="J34" s="4">
        <v>155.4</v>
      </c>
      <c r="K34" s="4">
        <v>173.4</v>
      </c>
      <c r="L34" s="4">
        <v>121.3</v>
      </c>
      <c r="M34" s="4">
        <v>212.9</v>
      </c>
      <c r="N34" s="4">
        <v>172.9</v>
      </c>
      <c r="O34" s="4">
        <v>193.5</v>
      </c>
      <c r="P34" s="4">
        <v>177.9</v>
      </c>
      <c r="Q34" s="4">
        <v>200.6</v>
      </c>
      <c r="R34" s="4">
        <v>186.9</v>
      </c>
      <c r="S34" s="4">
        <v>179.2</v>
      </c>
      <c r="T34" s="4">
        <v>185.7</v>
      </c>
      <c r="U34" s="4">
        <v>175.2</v>
      </c>
      <c r="V34" s="4">
        <v>181.7</v>
      </c>
      <c r="W34" s="4">
        <v>174.6</v>
      </c>
      <c r="X34" s="4">
        <v>185</v>
      </c>
      <c r="Y34" s="4">
        <v>164.5</v>
      </c>
      <c r="Z34" s="4">
        <v>170.7</v>
      </c>
      <c r="AA34" s="4">
        <v>176.4</v>
      </c>
      <c r="AB34" s="4">
        <v>184</v>
      </c>
      <c r="AC34" s="4">
        <v>175</v>
      </c>
      <c r="AD34" s="4">
        <v>178.1</v>
      </c>
    </row>
    <row r="35" spans="1:30">
      <c r="A35" s="5" t="s">
        <v>30</v>
      </c>
      <c r="B35" s="6">
        <v>2023</v>
      </c>
      <c r="C35" s="6" t="s">
        <v>37</v>
      </c>
      <c r="D35" s="6">
        <v>173.2</v>
      </c>
      <c r="E35" s="6">
        <v>211.5</v>
      </c>
      <c r="F35" s="6">
        <v>171</v>
      </c>
      <c r="G35" s="6">
        <v>179.6</v>
      </c>
      <c r="H35" s="6">
        <v>173.3</v>
      </c>
      <c r="I35" s="6">
        <v>169</v>
      </c>
      <c r="J35" s="6">
        <v>148.69999999999999</v>
      </c>
      <c r="K35" s="6">
        <v>174.9</v>
      </c>
      <c r="L35" s="6">
        <v>121.9</v>
      </c>
      <c r="M35" s="6">
        <v>221</v>
      </c>
      <c r="N35" s="6">
        <v>178.7</v>
      </c>
      <c r="O35" s="6">
        <v>191.1</v>
      </c>
      <c r="P35" s="6">
        <v>176.8</v>
      </c>
      <c r="Q35" s="6">
        <v>199.9</v>
      </c>
      <c r="R35" s="6">
        <v>191.2</v>
      </c>
      <c r="S35" s="6">
        <v>187.9</v>
      </c>
      <c r="T35" s="6">
        <v>190.8</v>
      </c>
      <c r="U35" s="6">
        <v>175.4</v>
      </c>
      <c r="V35" s="6">
        <v>182.5</v>
      </c>
      <c r="W35" s="6">
        <v>179.8</v>
      </c>
      <c r="X35" s="6">
        <v>187.8</v>
      </c>
      <c r="Y35" s="6">
        <v>169.7</v>
      </c>
      <c r="Z35" s="6">
        <v>173.8</v>
      </c>
      <c r="AA35" s="6">
        <v>180.3</v>
      </c>
      <c r="AB35" s="6">
        <v>184.9</v>
      </c>
      <c r="AC35" s="6">
        <v>179.5</v>
      </c>
      <c r="AD35" s="6">
        <v>179.8</v>
      </c>
    </row>
    <row r="36" spans="1:30">
      <c r="A36" s="3" t="s">
        <v>32</v>
      </c>
      <c r="B36" s="4">
        <v>2023</v>
      </c>
      <c r="C36" s="4" t="s">
        <v>37</v>
      </c>
      <c r="D36" s="4">
        <v>174.7</v>
      </c>
      <c r="E36" s="4">
        <v>219.4</v>
      </c>
      <c r="F36" s="4">
        <v>176.7</v>
      </c>
      <c r="G36" s="4">
        <v>179.4</v>
      </c>
      <c r="H36" s="4">
        <v>164.4</v>
      </c>
      <c r="I36" s="4">
        <v>175.8</v>
      </c>
      <c r="J36" s="4">
        <v>185</v>
      </c>
      <c r="K36" s="4">
        <v>176.9</v>
      </c>
      <c r="L36" s="4">
        <v>124.2</v>
      </c>
      <c r="M36" s="4">
        <v>211.9</v>
      </c>
      <c r="N36" s="4">
        <v>165.9</v>
      </c>
      <c r="O36" s="4">
        <v>197.7</v>
      </c>
      <c r="P36" s="4">
        <v>183.1</v>
      </c>
      <c r="Q36" s="4">
        <v>204.2</v>
      </c>
      <c r="R36" s="4">
        <v>181.3</v>
      </c>
      <c r="S36" s="4">
        <v>168.1</v>
      </c>
      <c r="T36" s="4">
        <v>179.3</v>
      </c>
      <c r="U36" s="4">
        <v>175.6</v>
      </c>
      <c r="V36" s="4">
        <v>183.4</v>
      </c>
      <c r="W36" s="4">
        <v>170.1</v>
      </c>
      <c r="X36" s="4">
        <v>182.2</v>
      </c>
      <c r="Y36" s="4">
        <v>160.4</v>
      </c>
      <c r="Z36" s="4">
        <v>169.2</v>
      </c>
      <c r="AA36" s="4">
        <v>174.8</v>
      </c>
      <c r="AB36" s="4">
        <v>185.6</v>
      </c>
      <c r="AC36" s="4">
        <v>171.6</v>
      </c>
      <c r="AD36" s="4">
        <v>178.2</v>
      </c>
    </row>
    <row r="37" spans="1:30">
      <c r="A37" s="5" t="s">
        <v>33</v>
      </c>
      <c r="B37" s="6">
        <v>2023</v>
      </c>
      <c r="C37" s="6" t="s">
        <v>37</v>
      </c>
      <c r="D37" s="6">
        <v>173.7</v>
      </c>
      <c r="E37" s="6">
        <v>214.3</v>
      </c>
      <c r="F37" s="6">
        <v>173.2</v>
      </c>
      <c r="G37" s="6">
        <v>179.5</v>
      </c>
      <c r="H37" s="6">
        <v>170</v>
      </c>
      <c r="I37" s="6">
        <v>172.2</v>
      </c>
      <c r="J37" s="6">
        <v>161</v>
      </c>
      <c r="K37" s="6">
        <v>175.6</v>
      </c>
      <c r="L37" s="6">
        <v>122.7</v>
      </c>
      <c r="M37" s="6">
        <v>218</v>
      </c>
      <c r="N37" s="6">
        <v>173.4</v>
      </c>
      <c r="O37" s="6">
        <v>194.2</v>
      </c>
      <c r="P37" s="6">
        <v>179.1</v>
      </c>
      <c r="Q37" s="6">
        <v>201</v>
      </c>
      <c r="R37" s="6">
        <v>187.3</v>
      </c>
      <c r="S37" s="6">
        <v>179.7</v>
      </c>
      <c r="T37" s="6">
        <v>186.2</v>
      </c>
      <c r="U37" s="6">
        <v>175.6</v>
      </c>
      <c r="V37" s="6">
        <v>182.8</v>
      </c>
      <c r="W37" s="6">
        <v>175.2</v>
      </c>
      <c r="X37" s="6">
        <v>185.7</v>
      </c>
      <c r="Y37" s="6">
        <v>164.8</v>
      </c>
      <c r="Z37" s="6">
        <v>171.2</v>
      </c>
      <c r="AA37" s="6">
        <v>177.1</v>
      </c>
      <c r="AB37" s="6">
        <v>185.2</v>
      </c>
      <c r="AC37" s="6">
        <v>175.7</v>
      </c>
      <c r="AD37" s="6">
        <v>179.1</v>
      </c>
    </row>
  </sheetData>
  <autoFilter ref="A1:AD37" xr:uid="{B3A41B51-97D9-4D03-A17B-023B4EC8D0C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5E85D-0157-4499-B0AC-F789991684FD}">
  <dimension ref="A1:W78"/>
  <sheetViews>
    <sheetView topLeftCell="A4" zoomScale="46" workbookViewId="0">
      <selection sqref="A1:N2"/>
    </sheetView>
  </sheetViews>
  <sheetFormatPr defaultRowHeight="14.4"/>
  <cols>
    <col min="1" max="1" width="33.109375" bestFit="1" customWidth="1"/>
    <col min="2" max="2" width="24.88671875" bestFit="1" customWidth="1"/>
    <col min="3" max="3" width="11.88671875" customWidth="1"/>
    <col min="4" max="4" width="24.88671875" customWidth="1"/>
    <col min="5" max="5" width="19.33203125" customWidth="1"/>
    <col min="6" max="6" width="18.5546875" customWidth="1"/>
    <col min="7" max="7" width="15.88671875" customWidth="1"/>
    <col min="8" max="8" width="17.88671875" customWidth="1"/>
    <col min="9" max="9" width="17.6640625" customWidth="1"/>
    <col min="10" max="10" width="15.21875" customWidth="1"/>
    <col min="11" max="11" width="16.6640625" customWidth="1"/>
    <col min="12" max="12" width="13.77734375" customWidth="1"/>
    <col min="13" max="13" width="12.5546875" customWidth="1"/>
    <col min="14" max="14" width="11.5546875" customWidth="1"/>
    <col min="15" max="15" width="33.77734375" customWidth="1"/>
    <col min="16" max="16" width="7" customWidth="1"/>
    <col min="17" max="17" width="23.77734375" customWidth="1"/>
    <col min="18" max="18" width="8.88671875" customWidth="1"/>
    <col min="19" max="19" width="21.88671875" customWidth="1"/>
    <col min="20" max="21" width="7" customWidth="1"/>
    <col min="22" max="22" width="18.21875" customWidth="1"/>
    <col min="23" max="23" width="22.109375" customWidth="1"/>
    <col min="24" max="25" width="7" customWidth="1"/>
    <col min="26" max="26" width="16.77734375" bestFit="1" customWidth="1"/>
    <col min="27" max="27" width="20" bestFit="1" customWidth="1"/>
    <col min="28" max="28" width="6" bestFit="1" customWidth="1"/>
    <col min="29" max="29" width="20.109375" bestFit="1" customWidth="1"/>
    <col min="30" max="30" width="29.88671875" bestFit="1" customWidth="1"/>
    <col min="31" max="31" width="16.5546875" bestFit="1" customWidth="1"/>
    <col min="41" max="41" width="13.88671875" bestFit="1" customWidth="1"/>
  </cols>
  <sheetData>
    <row r="1" spans="1:14">
      <c r="A1" s="109" t="s">
        <v>195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1"/>
    </row>
    <row r="2" spans="1:14">
      <c r="A2" s="112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4"/>
    </row>
    <row r="3" spans="1:14">
      <c r="A3" t="s">
        <v>46</v>
      </c>
      <c r="B3" t="s">
        <v>47</v>
      </c>
      <c r="C3" t="s">
        <v>73</v>
      </c>
      <c r="D3" t="s">
        <v>74</v>
      </c>
      <c r="E3" t="s">
        <v>75</v>
      </c>
      <c r="F3" t="s">
        <v>76</v>
      </c>
      <c r="G3" t="s">
        <v>77</v>
      </c>
      <c r="H3" t="s">
        <v>78</v>
      </c>
      <c r="I3" t="s">
        <v>79</v>
      </c>
      <c r="J3" t="s">
        <v>80</v>
      </c>
      <c r="K3" t="s">
        <v>81</v>
      </c>
      <c r="L3" t="s">
        <v>82</v>
      </c>
      <c r="M3" t="s">
        <v>83</v>
      </c>
      <c r="N3" t="s">
        <v>84</v>
      </c>
    </row>
    <row r="4" spans="1:14">
      <c r="A4" t="s">
        <v>3</v>
      </c>
      <c r="B4" t="s">
        <v>45</v>
      </c>
      <c r="C4">
        <v>466.3</v>
      </c>
      <c r="D4">
        <v>471</v>
      </c>
      <c r="E4">
        <v>481.90000000000003</v>
      </c>
      <c r="F4">
        <v>491.3</v>
      </c>
      <c r="G4">
        <v>496.3</v>
      </c>
      <c r="H4">
        <v>502.70000000000005</v>
      </c>
      <c r="I4">
        <v>508.2</v>
      </c>
      <c r="J4">
        <v>521.1</v>
      </c>
      <c r="K4">
        <v>523.29999999999995</v>
      </c>
      <c r="L4">
        <v>523.4</v>
      </c>
      <c r="M4">
        <v>521.90000000000009</v>
      </c>
      <c r="N4">
        <v>521.59999999999991</v>
      </c>
    </row>
    <row r="5" spans="1:14">
      <c r="A5" t="s">
        <v>4</v>
      </c>
      <c r="B5" t="s">
        <v>45</v>
      </c>
      <c r="C5">
        <v>660</v>
      </c>
      <c r="D5">
        <v>640.9</v>
      </c>
      <c r="E5">
        <v>621.5</v>
      </c>
      <c r="F5">
        <v>629.59999999999991</v>
      </c>
      <c r="G5">
        <v>634.6</v>
      </c>
      <c r="H5">
        <v>630</v>
      </c>
      <c r="I5">
        <v>628.79999999999995</v>
      </c>
      <c r="J5">
        <v>634.20000000000005</v>
      </c>
      <c r="K5">
        <v>625.09999999999991</v>
      </c>
      <c r="L5">
        <v>625.09999999999991</v>
      </c>
      <c r="M5">
        <v>629.90000000000009</v>
      </c>
      <c r="N5">
        <v>645.20000000000005</v>
      </c>
    </row>
    <row r="6" spans="1:14">
      <c r="A6" t="s">
        <v>5</v>
      </c>
      <c r="B6" t="s">
        <v>45</v>
      </c>
      <c r="C6">
        <v>513.20000000000005</v>
      </c>
      <c r="D6">
        <v>526.09999999999991</v>
      </c>
      <c r="E6">
        <v>508.09999999999997</v>
      </c>
      <c r="F6">
        <v>509.59999999999997</v>
      </c>
      <c r="G6">
        <v>513.1</v>
      </c>
      <c r="H6">
        <v>544.79999999999995</v>
      </c>
      <c r="I6">
        <v>571.20000000000005</v>
      </c>
      <c r="J6">
        <v>584.4</v>
      </c>
      <c r="K6">
        <v>526.29999999999995</v>
      </c>
      <c r="L6">
        <v>526.29999999999995</v>
      </c>
      <c r="M6">
        <v>509.9</v>
      </c>
      <c r="N6">
        <v>520.9</v>
      </c>
    </row>
    <row r="7" spans="1:14">
      <c r="A7" t="s">
        <v>6</v>
      </c>
      <c r="B7" t="s">
        <v>45</v>
      </c>
      <c r="C7">
        <v>497.6</v>
      </c>
      <c r="D7">
        <v>500</v>
      </c>
      <c r="E7">
        <v>504.4</v>
      </c>
      <c r="F7">
        <v>509.3</v>
      </c>
      <c r="G7">
        <v>512.79999999999995</v>
      </c>
      <c r="H7">
        <v>516.90000000000009</v>
      </c>
      <c r="I7">
        <v>520.9</v>
      </c>
      <c r="J7">
        <v>524.1</v>
      </c>
      <c r="K7">
        <v>532.20000000000005</v>
      </c>
      <c r="L7">
        <v>532.20000000000005</v>
      </c>
      <c r="M7">
        <v>535.4</v>
      </c>
      <c r="N7">
        <v>538.5</v>
      </c>
    </row>
    <row r="8" spans="1:14">
      <c r="A8" t="s">
        <v>7</v>
      </c>
      <c r="B8" t="s">
        <v>45</v>
      </c>
      <c r="C8">
        <v>597.6</v>
      </c>
      <c r="D8">
        <v>582.79999999999995</v>
      </c>
      <c r="E8">
        <v>573</v>
      </c>
      <c r="F8">
        <v>562.09999999999991</v>
      </c>
      <c r="G8">
        <v>555.79999999999995</v>
      </c>
      <c r="H8">
        <v>562.9</v>
      </c>
      <c r="I8">
        <v>561.5</v>
      </c>
      <c r="J8">
        <v>557.79999999999995</v>
      </c>
      <c r="K8">
        <v>534.90000000000009</v>
      </c>
      <c r="L8">
        <v>534.70000000000005</v>
      </c>
      <c r="M8">
        <v>522.1</v>
      </c>
      <c r="N8">
        <v>507.70000000000005</v>
      </c>
    </row>
    <row r="9" spans="1:14">
      <c r="A9" t="s">
        <v>8</v>
      </c>
      <c r="B9" t="s">
        <v>45</v>
      </c>
      <c r="C9">
        <v>509.59999999999997</v>
      </c>
      <c r="D9">
        <v>523.29999999999995</v>
      </c>
      <c r="E9">
        <v>519.19999999999993</v>
      </c>
      <c r="F9">
        <v>497.3</v>
      </c>
      <c r="G9">
        <v>491.7</v>
      </c>
      <c r="H9">
        <v>482.4</v>
      </c>
      <c r="I9">
        <v>474.2</v>
      </c>
      <c r="J9">
        <v>475.1</v>
      </c>
      <c r="K9">
        <v>508.79999999999995</v>
      </c>
      <c r="L9">
        <v>508.79999999999995</v>
      </c>
      <c r="M9">
        <v>529.20000000000005</v>
      </c>
      <c r="N9">
        <v>517</v>
      </c>
    </row>
    <row r="10" spans="1:14">
      <c r="A10" t="s">
        <v>9</v>
      </c>
      <c r="B10" t="s">
        <v>45</v>
      </c>
      <c r="C10">
        <v>561.1</v>
      </c>
      <c r="D10">
        <v>559.20000000000005</v>
      </c>
      <c r="E10">
        <v>572.9</v>
      </c>
      <c r="F10">
        <v>589.5</v>
      </c>
      <c r="G10">
        <v>613.09999999999991</v>
      </c>
      <c r="H10">
        <v>560.20000000000005</v>
      </c>
      <c r="I10">
        <v>488.79999999999995</v>
      </c>
      <c r="J10">
        <v>472.1</v>
      </c>
      <c r="K10">
        <v>469.40000000000003</v>
      </c>
      <c r="L10">
        <v>469.6</v>
      </c>
      <c r="M10">
        <v>478.1</v>
      </c>
      <c r="N10">
        <v>494.7</v>
      </c>
    </row>
    <row r="11" spans="1:14">
      <c r="A11" t="s">
        <v>10</v>
      </c>
      <c r="B11" t="s">
        <v>45</v>
      </c>
      <c r="C11">
        <v>492.5</v>
      </c>
      <c r="D11">
        <v>492.7</v>
      </c>
      <c r="E11">
        <v>501.59999999999997</v>
      </c>
      <c r="F11">
        <v>507.29999999999995</v>
      </c>
      <c r="G11">
        <v>509.40000000000003</v>
      </c>
      <c r="H11">
        <v>511.7</v>
      </c>
      <c r="I11">
        <v>512.6</v>
      </c>
      <c r="J11">
        <v>512.79999999999995</v>
      </c>
      <c r="K11">
        <v>513.6</v>
      </c>
      <c r="L11">
        <v>513.79999999999995</v>
      </c>
      <c r="M11">
        <v>520.9</v>
      </c>
      <c r="N11">
        <v>527.4</v>
      </c>
    </row>
    <row r="12" spans="1:14">
      <c r="A12" t="s">
        <v>11</v>
      </c>
      <c r="B12" t="s">
        <v>45</v>
      </c>
      <c r="C12">
        <v>360.4</v>
      </c>
      <c r="D12">
        <v>360.7</v>
      </c>
      <c r="E12">
        <v>363.3</v>
      </c>
      <c r="F12">
        <v>365.5</v>
      </c>
      <c r="G12">
        <v>366.4</v>
      </c>
      <c r="H12">
        <v>367</v>
      </c>
      <c r="I12">
        <v>366.1</v>
      </c>
      <c r="J12">
        <v>364.1</v>
      </c>
      <c r="K12">
        <v>361</v>
      </c>
      <c r="L12">
        <v>361</v>
      </c>
      <c r="M12">
        <v>364.8</v>
      </c>
      <c r="N12">
        <v>368.8</v>
      </c>
    </row>
    <row r="13" spans="1:14">
      <c r="A13" t="s">
        <v>12</v>
      </c>
      <c r="B13" t="s">
        <v>45</v>
      </c>
      <c r="C13">
        <v>559.5</v>
      </c>
      <c r="D13">
        <v>568.1</v>
      </c>
      <c r="E13">
        <v>578.9</v>
      </c>
      <c r="F13">
        <v>590</v>
      </c>
      <c r="G13">
        <v>597.9</v>
      </c>
      <c r="H13">
        <v>606.40000000000009</v>
      </c>
      <c r="I13">
        <v>613.20000000000005</v>
      </c>
      <c r="J13">
        <v>623.20000000000005</v>
      </c>
      <c r="K13">
        <v>626.59999999999991</v>
      </c>
      <c r="L13">
        <v>626.59999999999991</v>
      </c>
      <c r="M13">
        <v>636.20000000000005</v>
      </c>
      <c r="N13">
        <v>650.9</v>
      </c>
    </row>
    <row r="14" spans="1:14">
      <c r="A14" t="s">
        <v>13</v>
      </c>
      <c r="B14" t="s">
        <v>48</v>
      </c>
      <c r="C14">
        <v>501.19999999999993</v>
      </c>
      <c r="D14">
        <v>502.70000000000005</v>
      </c>
      <c r="E14">
        <v>504.1</v>
      </c>
      <c r="F14">
        <v>505.9</v>
      </c>
      <c r="G14">
        <v>507.29999999999995</v>
      </c>
      <c r="H14">
        <v>508.9</v>
      </c>
      <c r="I14">
        <v>510.6</v>
      </c>
      <c r="J14">
        <v>512</v>
      </c>
      <c r="K14">
        <v>514.79999999999995</v>
      </c>
      <c r="L14">
        <v>514.79999999999995</v>
      </c>
      <c r="M14">
        <v>516.6</v>
      </c>
      <c r="N14">
        <v>518</v>
      </c>
    </row>
    <row r="15" spans="1:14">
      <c r="A15" t="s">
        <v>14</v>
      </c>
      <c r="B15" t="s">
        <v>45</v>
      </c>
      <c r="C15">
        <v>552.1</v>
      </c>
      <c r="D15">
        <v>556</v>
      </c>
      <c r="E15">
        <v>559.20000000000005</v>
      </c>
      <c r="F15">
        <v>562.6</v>
      </c>
      <c r="G15">
        <v>565.40000000000009</v>
      </c>
      <c r="H15">
        <v>568.79999999999995</v>
      </c>
      <c r="I15">
        <v>571.29999999999995</v>
      </c>
      <c r="J15">
        <v>574</v>
      </c>
      <c r="K15">
        <v>579.5</v>
      </c>
      <c r="L15">
        <v>579.5</v>
      </c>
      <c r="M15">
        <v>581</v>
      </c>
      <c r="N15">
        <v>583</v>
      </c>
    </row>
    <row r="16" spans="1:14">
      <c r="A16" t="s">
        <v>15</v>
      </c>
      <c r="B16" t="s">
        <v>45</v>
      </c>
      <c r="C16">
        <v>526.6</v>
      </c>
      <c r="D16">
        <v>526.9</v>
      </c>
      <c r="E16">
        <v>530.6</v>
      </c>
      <c r="F16">
        <v>535.1</v>
      </c>
      <c r="G16">
        <v>540.30000000000007</v>
      </c>
      <c r="H16">
        <v>536.20000000000005</v>
      </c>
      <c r="I16">
        <v>528.9</v>
      </c>
      <c r="J16">
        <v>531.20000000000005</v>
      </c>
      <c r="K16">
        <v>532.5</v>
      </c>
      <c r="L16">
        <v>532.6</v>
      </c>
      <c r="M16">
        <v>535.5</v>
      </c>
      <c r="N16">
        <v>539</v>
      </c>
    </row>
    <row r="17" spans="1:14">
      <c r="A17" t="s">
        <v>16</v>
      </c>
      <c r="B17" t="s">
        <v>48</v>
      </c>
      <c r="C17">
        <v>585.5</v>
      </c>
      <c r="D17">
        <v>586.4</v>
      </c>
      <c r="E17">
        <v>587.4</v>
      </c>
      <c r="F17">
        <v>590.1</v>
      </c>
      <c r="G17">
        <v>591.29999999999995</v>
      </c>
      <c r="H17">
        <v>593</v>
      </c>
      <c r="I17">
        <v>594.29999999999995</v>
      </c>
      <c r="J17">
        <v>596.70000000000005</v>
      </c>
      <c r="K17">
        <v>600.5</v>
      </c>
      <c r="L17">
        <v>600.6</v>
      </c>
      <c r="M17">
        <v>603.6</v>
      </c>
      <c r="N17">
        <v>605.1</v>
      </c>
    </row>
    <row r="18" spans="1:14">
      <c r="A18" t="s">
        <v>17</v>
      </c>
      <c r="B18" t="s">
        <v>17</v>
      </c>
      <c r="C18">
        <v>529.4</v>
      </c>
      <c r="D18">
        <v>533</v>
      </c>
      <c r="E18">
        <v>536.4</v>
      </c>
      <c r="F18">
        <v>540.6</v>
      </c>
      <c r="G18">
        <v>543.5</v>
      </c>
      <c r="H18">
        <v>547</v>
      </c>
      <c r="I18">
        <v>549.79999999999995</v>
      </c>
      <c r="J18">
        <v>552.6</v>
      </c>
      <c r="K18">
        <v>556.5</v>
      </c>
      <c r="L18">
        <v>556.29999999999995</v>
      </c>
      <c r="M18">
        <v>558.6</v>
      </c>
      <c r="N18">
        <v>559.79999999999995</v>
      </c>
    </row>
    <row r="19" spans="1:14">
      <c r="A19" t="s">
        <v>18</v>
      </c>
      <c r="B19" t="s">
        <v>17</v>
      </c>
      <c r="C19">
        <v>506</v>
      </c>
      <c r="D19">
        <v>510.3</v>
      </c>
      <c r="E19">
        <v>514.4</v>
      </c>
      <c r="F19">
        <v>519.29999999999995</v>
      </c>
      <c r="G19">
        <v>522.29999999999995</v>
      </c>
      <c r="H19">
        <v>524.9</v>
      </c>
      <c r="I19">
        <v>527.4</v>
      </c>
      <c r="J19">
        <v>529.20000000000005</v>
      </c>
      <c r="K19">
        <v>532.70000000000005</v>
      </c>
      <c r="L19">
        <v>532.70000000000005</v>
      </c>
      <c r="M19">
        <v>534.20000000000005</v>
      </c>
      <c r="N19">
        <v>535.70000000000005</v>
      </c>
    </row>
    <row r="20" spans="1:14">
      <c r="A20" t="s">
        <v>19</v>
      </c>
      <c r="B20" t="s">
        <v>17</v>
      </c>
      <c r="C20">
        <v>525.79999999999995</v>
      </c>
      <c r="D20">
        <v>529.59999999999991</v>
      </c>
      <c r="E20">
        <v>533.1</v>
      </c>
      <c r="F20">
        <v>537.4</v>
      </c>
      <c r="G20">
        <v>540.5</v>
      </c>
      <c r="H20">
        <v>543.70000000000005</v>
      </c>
      <c r="I20">
        <v>546.5</v>
      </c>
      <c r="J20">
        <v>549</v>
      </c>
      <c r="K20">
        <v>552.9</v>
      </c>
      <c r="L20">
        <v>552.9</v>
      </c>
      <c r="M20">
        <v>554.79999999999995</v>
      </c>
      <c r="N20">
        <v>556.29999999999995</v>
      </c>
    </row>
    <row r="21" spans="1:14">
      <c r="A21" t="s">
        <v>20</v>
      </c>
      <c r="B21" t="s">
        <v>114</v>
      </c>
      <c r="C21">
        <v>500.90000000000003</v>
      </c>
      <c r="D21">
        <v>502.90000000000003</v>
      </c>
      <c r="E21">
        <v>507.25</v>
      </c>
      <c r="F21">
        <v>508.25</v>
      </c>
      <c r="G21">
        <v>513.9</v>
      </c>
      <c r="H21">
        <v>515.1</v>
      </c>
      <c r="I21">
        <v>512.79999999999995</v>
      </c>
      <c r="J21">
        <v>515.6</v>
      </c>
      <c r="K21">
        <v>520.5</v>
      </c>
      <c r="L21">
        <v>520.5</v>
      </c>
      <c r="M21">
        <v>525.79999999999995</v>
      </c>
      <c r="N21">
        <v>526.6</v>
      </c>
    </row>
    <row r="22" spans="1:14">
      <c r="A22" t="s">
        <v>21</v>
      </c>
      <c r="B22" t="s">
        <v>114</v>
      </c>
      <c r="C22">
        <v>527.6</v>
      </c>
      <c r="D22">
        <v>538.70000000000005</v>
      </c>
      <c r="E22">
        <v>536.29999999999995</v>
      </c>
      <c r="F22">
        <v>538.4</v>
      </c>
      <c r="G22">
        <v>541.29999999999995</v>
      </c>
      <c r="H22">
        <v>543.5</v>
      </c>
      <c r="I22">
        <v>545.4</v>
      </c>
      <c r="J22">
        <v>545.29999999999995</v>
      </c>
      <c r="K22">
        <v>546.5</v>
      </c>
      <c r="L22">
        <v>545.9</v>
      </c>
      <c r="M22">
        <v>545.29999999999995</v>
      </c>
      <c r="N22">
        <v>548.70000000000005</v>
      </c>
    </row>
    <row r="23" spans="1:14">
      <c r="A23" t="s">
        <v>22</v>
      </c>
      <c r="B23" t="s">
        <v>114</v>
      </c>
      <c r="C23">
        <v>498.79999999999995</v>
      </c>
      <c r="D23">
        <v>501.79999999999995</v>
      </c>
      <c r="E23">
        <v>505</v>
      </c>
      <c r="F23">
        <v>508.1</v>
      </c>
      <c r="G23">
        <v>510.79999999999995</v>
      </c>
      <c r="H23">
        <v>513.79999999999995</v>
      </c>
      <c r="I23">
        <v>515.80000000000007</v>
      </c>
      <c r="J23">
        <v>518.1</v>
      </c>
      <c r="K23">
        <v>522</v>
      </c>
      <c r="L23">
        <v>522</v>
      </c>
      <c r="M23">
        <v>523.29999999999995</v>
      </c>
      <c r="N23">
        <v>525.09999999999991</v>
      </c>
    </row>
    <row r="24" spans="1:14">
      <c r="A24" t="s">
        <v>23</v>
      </c>
      <c r="B24" t="s">
        <v>115</v>
      </c>
      <c r="C24">
        <v>524.5</v>
      </c>
      <c r="D24">
        <v>526.6</v>
      </c>
      <c r="E24">
        <v>528.79999999999995</v>
      </c>
      <c r="F24">
        <v>531.79999999999995</v>
      </c>
      <c r="G24">
        <v>534.59999999999991</v>
      </c>
      <c r="H24">
        <v>537.90000000000009</v>
      </c>
      <c r="I24">
        <v>541.79999999999995</v>
      </c>
      <c r="J24">
        <v>545.5</v>
      </c>
      <c r="K24">
        <v>551.79999999999995</v>
      </c>
      <c r="L24">
        <v>551.79999999999995</v>
      </c>
      <c r="M24">
        <v>553.70000000000005</v>
      </c>
      <c r="N24">
        <v>555.70000000000005</v>
      </c>
    </row>
    <row r="25" spans="1:14">
      <c r="A25" t="s">
        <v>24</v>
      </c>
      <c r="B25" t="s">
        <v>114</v>
      </c>
      <c r="C25">
        <v>483.79999999999995</v>
      </c>
      <c r="D25">
        <v>485.30000000000007</v>
      </c>
      <c r="E25">
        <v>486.19999999999993</v>
      </c>
      <c r="F25">
        <v>487.40000000000003</v>
      </c>
      <c r="G25">
        <v>489.1</v>
      </c>
      <c r="H25">
        <v>489.4</v>
      </c>
      <c r="I25">
        <v>490.6</v>
      </c>
      <c r="J25">
        <v>491.29999999999995</v>
      </c>
      <c r="K25">
        <v>493</v>
      </c>
      <c r="L25">
        <v>493</v>
      </c>
      <c r="M25">
        <v>494</v>
      </c>
      <c r="N25">
        <v>494.90000000000003</v>
      </c>
    </row>
    <row r="26" spans="1:14">
      <c r="A26" t="s">
        <v>25</v>
      </c>
      <c r="B26" t="s">
        <v>48</v>
      </c>
      <c r="C26">
        <v>497.90000000000003</v>
      </c>
      <c r="D26">
        <v>499.5</v>
      </c>
      <c r="E26">
        <v>501.29999999999995</v>
      </c>
      <c r="F26">
        <v>503.4</v>
      </c>
      <c r="G26">
        <v>505.09999999999997</v>
      </c>
      <c r="H26">
        <v>506</v>
      </c>
      <c r="I26">
        <v>507.19999999999993</v>
      </c>
      <c r="J26">
        <v>509.1</v>
      </c>
      <c r="K26">
        <v>511.50000000000006</v>
      </c>
      <c r="L26">
        <v>511.50000000000006</v>
      </c>
      <c r="M26">
        <v>512.70000000000005</v>
      </c>
      <c r="N26">
        <v>514.20000000000005</v>
      </c>
    </row>
    <row r="27" spans="1:14">
      <c r="A27" t="s">
        <v>26</v>
      </c>
      <c r="B27" t="s">
        <v>114</v>
      </c>
      <c r="C27">
        <v>508.1</v>
      </c>
      <c r="D27">
        <v>515.19999999999993</v>
      </c>
      <c r="E27">
        <v>517.90000000000009</v>
      </c>
      <c r="F27">
        <v>520.20000000000005</v>
      </c>
      <c r="G27">
        <v>521.1</v>
      </c>
      <c r="H27">
        <v>522.09999999999991</v>
      </c>
      <c r="I27">
        <v>523.20000000000005</v>
      </c>
      <c r="J27">
        <v>523.90000000000009</v>
      </c>
      <c r="K27">
        <v>526</v>
      </c>
      <c r="L27">
        <v>526</v>
      </c>
      <c r="M27">
        <v>530</v>
      </c>
      <c r="N27">
        <v>532.20000000000005</v>
      </c>
    </row>
    <row r="28" spans="1:14">
      <c r="A28" t="s">
        <v>27</v>
      </c>
      <c r="B28" t="s">
        <v>115</v>
      </c>
      <c r="C28">
        <v>508.1</v>
      </c>
      <c r="D28">
        <v>509.2</v>
      </c>
      <c r="E28">
        <v>513.70000000000005</v>
      </c>
      <c r="F28">
        <v>512.79999999999995</v>
      </c>
      <c r="G28">
        <v>516.4</v>
      </c>
      <c r="H28">
        <v>520.80000000000007</v>
      </c>
      <c r="I28">
        <v>527.5</v>
      </c>
      <c r="J28">
        <v>535.80000000000007</v>
      </c>
      <c r="K28">
        <v>543.1</v>
      </c>
      <c r="L28">
        <v>543.20000000000005</v>
      </c>
      <c r="M28">
        <v>552.20000000000005</v>
      </c>
      <c r="N28">
        <v>555.70000000000005</v>
      </c>
    </row>
    <row r="29" spans="1:14">
      <c r="A29" t="s">
        <v>28</v>
      </c>
      <c r="B29" t="s">
        <v>49</v>
      </c>
      <c r="C29">
        <v>502.3</v>
      </c>
      <c r="D29">
        <v>504.9</v>
      </c>
      <c r="E29">
        <v>507.1</v>
      </c>
      <c r="F29">
        <v>508.9</v>
      </c>
      <c r="G29">
        <v>511.20000000000005</v>
      </c>
      <c r="H29">
        <v>513.1</v>
      </c>
      <c r="I29">
        <v>515.70000000000005</v>
      </c>
      <c r="J29">
        <v>518.20000000000005</v>
      </c>
      <c r="K29">
        <v>522</v>
      </c>
      <c r="L29">
        <v>522</v>
      </c>
      <c r="M29">
        <v>524.79999999999995</v>
      </c>
      <c r="N29">
        <v>526.79999999999995</v>
      </c>
    </row>
    <row r="30" spans="1:14">
      <c r="A30" t="s">
        <v>29</v>
      </c>
      <c r="B30" t="s">
        <v>49</v>
      </c>
      <c r="C30">
        <v>517.6</v>
      </c>
      <c r="D30">
        <v>520</v>
      </c>
      <c r="E30">
        <v>522.70000000000005</v>
      </c>
      <c r="F30">
        <v>525.79999999999995</v>
      </c>
      <c r="G30">
        <v>529.90000000000009</v>
      </c>
      <c r="H30">
        <v>528.4</v>
      </c>
      <c r="I30">
        <v>526.9</v>
      </c>
      <c r="J30">
        <v>529.20000000000005</v>
      </c>
      <c r="K30">
        <v>531.5</v>
      </c>
      <c r="L30">
        <v>531.5</v>
      </c>
      <c r="M30">
        <v>534.30000000000007</v>
      </c>
      <c r="N30">
        <v>537.1</v>
      </c>
    </row>
    <row r="42" spans="1:23">
      <c r="A42" t="s">
        <v>46</v>
      </c>
      <c r="B42" t="s">
        <v>47</v>
      </c>
      <c r="C42" t="s">
        <v>73</v>
      </c>
      <c r="D42" t="s">
        <v>74</v>
      </c>
      <c r="E42" t="s">
        <v>75</v>
      </c>
      <c r="F42" t="s">
        <v>76</v>
      </c>
      <c r="G42" t="s">
        <v>77</v>
      </c>
      <c r="H42" t="s">
        <v>78</v>
      </c>
      <c r="I42" t="s">
        <v>79</v>
      </c>
      <c r="J42" t="s">
        <v>80</v>
      </c>
      <c r="K42" t="s">
        <v>81</v>
      </c>
      <c r="L42" t="s">
        <v>82</v>
      </c>
      <c r="M42" t="s">
        <v>83</v>
      </c>
      <c r="N42" t="s">
        <v>84</v>
      </c>
      <c r="O42" t="s">
        <v>110</v>
      </c>
      <c r="Q42" s="18" t="s">
        <v>120</v>
      </c>
      <c r="R42" s="18" t="s">
        <v>52</v>
      </c>
      <c r="S42" s="18" t="s">
        <v>85</v>
      </c>
      <c r="V42" s="68" t="s">
        <v>120</v>
      </c>
      <c r="W42" s="41" t="s">
        <v>97</v>
      </c>
    </row>
    <row r="43" spans="1:23">
      <c r="A43" t="s">
        <v>3</v>
      </c>
      <c r="B43" t="s">
        <v>45</v>
      </c>
      <c r="C43">
        <v>466.3</v>
      </c>
      <c r="D43">
        <v>471</v>
      </c>
      <c r="E43">
        <v>481.90000000000003</v>
      </c>
      <c r="F43">
        <v>491.3</v>
      </c>
      <c r="G43">
        <v>496.3</v>
      </c>
      <c r="H43">
        <v>502.70000000000005</v>
      </c>
      <c r="I43">
        <v>508.2</v>
      </c>
      <c r="J43">
        <v>521.1</v>
      </c>
      <c r="K43">
        <v>523.29999999999995</v>
      </c>
      <c r="L43">
        <v>523.4</v>
      </c>
      <c r="M43">
        <v>521.90000000000009</v>
      </c>
      <c r="N43">
        <v>521.59999999999991</v>
      </c>
      <c r="O43">
        <f>SUM(C43:N43)</f>
        <v>6029</v>
      </c>
      <c r="Q43" t="s">
        <v>73</v>
      </c>
      <c r="R43">
        <v>6296.5</v>
      </c>
      <c r="S43" s="20">
        <v>0</v>
      </c>
      <c r="V43" s="69" t="s">
        <v>99</v>
      </c>
      <c r="W43" s="70">
        <v>0</v>
      </c>
    </row>
    <row r="44" spans="1:23">
      <c r="A44" s="88" t="s">
        <v>4</v>
      </c>
      <c r="B44" s="88" t="s">
        <v>45</v>
      </c>
      <c r="C44" s="88">
        <v>660</v>
      </c>
      <c r="D44" s="88">
        <v>640.9</v>
      </c>
      <c r="E44" s="88">
        <v>621.5</v>
      </c>
      <c r="F44" s="88">
        <v>629.59999999999991</v>
      </c>
      <c r="G44" s="88">
        <v>634.6</v>
      </c>
      <c r="H44" s="88">
        <v>630</v>
      </c>
      <c r="I44" s="88">
        <v>628.79999999999995</v>
      </c>
      <c r="J44" s="88">
        <v>634.20000000000005</v>
      </c>
      <c r="K44" s="88">
        <v>625.09999999999991</v>
      </c>
      <c r="L44" s="88">
        <v>625.09999999999991</v>
      </c>
      <c r="M44" s="88">
        <v>629.90000000000009</v>
      </c>
      <c r="N44" s="88">
        <v>645.20000000000005</v>
      </c>
      <c r="O44" s="88">
        <f t="shared" ref="O44:O54" si="0">SUM(C44:N44)</f>
        <v>7604.8999999999987</v>
      </c>
      <c r="Q44" t="s">
        <v>86</v>
      </c>
      <c r="R44">
        <v>6307.7</v>
      </c>
      <c r="S44" s="19">
        <f>(R44-R43)/R44</f>
        <v>1.7756075907224215E-3</v>
      </c>
      <c r="V44" s="69" t="s">
        <v>98</v>
      </c>
      <c r="W44" s="70">
        <v>1.7756075907224215E-3</v>
      </c>
    </row>
    <row r="45" spans="1:23">
      <c r="A45" t="s">
        <v>5</v>
      </c>
      <c r="B45" t="s">
        <v>45</v>
      </c>
      <c r="C45">
        <v>513.20000000000005</v>
      </c>
      <c r="D45">
        <v>526.09999999999991</v>
      </c>
      <c r="E45">
        <v>508.09999999999997</v>
      </c>
      <c r="F45">
        <v>509.59999999999997</v>
      </c>
      <c r="G45">
        <v>513.1</v>
      </c>
      <c r="H45">
        <v>544.79999999999995</v>
      </c>
      <c r="I45">
        <v>571.20000000000005</v>
      </c>
      <c r="J45">
        <v>584.4</v>
      </c>
      <c r="K45">
        <v>526.29999999999995</v>
      </c>
      <c r="L45">
        <v>526.29999999999995</v>
      </c>
      <c r="M45">
        <v>509.9</v>
      </c>
      <c r="N45">
        <v>520.9</v>
      </c>
      <c r="O45">
        <f t="shared" si="0"/>
        <v>6353.8999999999987</v>
      </c>
      <c r="Q45" t="s">
        <v>87</v>
      </c>
      <c r="R45">
        <v>6314.6</v>
      </c>
      <c r="S45" s="19">
        <f t="shared" ref="S45:S54" si="1">(R45-R44)/R45</f>
        <v>1.0927057929244204E-3</v>
      </c>
      <c r="V45" s="69" t="s">
        <v>100</v>
      </c>
      <c r="W45" s="70">
        <v>1.0927057929244204E-3</v>
      </c>
    </row>
    <row r="46" spans="1:23">
      <c r="A46" t="s">
        <v>6</v>
      </c>
      <c r="B46" t="s">
        <v>45</v>
      </c>
      <c r="C46">
        <v>497.6</v>
      </c>
      <c r="D46">
        <v>500</v>
      </c>
      <c r="E46">
        <v>504.4</v>
      </c>
      <c r="F46">
        <v>509.3</v>
      </c>
      <c r="G46">
        <v>512.79999999999995</v>
      </c>
      <c r="H46">
        <v>516.90000000000009</v>
      </c>
      <c r="I46">
        <v>520.9</v>
      </c>
      <c r="J46">
        <v>524.1</v>
      </c>
      <c r="K46">
        <v>532.20000000000005</v>
      </c>
      <c r="L46">
        <v>532.20000000000005</v>
      </c>
      <c r="M46">
        <v>535.4</v>
      </c>
      <c r="N46">
        <v>538.5</v>
      </c>
      <c r="O46">
        <f t="shared" si="0"/>
        <v>6224.2999999999993</v>
      </c>
      <c r="Q46" t="s">
        <v>88</v>
      </c>
      <c r="R46">
        <v>6349.2000000000007</v>
      </c>
      <c r="S46" s="19">
        <f t="shared" si="1"/>
        <v>5.4495054495055061E-3</v>
      </c>
      <c r="V46" s="69" t="s">
        <v>101</v>
      </c>
      <c r="W46" s="70">
        <v>5.4495054495055061E-3</v>
      </c>
    </row>
    <row r="47" spans="1:23">
      <c r="A47" t="s">
        <v>7</v>
      </c>
      <c r="B47" t="s">
        <v>45</v>
      </c>
      <c r="C47">
        <v>597.6</v>
      </c>
      <c r="D47">
        <v>582.79999999999995</v>
      </c>
      <c r="E47">
        <v>573</v>
      </c>
      <c r="F47">
        <v>562.09999999999991</v>
      </c>
      <c r="G47">
        <v>555.79999999999995</v>
      </c>
      <c r="H47">
        <v>562.9</v>
      </c>
      <c r="I47">
        <v>561.5</v>
      </c>
      <c r="J47">
        <v>557.79999999999995</v>
      </c>
      <c r="K47">
        <v>534.90000000000009</v>
      </c>
      <c r="L47">
        <v>534.70000000000005</v>
      </c>
      <c r="M47">
        <v>522.1</v>
      </c>
      <c r="N47">
        <v>507.70000000000005</v>
      </c>
      <c r="O47">
        <f t="shared" si="0"/>
        <v>6652.9</v>
      </c>
      <c r="Q47" t="s">
        <v>89</v>
      </c>
      <c r="R47">
        <v>6396.8</v>
      </c>
      <c r="S47" s="19">
        <f t="shared" si="1"/>
        <v>7.441220610305067E-3</v>
      </c>
      <c r="V47" s="69" t="s">
        <v>102</v>
      </c>
      <c r="W47" s="70">
        <v>7.441220610305067E-3</v>
      </c>
    </row>
    <row r="48" spans="1:23">
      <c r="A48" t="s">
        <v>8</v>
      </c>
      <c r="B48" t="s">
        <v>45</v>
      </c>
      <c r="C48">
        <v>509.59999999999997</v>
      </c>
      <c r="D48">
        <v>523.29999999999995</v>
      </c>
      <c r="E48">
        <v>519.19999999999993</v>
      </c>
      <c r="F48">
        <v>497.3</v>
      </c>
      <c r="G48">
        <v>491.7</v>
      </c>
      <c r="H48">
        <v>482.4</v>
      </c>
      <c r="I48">
        <v>474.2</v>
      </c>
      <c r="J48">
        <v>475.1</v>
      </c>
      <c r="K48">
        <v>508.79999999999995</v>
      </c>
      <c r="L48">
        <v>508.79999999999995</v>
      </c>
      <c r="M48">
        <v>529.20000000000005</v>
      </c>
      <c r="N48">
        <v>517</v>
      </c>
      <c r="O48">
        <f t="shared" si="0"/>
        <v>6036.5999999999995</v>
      </c>
      <c r="Q48" t="s">
        <v>90</v>
      </c>
      <c r="R48">
        <v>6390</v>
      </c>
      <c r="S48" s="19">
        <f t="shared" si="1"/>
        <v>-1.0641627543036278E-3</v>
      </c>
      <c r="V48" s="69" t="s">
        <v>103</v>
      </c>
      <c r="W48" s="70">
        <v>-1.0641627543036278E-3</v>
      </c>
    </row>
    <row r="49" spans="1:23">
      <c r="A49" t="s">
        <v>9</v>
      </c>
      <c r="B49" t="s">
        <v>45</v>
      </c>
      <c r="C49">
        <v>561.1</v>
      </c>
      <c r="D49">
        <v>559.20000000000005</v>
      </c>
      <c r="E49">
        <v>572.9</v>
      </c>
      <c r="F49">
        <v>589.5</v>
      </c>
      <c r="G49">
        <v>613.09999999999991</v>
      </c>
      <c r="H49">
        <v>560.20000000000005</v>
      </c>
      <c r="I49">
        <v>488.79999999999995</v>
      </c>
      <c r="J49">
        <v>472.1</v>
      </c>
      <c r="K49">
        <v>469.40000000000003</v>
      </c>
      <c r="L49">
        <v>469.6</v>
      </c>
      <c r="M49">
        <v>478.1</v>
      </c>
      <c r="N49">
        <v>494.7</v>
      </c>
      <c r="O49">
        <f t="shared" si="0"/>
        <v>6328.7000000000007</v>
      </c>
      <c r="Q49" t="s">
        <v>91</v>
      </c>
      <c r="R49">
        <v>6345.7</v>
      </c>
      <c r="S49" s="19">
        <f t="shared" si="1"/>
        <v>-6.9811053154104647E-3</v>
      </c>
      <c r="V49" s="94" t="s">
        <v>104</v>
      </c>
      <c r="W49" s="95">
        <v>-6.9811053154104647E-3</v>
      </c>
    </row>
    <row r="50" spans="1:23">
      <c r="A50" t="s">
        <v>10</v>
      </c>
      <c r="B50" t="s">
        <v>45</v>
      </c>
      <c r="C50">
        <v>492.5</v>
      </c>
      <c r="D50">
        <v>492.7</v>
      </c>
      <c r="E50">
        <v>501.59999999999997</v>
      </c>
      <c r="F50">
        <v>507.29999999999995</v>
      </c>
      <c r="G50">
        <v>509.40000000000003</v>
      </c>
      <c r="H50">
        <v>511.7</v>
      </c>
      <c r="I50">
        <v>512.6</v>
      </c>
      <c r="J50">
        <v>512.79999999999995</v>
      </c>
      <c r="K50">
        <v>513.6</v>
      </c>
      <c r="L50">
        <v>513.79999999999995</v>
      </c>
      <c r="M50">
        <v>520.9</v>
      </c>
      <c r="N50">
        <v>527.4</v>
      </c>
      <c r="O50">
        <f t="shared" si="0"/>
        <v>6116.2999999999993</v>
      </c>
      <c r="Q50" t="s">
        <v>92</v>
      </c>
      <c r="R50">
        <v>6374.1</v>
      </c>
      <c r="S50" s="19">
        <f t="shared" si="1"/>
        <v>4.4555309769223174E-3</v>
      </c>
      <c r="V50" s="69" t="s">
        <v>105</v>
      </c>
      <c r="W50" s="70">
        <v>4.4555309769223174E-3</v>
      </c>
    </row>
    <row r="51" spans="1:23">
      <c r="A51" t="s">
        <v>11</v>
      </c>
      <c r="B51" t="s">
        <v>45</v>
      </c>
      <c r="C51">
        <v>360.4</v>
      </c>
      <c r="D51">
        <v>360.7</v>
      </c>
      <c r="E51">
        <v>363.3</v>
      </c>
      <c r="F51">
        <v>365.5</v>
      </c>
      <c r="G51">
        <v>366.4</v>
      </c>
      <c r="H51">
        <v>367</v>
      </c>
      <c r="I51">
        <v>366.1</v>
      </c>
      <c r="J51">
        <v>364.1</v>
      </c>
      <c r="K51">
        <v>361</v>
      </c>
      <c r="L51">
        <v>361</v>
      </c>
      <c r="M51">
        <v>364.8</v>
      </c>
      <c r="N51">
        <v>368.8</v>
      </c>
      <c r="O51">
        <f t="shared" si="0"/>
        <v>4369.0999999999995</v>
      </c>
      <c r="Q51" t="s">
        <v>93</v>
      </c>
      <c r="R51">
        <v>6333.1999999999989</v>
      </c>
      <c r="S51" s="19">
        <f t="shared" si="1"/>
        <v>-6.4580306953832918E-3</v>
      </c>
      <c r="V51" s="69" t="s">
        <v>106</v>
      </c>
      <c r="W51" s="70">
        <v>-6.4580306953832918E-3</v>
      </c>
    </row>
    <row r="52" spans="1:23">
      <c r="A52" t="s">
        <v>12</v>
      </c>
      <c r="B52" t="s">
        <v>45</v>
      </c>
      <c r="C52">
        <v>559.5</v>
      </c>
      <c r="D52">
        <v>568.1</v>
      </c>
      <c r="E52">
        <v>578.9</v>
      </c>
      <c r="F52">
        <v>590</v>
      </c>
      <c r="G52">
        <v>597.9</v>
      </c>
      <c r="H52">
        <v>606.40000000000009</v>
      </c>
      <c r="I52">
        <v>613.20000000000005</v>
      </c>
      <c r="J52">
        <v>623.20000000000005</v>
      </c>
      <c r="K52">
        <v>626.59999999999991</v>
      </c>
      <c r="L52">
        <v>626.59999999999991</v>
      </c>
      <c r="M52">
        <v>636.20000000000005</v>
      </c>
      <c r="N52">
        <v>650.9</v>
      </c>
      <c r="O52">
        <f t="shared" si="0"/>
        <v>7277.4999999999991</v>
      </c>
      <c r="Q52" t="s">
        <v>94</v>
      </c>
      <c r="R52">
        <v>6333.6</v>
      </c>
      <c r="S52" s="19">
        <f t="shared" si="1"/>
        <v>6.3155235569258423E-5</v>
      </c>
      <c r="V52" s="69" t="s">
        <v>108</v>
      </c>
      <c r="W52" s="70">
        <v>6.3155235569258423E-5</v>
      </c>
    </row>
    <row r="53" spans="1:23">
      <c r="A53" t="s">
        <v>14</v>
      </c>
      <c r="B53" t="s">
        <v>45</v>
      </c>
      <c r="C53">
        <v>552.1</v>
      </c>
      <c r="D53">
        <v>556</v>
      </c>
      <c r="E53">
        <v>559.20000000000005</v>
      </c>
      <c r="F53">
        <v>562.6</v>
      </c>
      <c r="G53">
        <v>565.40000000000009</v>
      </c>
      <c r="H53">
        <v>568.79999999999995</v>
      </c>
      <c r="I53">
        <v>571.29999999999995</v>
      </c>
      <c r="J53">
        <v>574</v>
      </c>
      <c r="K53">
        <v>579.5</v>
      </c>
      <c r="L53">
        <v>579.5</v>
      </c>
      <c r="M53">
        <v>581</v>
      </c>
      <c r="N53">
        <v>583</v>
      </c>
      <c r="O53">
        <f t="shared" si="0"/>
        <v>6832.4000000000005</v>
      </c>
      <c r="Q53" t="s">
        <v>95</v>
      </c>
      <c r="R53">
        <v>6364.9000000000005</v>
      </c>
      <c r="S53" s="19">
        <f t="shared" si="1"/>
        <v>4.9175949347201337E-3</v>
      </c>
      <c r="V53" s="69" t="s">
        <v>107</v>
      </c>
      <c r="W53" s="70">
        <v>4.9175949347201337E-3</v>
      </c>
    </row>
    <row r="54" spans="1:23">
      <c r="A54" t="s">
        <v>15</v>
      </c>
      <c r="B54" t="s">
        <v>45</v>
      </c>
      <c r="C54">
        <v>526.6</v>
      </c>
      <c r="D54">
        <v>526.9</v>
      </c>
      <c r="E54">
        <v>530.6</v>
      </c>
      <c r="F54">
        <v>535.1</v>
      </c>
      <c r="G54">
        <v>540.30000000000007</v>
      </c>
      <c r="H54">
        <v>536.20000000000005</v>
      </c>
      <c r="I54">
        <v>528.9</v>
      </c>
      <c r="J54">
        <v>531.20000000000005</v>
      </c>
      <c r="K54">
        <v>532.5</v>
      </c>
      <c r="L54">
        <v>532.6</v>
      </c>
      <c r="M54">
        <v>535.5</v>
      </c>
      <c r="N54">
        <v>539</v>
      </c>
      <c r="O54">
        <f t="shared" si="0"/>
        <v>6395.4000000000005</v>
      </c>
      <c r="Q54" t="s">
        <v>96</v>
      </c>
      <c r="R54">
        <v>6414.6999999999989</v>
      </c>
      <c r="S54" s="19">
        <f t="shared" si="1"/>
        <v>7.7634183983659984E-3</v>
      </c>
      <c r="V54" s="94" t="s">
        <v>109</v>
      </c>
      <c r="W54" s="42">
        <v>7.7634183983659984E-3</v>
      </c>
    </row>
    <row r="55" spans="1:23">
      <c r="B55" s="87" t="s">
        <v>52</v>
      </c>
      <c r="C55" s="87">
        <f t="shared" ref="C55:N55" si="2">SUM(C43:C54)</f>
        <v>6296.5</v>
      </c>
      <c r="D55" s="87">
        <f t="shared" si="2"/>
        <v>6307.7</v>
      </c>
      <c r="E55" s="87">
        <f t="shared" si="2"/>
        <v>6314.6</v>
      </c>
      <c r="F55" s="87">
        <f t="shared" si="2"/>
        <v>6349.2000000000007</v>
      </c>
      <c r="G55" s="87">
        <f t="shared" si="2"/>
        <v>6396.8</v>
      </c>
      <c r="H55" s="87">
        <f t="shared" si="2"/>
        <v>6390</v>
      </c>
      <c r="I55" s="87">
        <f t="shared" si="2"/>
        <v>6345.7</v>
      </c>
      <c r="J55" s="87">
        <f t="shared" si="2"/>
        <v>6374.1</v>
      </c>
      <c r="K55" s="87">
        <f t="shared" si="2"/>
        <v>6333.1999999999989</v>
      </c>
      <c r="L55" s="87">
        <f t="shared" si="2"/>
        <v>6333.6</v>
      </c>
      <c r="M55" s="87">
        <f t="shared" si="2"/>
        <v>6364.9000000000005</v>
      </c>
      <c r="N55" s="87">
        <f t="shared" si="2"/>
        <v>6414.6999999999989</v>
      </c>
      <c r="V55" s="71" t="s">
        <v>51</v>
      </c>
      <c r="W55" s="37">
        <v>1.8455440223937736E-2</v>
      </c>
    </row>
    <row r="57" spans="1:23">
      <c r="V57" s="108" t="s">
        <v>168</v>
      </c>
      <c r="W57" s="108"/>
    </row>
    <row r="58" spans="1:23">
      <c r="V58" s="108"/>
      <c r="W58" s="108"/>
    </row>
    <row r="59" spans="1:23">
      <c r="V59" s="108"/>
      <c r="W59" s="108"/>
    </row>
    <row r="60" spans="1:23">
      <c r="V60" s="108"/>
      <c r="W60" s="108"/>
    </row>
    <row r="63" spans="1:23">
      <c r="A63" s="77" t="s">
        <v>46</v>
      </c>
      <c r="B63" s="78" t="s">
        <v>110</v>
      </c>
    </row>
    <row r="64" spans="1:23">
      <c r="A64" s="79" t="s">
        <v>3</v>
      </c>
      <c r="B64" s="80">
        <v>6029</v>
      </c>
      <c r="G64" s="19"/>
    </row>
    <row r="65" spans="1:2">
      <c r="A65" s="81" t="s">
        <v>4</v>
      </c>
      <c r="B65" s="82">
        <v>7604.8999999999987</v>
      </c>
    </row>
    <row r="66" spans="1:2">
      <c r="A66" s="79" t="s">
        <v>5</v>
      </c>
      <c r="B66" s="80">
        <v>6353.8999999999987</v>
      </c>
    </row>
    <row r="67" spans="1:2">
      <c r="A67" s="83" t="s">
        <v>6</v>
      </c>
      <c r="B67" s="84">
        <v>6224.2999999999993</v>
      </c>
    </row>
    <row r="68" spans="1:2">
      <c r="A68" s="79" t="s">
        <v>7</v>
      </c>
      <c r="B68" s="80">
        <v>6652.9</v>
      </c>
    </row>
    <row r="69" spans="1:2">
      <c r="A69" s="83" t="s">
        <v>8</v>
      </c>
      <c r="B69" s="84">
        <v>6036.5999999999995</v>
      </c>
    </row>
    <row r="70" spans="1:2">
      <c r="A70" s="79" t="s">
        <v>9</v>
      </c>
      <c r="B70" s="80">
        <v>6328.7000000000007</v>
      </c>
    </row>
    <row r="71" spans="1:2">
      <c r="A71" s="83" t="s">
        <v>10</v>
      </c>
      <c r="B71" s="84">
        <v>6116.2999999999993</v>
      </c>
    </row>
    <row r="72" spans="1:2">
      <c r="A72" s="79" t="s">
        <v>11</v>
      </c>
      <c r="B72" s="80">
        <v>4369.0999999999995</v>
      </c>
    </row>
    <row r="73" spans="1:2">
      <c r="A73" s="83" t="s">
        <v>12</v>
      </c>
      <c r="B73" s="84">
        <v>7277.4999999999991</v>
      </c>
    </row>
    <row r="74" spans="1:2">
      <c r="A74" s="79" t="s">
        <v>14</v>
      </c>
      <c r="B74" s="80">
        <v>6832.4000000000005</v>
      </c>
    </row>
    <row r="75" spans="1:2">
      <c r="A75" s="85" t="s">
        <v>15</v>
      </c>
      <c r="B75" s="86">
        <v>6395.4000000000005</v>
      </c>
    </row>
    <row r="77" spans="1:2" ht="14.4" customHeight="1"/>
    <row r="78" spans="1:2" ht="14.4" customHeight="1"/>
  </sheetData>
  <mergeCells count="2">
    <mergeCell ref="V57:W60"/>
    <mergeCell ref="A1:N2"/>
  </mergeCells>
  <phoneticPr fontId="13" type="noConversion"/>
  <conditionalFormatting sqref="S43:S54">
    <cfRule type="top10" dxfId="100" priority="18" percent="1" bottom="1" rank="10"/>
    <cfRule type="top10" dxfId="99" priority="19" percent="1" rank="10"/>
  </conditionalFormatting>
  <conditionalFormatting pivot="1" sqref="W54">
    <cfRule type="top10" dxfId="98" priority="14" percent="1" bottom="1" rank="10"/>
    <cfRule type="top10" dxfId="97" priority="15" percent="1" rank="10"/>
  </conditionalFormatting>
  <conditionalFormatting pivot="1" sqref="W43:W54">
    <cfRule type="top10" dxfId="96" priority="13" percent="1" rank="10"/>
  </conditionalFormatting>
  <conditionalFormatting pivot="1" sqref="W43:W54">
    <cfRule type="top10" dxfId="95" priority="12" percent="1" bottom="1" rank="10"/>
  </conditionalFormatting>
  <conditionalFormatting sqref="A44:N44">
    <cfRule type="top10" dxfId="94" priority="2" percent="1" rank="10"/>
  </conditionalFormatting>
  <conditionalFormatting sqref="A65">
    <cfRule type="top10" dxfId="93" priority="1" percent="1" rank="10"/>
  </conditionalFormatting>
  <pageMargins left="0.7" right="0.7" top="0.75" bottom="0.75" header="0.3" footer="0.3"/>
  <ignoredErrors>
    <ignoredError sqref="S43" calculatedColumn="1"/>
  </ignoredErrors>
  <drawing r:id="rId2"/>
  <tableParts count="3"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05211-79B9-42E7-81F6-5ABEFBB901E7}">
  <dimension ref="A1:AH373"/>
  <sheetViews>
    <sheetView zoomScale="64" workbookViewId="0">
      <selection activeCell="AI22" sqref="AI22"/>
    </sheetView>
  </sheetViews>
  <sheetFormatPr defaultRowHeight="14.4"/>
  <cols>
    <col min="5" max="5" width="19.109375" customWidth="1"/>
    <col min="6" max="6" width="13.5546875" customWidth="1"/>
    <col min="8" max="8" width="16.88671875" customWidth="1"/>
    <col min="9" max="9" width="12.21875" customWidth="1"/>
    <col min="11" max="11" width="11.44140625" customWidth="1"/>
    <col min="12" max="12" width="18.5546875" customWidth="1"/>
    <col min="13" max="13" width="21.6640625" customWidth="1"/>
    <col min="15" max="15" width="21.77734375" customWidth="1"/>
    <col min="16" max="16" width="31.21875" customWidth="1"/>
    <col min="17" max="17" width="18.33203125" customWidth="1"/>
    <col min="18" max="18" width="25.109375" customWidth="1"/>
    <col min="19" max="19" width="9.109375" customWidth="1"/>
    <col min="20" max="20" width="10.109375" customWidth="1"/>
    <col min="21" max="21" width="20.109375" customWidth="1"/>
    <col min="22" max="22" width="9" customWidth="1"/>
    <col min="23" max="23" width="13.109375" customWidth="1"/>
    <col min="24" max="24" width="26.33203125" customWidth="1"/>
    <col min="26" max="26" width="26.109375" customWidth="1"/>
    <col min="27" max="27" width="24.21875" customWidth="1"/>
    <col min="28" max="28" width="10.6640625" customWidth="1"/>
    <col min="29" max="29" width="22.5546875" customWidth="1"/>
    <col min="30" max="30" width="14" customWidth="1"/>
    <col min="31" max="31" width="13.5546875" customWidth="1"/>
    <col min="33" max="33" width="35.5546875" customWidth="1"/>
    <col min="34" max="34" width="30.44140625" customWidth="1"/>
    <col min="35" max="36" width="23.77734375" customWidth="1"/>
    <col min="37" max="37" width="30.44140625" bestFit="1" customWidth="1"/>
    <col min="38" max="38" width="12.33203125" bestFit="1" customWidth="1"/>
    <col min="39" max="39" width="13.21875" bestFit="1" customWidth="1"/>
    <col min="40" max="40" width="12.5546875" bestFit="1" customWidth="1"/>
    <col min="41" max="41" width="13.77734375" bestFit="1" customWidth="1"/>
  </cols>
  <sheetData>
    <row r="1" spans="1:34">
      <c r="A1" s="26" t="s">
        <v>0</v>
      </c>
      <c r="B1" s="26" t="s">
        <v>1</v>
      </c>
      <c r="C1" s="26" t="s">
        <v>2</v>
      </c>
      <c r="D1" s="27" t="s">
        <v>112</v>
      </c>
      <c r="E1" s="26" t="s">
        <v>3</v>
      </c>
      <c r="F1" s="26" t="s">
        <v>4</v>
      </c>
      <c r="G1" s="26" t="s">
        <v>5</v>
      </c>
      <c r="H1" s="26" t="s">
        <v>6</v>
      </c>
      <c r="I1" s="26" t="s">
        <v>7</v>
      </c>
      <c r="J1" s="26" t="s">
        <v>8</v>
      </c>
      <c r="K1" s="26" t="s">
        <v>9</v>
      </c>
      <c r="L1" s="26" t="s">
        <v>10</v>
      </c>
      <c r="M1" s="26" t="s">
        <v>11</v>
      </c>
      <c r="N1" s="26" t="s">
        <v>12</v>
      </c>
      <c r="O1" s="26" t="s">
        <v>13</v>
      </c>
      <c r="P1" s="26" t="s">
        <v>14</v>
      </c>
      <c r="Q1" s="26" t="s">
        <v>15</v>
      </c>
      <c r="R1" s="26" t="s">
        <v>16</v>
      </c>
      <c r="S1" s="26" t="s">
        <v>17</v>
      </c>
      <c r="T1" s="26" t="s">
        <v>18</v>
      </c>
      <c r="U1" s="26" t="s">
        <v>19</v>
      </c>
      <c r="V1" s="26" t="s">
        <v>20</v>
      </c>
      <c r="W1" s="26" t="s">
        <v>21</v>
      </c>
      <c r="X1" s="26" t="s">
        <v>22</v>
      </c>
      <c r="Y1" s="26" t="s">
        <v>23</v>
      </c>
      <c r="Z1" s="26" t="s">
        <v>24</v>
      </c>
      <c r="AA1" s="26" t="s">
        <v>25</v>
      </c>
      <c r="AB1" s="26" t="s">
        <v>26</v>
      </c>
      <c r="AC1" s="26" t="s">
        <v>27</v>
      </c>
      <c r="AD1" s="26" t="s">
        <v>28</v>
      </c>
      <c r="AE1" s="26" t="s">
        <v>29</v>
      </c>
      <c r="AF1" s="27" t="s">
        <v>111</v>
      </c>
      <c r="AG1" s="26" t="s">
        <v>54</v>
      </c>
      <c r="AH1" s="30" t="s">
        <v>55</v>
      </c>
    </row>
    <row r="2" spans="1:34">
      <c r="A2" s="4" t="s">
        <v>30</v>
      </c>
      <c r="B2" s="4">
        <v>2013</v>
      </c>
      <c r="C2" s="4" t="s">
        <v>31</v>
      </c>
      <c r="D2" s="4">
        <f>MONTH(DATEVALUE(C2 &amp; " 1"))</f>
        <v>1</v>
      </c>
      <c r="E2" s="4">
        <v>107.5</v>
      </c>
      <c r="F2" s="4">
        <v>106.3</v>
      </c>
      <c r="G2" s="4">
        <v>108.1</v>
      </c>
      <c r="H2" s="4">
        <v>104.9</v>
      </c>
      <c r="I2" s="4">
        <v>106.1</v>
      </c>
      <c r="J2" s="4">
        <v>103.9</v>
      </c>
      <c r="K2" s="4">
        <v>101.9</v>
      </c>
      <c r="L2" s="4">
        <v>106.1</v>
      </c>
      <c r="M2" s="4">
        <v>106.8</v>
      </c>
      <c r="N2" s="4">
        <v>103.1</v>
      </c>
      <c r="O2" s="4">
        <v>104.8</v>
      </c>
      <c r="P2" s="4">
        <v>106.7</v>
      </c>
      <c r="Q2" s="4">
        <v>105.5</v>
      </c>
      <c r="R2" s="4">
        <v>105.1</v>
      </c>
      <c r="S2" s="4">
        <v>106.5</v>
      </c>
      <c r="T2" s="4">
        <v>105.8</v>
      </c>
      <c r="U2" s="4">
        <v>106.4</v>
      </c>
      <c r="V2" s="4">
        <v>100.35</v>
      </c>
      <c r="W2" s="4">
        <v>105.5</v>
      </c>
      <c r="X2" s="4">
        <v>104.8</v>
      </c>
      <c r="Y2" s="4">
        <v>104</v>
      </c>
      <c r="Z2" s="4">
        <v>103.3</v>
      </c>
      <c r="AA2" s="4">
        <v>103.4</v>
      </c>
      <c r="AB2" s="4">
        <v>103.8</v>
      </c>
      <c r="AC2" s="4">
        <v>104.7</v>
      </c>
      <c r="AD2" s="4">
        <v>104</v>
      </c>
      <c r="AE2" s="4">
        <v>105.1</v>
      </c>
      <c r="AF2" s="4" t="str">
        <f>IF(AND(B2=2020,D2&lt;4),"Pre Covid",IF(B2&lt;2020,"Pre Covid","Post Covid"))</f>
        <v>Pre Covid</v>
      </c>
      <c r="AG2" s="4" t="s">
        <v>45</v>
      </c>
      <c r="AH2" s="9" t="s">
        <v>3</v>
      </c>
    </row>
    <row r="3" spans="1:34">
      <c r="A3" s="6" t="s">
        <v>32</v>
      </c>
      <c r="B3" s="6">
        <v>2013</v>
      </c>
      <c r="C3" s="6" t="s">
        <v>31</v>
      </c>
      <c r="D3" s="6">
        <f t="shared" ref="D3:D66" si="0">MONTH(DATEVALUE(C3 &amp; " 1"))</f>
        <v>1</v>
      </c>
      <c r="E3" s="6">
        <v>110.5</v>
      </c>
      <c r="F3" s="6">
        <v>109.1</v>
      </c>
      <c r="G3" s="6">
        <v>113</v>
      </c>
      <c r="H3" s="6">
        <v>103.6</v>
      </c>
      <c r="I3" s="6">
        <v>103.4</v>
      </c>
      <c r="J3" s="6">
        <v>102.3</v>
      </c>
      <c r="K3" s="6">
        <v>102.9</v>
      </c>
      <c r="L3" s="6">
        <v>105.8</v>
      </c>
      <c r="M3" s="6">
        <v>105.1</v>
      </c>
      <c r="N3" s="6">
        <v>101.8</v>
      </c>
      <c r="O3" s="6">
        <v>105.1</v>
      </c>
      <c r="P3" s="6">
        <v>107.9</v>
      </c>
      <c r="Q3" s="6">
        <v>105.9</v>
      </c>
      <c r="R3" s="6">
        <v>105.2</v>
      </c>
      <c r="S3" s="6">
        <v>105.9</v>
      </c>
      <c r="T3" s="6">
        <v>105</v>
      </c>
      <c r="U3" s="6">
        <v>105.8</v>
      </c>
      <c r="V3" s="6">
        <v>100.3</v>
      </c>
      <c r="W3" s="6">
        <v>105.4</v>
      </c>
      <c r="X3" s="6">
        <v>104.8</v>
      </c>
      <c r="Y3" s="6">
        <v>104.1</v>
      </c>
      <c r="Z3" s="6">
        <v>103.2</v>
      </c>
      <c r="AA3" s="6">
        <v>102.9</v>
      </c>
      <c r="AB3" s="6">
        <v>103.5</v>
      </c>
      <c r="AC3" s="6">
        <v>104.3</v>
      </c>
      <c r="AD3" s="6">
        <v>103.7</v>
      </c>
      <c r="AE3" s="6">
        <v>104</v>
      </c>
      <c r="AF3" s="6" t="str">
        <f t="shared" ref="AF3:AF66" si="1">IF(AND(B3=2020,D3&lt;4),"Pre Covid",IF(B3&lt;2020,"Pre Covid","Post Covid"))</f>
        <v>Pre Covid</v>
      </c>
      <c r="AG3" s="6" t="s">
        <v>45</v>
      </c>
      <c r="AH3" s="10" t="s">
        <v>4</v>
      </c>
    </row>
    <row r="4" spans="1:34">
      <c r="A4" s="4" t="s">
        <v>33</v>
      </c>
      <c r="B4" s="4">
        <v>2013</v>
      </c>
      <c r="C4" s="4" t="s">
        <v>31</v>
      </c>
      <c r="D4" s="4">
        <f t="shared" si="0"/>
        <v>1</v>
      </c>
      <c r="E4" s="4">
        <v>108.4</v>
      </c>
      <c r="F4" s="4">
        <v>107.3</v>
      </c>
      <c r="G4" s="4">
        <v>110</v>
      </c>
      <c r="H4" s="4">
        <v>104.4</v>
      </c>
      <c r="I4" s="4">
        <v>105.1</v>
      </c>
      <c r="J4" s="4">
        <v>103.2</v>
      </c>
      <c r="K4" s="4">
        <v>102.2</v>
      </c>
      <c r="L4" s="4">
        <v>106</v>
      </c>
      <c r="M4" s="4">
        <v>106.2</v>
      </c>
      <c r="N4" s="4">
        <v>102.7</v>
      </c>
      <c r="O4" s="4">
        <v>104.9</v>
      </c>
      <c r="P4" s="4">
        <v>107.3</v>
      </c>
      <c r="Q4" s="4">
        <v>105.6</v>
      </c>
      <c r="R4" s="4">
        <v>105.1</v>
      </c>
      <c r="S4" s="4">
        <v>106.3</v>
      </c>
      <c r="T4" s="4">
        <v>105.5</v>
      </c>
      <c r="U4" s="4">
        <v>106.2</v>
      </c>
      <c r="V4" s="4">
        <v>100.3</v>
      </c>
      <c r="W4" s="4">
        <v>105.5</v>
      </c>
      <c r="X4" s="4">
        <v>104.8</v>
      </c>
      <c r="Y4" s="4">
        <v>104</v>
      </c>
      <c r="Z4" s="4">
        <v>103.2</v>
      </c>
      <c r="AA4" s="4">
        <v>103.1</v>
      </c>
      <c r="AB4" s="4">
        <v>103.6</v>
      </c>
      <c r="AC4" s="4">
        <v>104.5</v>
      </c>
      <c r="AD4" s="4">
        <v>103.9</v>
      </c>
      <c r="AE4" s="4">
        <v>104.6</v>
      </c>
      <c r="AF4" s="4" t="str">
        <f t="shared" si="1"/>
        <v>Pre Covid</v>
      </c>
      <c r="AG4" s="4" t="s">
        <v>45</v>
      </c>
      <c r="AH4" s="9" t="s">
        <v>5</v>
      </c>
    </row>
    <row r="5" spans="1:34">
      <c r="A5" s="6" t="s">
        <v>30</v>
      </c>
      <c r="B5" s="6">
        <v>2013</v>
      </c>
      <c r="C5" s="6" t="s">
        <v>34</v>
      </c>
      <c r="D5" s="6">
        <f t="shared" si="0"/>
        <v>2</v>
      </c>
      <c r="E5" s="6">
        <v>109.2</v>
      </c>
      <c r="F5" s="6">
        <v>108.7</v>
      </c>
      <c r="G5" s="6">
        <v>110.2</v>
      </c>
      <c r="H5" s="6">
        <v>105.4</v>
      </c>
      <c r="I5" s="6">
        <v>106.7</v>
      </c>
      <c r="J5" s="6">
        <v>104</v>
      </c>
      <c r="K5" s="6">
        <v>102.4</v>
      </c>
      <c r="L5" s="6">
        <v>105.9</v>
      </c>
      <c r="M5" s="6">
        <v>105.7</v>
      </c>
      <c r="N5" s="6">
        <v>103.1</v>
      </c>
      <c r="O5" s="6">
        <v>105.1</v>
      </c>
      <c r="P5" s="6">
        <v>107.7</v>
      </c>
      <c r="Q5" s="6">
        <v>106.3</v>
      </c>
      <c r="R5" s="6">
        <v>105.6</v>
      </c>
      <c r="S5" s="6">
        <v>107.1</v>
      </c>
      <c r="T5" s="6">
        <v>106.3</v>
      </c>
      <c r="U5" s="6">
        <v>107</v>
      </c>
      <c r="V5" s="6">
        <v>100.35</v>
      </c>
      <c r="W5" s="6">
        <v>106.2</v>
      </c>
      <c r="X5" s="6">
        <v>105.2</v>
      </c>
      <c r="Y5" s="6">
        <v>104.4</v>
      </c>
      <c r="Z5" s="6">
        <v>103.9</v>
      </c>
      <c r="AA5" s="6">
        <v>104</v>
      </c>
      <c r="AB5" s="6">
        <v>104.1</v>
      </c>
      <c r="AC5" s="6">
        <v>104.6</v>
      </c>
      <c r="AD5" s="6">
        <v>104.4</v>
      </c>
      <c r="AE5" s="6">
        <v>105.8</v>
      </c>
      <c r="AF5" s="6" t="str">
        <f t="shared" si="1"/>
        <v>Pre Covid</v>
      </c>
      <c r="AG5" s="6" t="s">
        <v>45</v>
      </c>
      <c r="AH5" s="10" t="s">
        <v>6</v>
      </c>
    </row>
    <row r="6" spans="1:34">
      <c r="A6" s="4" t="s">
        <v>32</v>
      </c>
      <c r="B6" s="4">
        <v>2013</v>
      </c>
      <c r="C6" s="4" t="s">
        <v>34</v>
      </c>
      <c r="D6" s="4">
        <f t="shared" si="0"/>
        <v>2</v>
      </c>
      <c r="E6" s="4">
        <v>112.9</v>
      </c>
      <c r="F6" s="4">
        <v>112.9</v>
      </c>
      <c r="G6" s="4">
        <v>116.9</v>
      </c>
      <c r="H6" s="4">
        <v>104</v>
      </c>
      <c r="I6" s="4">
        <v>103.5</v>
      </c>
      <c r="J6" s="4">
        <v>103.1</v>
      </c>
      <c r="K6" s="4">
        <v>104.9</v>
      </c>
      <c r="L6" s="4">
        <v>104.1</v>
      </c>
      <c r="M6" s="4">
        <v>103.8</v>
      </c>
      <c r="N6" s="4">
        <v>102.3</v>
      </c>
      <c r="O6" s="4">
        <v>106</v>
      </c>
      <c r="P6" s="4">
        <v>109</v>
      </c>
      <c r="Q6" s="4">
        <v>107.2</v>
      </c>
      <c r="R6" s="4">
        <v>106</v>
      </c>
      <c r="S6" s="4">
        <v>106.6</v>
      </c>
      <c r="T6" s="4">
        <v>105.5</v>
      </c>
      <c r="U6" s="4">
        <v>106.4</v>
      </c>
      <c r="V6" s="4">
        <v>100.4</v>
      </c>
      <c r="W6" s="4">
        <v>105.7</v>
      </c>
      <c r="X6" s="4">
        <v>105.2</v>
      </c>
      <c r="Y6" s="4">
        <v>104.7</v>
      </c>
      <c r="Z6" s="4">
        <v>104.4</v>
      </c>
      <c r="AA6" s="4">
        <v>103.3</v>
      </c>
      <c r="AB6" s="4">
        <v>103.7</v>
      </c>
      <c r="AC6" s="4">
        <v>104.3</v>
      </c>
      <c r="AD6" s="4">
        <v>104.3</v>
      </c>
      <c r="AE6" s="4">
        <v>104.7</v>
      </c>
      <c r="AF6" s="4" t="str">
        <f t="shared" si="1"/>
        <v>Pre Covid</v>
      </c>
      <c r="AG6" s="4" t="s">
        <v>45</v>
      </c>
      <c r="AH6" s="9" t="s">
        <v>7</v>
      </c>
    </row>
    <row r="7" spans="1:34">
      <c r="A7" s="6" t="s">
        <v>33</v>
      </c>
      <c r="B7" s="6">
        <v>2013</v>
      </c>
      <c r="C7" s="6" t="s">
        <v>34</v>
      </c>
      <c r="D7" s="6">
        <f t="shared" si="0"/>
        <v>2</v>
      </c>
      <c r="E7" s="6">
        <v>110.4</v>
      </c>
      <c r="F7" s="6">
        <v>110.2</v>
      </c>
      <c r="G7" s="6">
        <v>112.8</v>
      </c>
      <c r="H7" s="6">
        <v>104.9</v>
      </c>
      <c r="I7" s="6">
        <v>105.5</v>
      </c>
      <c r="J7" s="6">
        <v>103.6</v>
      </c>
      <c r="K7" s="6">
        <v>103.2</v>
      </c>
      <c r="L7" s="6">
        <v>105.3</v>
      </c>
      <c r="M7" s="6">
        <v>105.1</v>
      </c>
      <c r="N7" s="6">
        <v>102.8</v>
      </c>
      <c r="O7" s="6">
        <v>105.5</v>
      </c>
      <c r="P7" s="6">
        <v>108.3</v>
      </c>
      <c r="Q7" s="6">
        <v>106.6</v>
      </c>
      <c r="R7" s="6">
        <v>105.7</v>
      </c>
      <c r="S7" s="6">
        <v>106.9</v>
      </c>
      <c r="T7" s="6">
        <v>106</v>
      </c>
      <c r="U7" s="6">
        <v>106.8</v>
      </c>
      <c r="V7" s="6">
        <v>100.4</v>
      </c>
      <c r="W7" s="6">
        <v>106</v>
      </c>
      <c r="X7" s="6">
        <v>105.2</v>
      </c>
      <c r="Y7" s="6">
        <v>104.5</v>
      </c>
      <c r="Z7" s="6">
        <v>104.2</v>
      </c>
      <c r="AA7" s="6">
        <v>103.6</v>
      </c>
      <c r="AB7" s="6">
        <v>103.9</v>
      </c>
      <c r="AC7" s="6">
        <v>104.5</v>
      </c>
      <c r="AD7" s="6">
        <v>104.4</v>
      </c>
      <c r="AE7" s="6">
        <v>105.3</v>
      </c>
      <c r="AF7" s="6" t="str">
        <f t="shared" si="1"/>
        <v>Pre Covid</v>
      </c>
      <c r="AG7" s="6" t="s">
        <v>45</v>
      </c>
      <c r="AH7" s="10" t="s">
        <v>8</v>
      </c>
    </row>
    <row r="8" spans="1:34">
      <c r="A8" s="4" t="s">
        <v>30</v>
      </c>
      <c r="B8" s="4">
        <v>2013</v>
      </c>
      <c r="C8" s="4" t="s">
        <v>35</v>
      </c>
      <c r="D8" s="4">
        <f t="shared" si="0"/>
        <v>3</v>
      </c>
      <c r="E8" s="4">
        <v>110.2</v>
      </c>
      <c r="F8" s="4">
        <v>108.8</v>
      </c>
      <c r="G8" s="4">
        <v>109.9</v>
      </c>
      <c r="H8" s="4">
        <v>105.6</v>
      </c>
      <c r="I8" s="4">
        <v>106.2</v>
      </c>
      <c r="J8" s="4">
        <v>105.7</v>
      </c>
      <c r="K8" s="4">
        <v>101.4</v>
      </c>
      <c r="L8" s="4">
        <v>105.7</v>
      </c>
      <c r="M8" s="4">
        <v>105</v>
      </c>
      <c r="N8" s="4">
        <v>103.3</v>
      </c>
      <c r="O8" s="4">
        <v>105.6</v>
      </c>
      <c r="P8" s="4">
        <v>108.2</v>
      </c>
      <c r="Q8" s="4">
        <v>106.6</v>
      </c>
      <c r="R8" s="4">
        <v>106.5</v>
      </c>
      <c r="S8" s="4">
        <v>107.6</v>
      </c>
      <c r="T8" s="4">
        <v>106.8</v>
      </c>
      <c r="U8" s="4">
        <v>107.5</v>
      </c>
      <c r="V8" s="4">
        <v>100.45</v>
      </c>
      <c r="W8" s="4">
        <v>106.1</v>
      </c>
      <c r="X8" s="4">
        <v>105.6</v>
      </c>
      <c r="Y8" s="4">
        <v>104.7</v>
      </c>
      <c r="Z8" s="4">
        <v>104.6</v>
      </c>
      <c r="AA8" s="4">
        <v>104</v>
      </c>
      <c r="AB8" s="4">
        <v>104.3</v>
      </c>
      <c r="AC8" s="4">
        <v>104.3</v>
      </c>
      <c r="AD8" s="4">
        <v>104.6</v>
      </c>
      <c r="AE8" s="4">
        <v>106</v>
      </c>
      <c r="AF8" s="4" t="str">
        <f t="shared" si="1"/>
        <v>Pre Covid</v>
      </c>
      <c r="AG8" s="4" t="s">
        <v>45</v>
      </c>
      <c r="AH8" s="9" t="s">
        <v>9</v>
      </c>
    </row>
    <row r="9" spans="1:34">
      <c r="A9" s="6" t="s">
        <v>32</v>
      </c>
      <c r="B9" s="6">
        <v>2013</v>
      </c>
      <c r="C9" s="6" t="s">
        <v>35</v>
      </c>
      <c r="D9" s="6">
        <f t="shared" si="0"/>
        <v>3</v>
      </c>
      <c r="E9" s="6">
        <v>113.9</v>
      </c>
      <c r="F9" s="6">
        <v>111.4</v>
      </c>
      <c r="G9" s="6">
        <v>113.2</v>
      </c>
      <c r="H9" s="6">
        <v>104.3</v>
      </c>
      <c r="I9" s="6">
        <v>102.7</v>
      </c>
      <c r="J9" s="6">
        <v>104.9</v>
      </c>
      <c r="K9" s="6">
        <v>103.8</v>
      </c>
      <c r="L9" s="6">
        <v>103.5</v>
      </c>
      <c r="M9" s="6">
        <v>102.6</v>
      </c>
      <c r="N9" s="6">
        <v>102.4</v>
      </c>
      <c r="O9" s="6">
        <v>107</v>
      </c>
      <c r="P9" s="6">
        <v>109.8</v>
      </c>
      <c r="Q9" s="6">
        <v>107.3</v>
      </c>
      <c r="R9" s="6">
        <v>106.8</v>
      </c>
      <c r="S9" s="6">
        <v>107.2</v>
      </c>
      <c r="T9" s="6">
        <v>106</v>
      </c>
      <c r="U9" s="6">
        <v>107</v>
      </c>
      <c r="V9" s="6">
        <v>100.4</v>
      </c>
      <c r="W9" s="6">
        <v>106</v>
      </c>
      <c r="X9" s="6">
        <v>105.7</v>
      </c>
      <c r="Y9" s="6">
        <v>105.2</v>
      </c>
      <c r="Z9" s="6">
        <v>105.5</v>
      </c>
      <c r="AA9" s="6">
        <v>103.5</v>
      </c>
      <c r="AB9" s="6">
        <v>103.8</v>
      </c>
      <c r="AC9" s="6">
        <v>104.2</v>
      </c>
      <c r="AD9" s="6">
        <v>104.9</v>
      </c>
      <c r="AE9" s="6">
        <v>105</v>
      </c>
      <c r="AF9" s="6" t="str">
        <f t="shared" si="1"/>
        <v>Pre Covid</v>
      </c>
      <c r="AG9" s="6" t="s">
        <v>45</v>
      </c>
      <c r="AH9" s="10" t="s">
        <v>10</v>
      </c>
    </row>
    <row r="10" spans="1:34">
      <c r="A10" s="4" t="s">
        <v>33</v>
      </c>
      <c r="B10" s="4">
        <v>2013</v>
      </c>
      <c r="C10" s="4" t="s">
        <v>35</v>
      </c>
      <c r="D10" s="4">
        <f t="shared" si="0"/>
        <v>3</v>
      </c>
      <c r="E10" s="4">
        <v>111.4</v>
      </c>
      <c r="F10" s="4">
        <v>109.7</v>
      </c>
      <c r="G10" s="4">
        <v>111.2</v>
      </c>
      <c r="H10" s="4">
        <v>105.1</v>
      </c>
      <c r="I10" s="4">
        <v>104.9</v>
      </c>
      <c r="J10" s="4">
        <v>105.3</v>
      </c>
      <c r="K10" s="4">
        <v>102.2</v>
      </c>
      <c r="L10" s="4">
        <v>105</v>
      </c>
      <c r="M10" s="4">
        <v>104.2</v>
      </c>
      <c r="N10" s="4">
        <v>103</v>
      </c>
      <c r="O10" s="4">
        <v>106.2</v>
      </c>
      <c r="P10" s="4">
        <v>108.9</v>
      </c>
      <c r="Q10" s="4">
        <v>106.9</v>
      </c>
      <c r="R10" s="4">
        <v>106.6</v>
      </c>
      <c r="S10" s="4">
        <v>107.4</v>
      </c>
      <c r="T10" s="4">
        <v>106.5</v>
      </c>
      <c r="U10" s="4">
        <v>107.3</v>
      </c>
      <c r="V10" s="4">
        <v>100.4</v>
      </c>
      <c r="W10" s="4">
        <v>106.1</v>
      </c>
      <c r="X10" s="4">
        <v>105.6</v>
      </c>
      <c r="Y10" s="4">
        <v>104.9</v>
      </c>
      <c r="Z10" s="4">
        <v>105.1</v>
      </c>
      <c r="AA10" s="4">
        <v>103.7</v>
      </c>
      <c r="AB10" s="4">
        <v>104</v>
      </c>
      <c r="AC10" s="4">
        <v>104.3</v>
      </c>
      <c r="AD10" s="4">
        <v>104.7</v>
      </c>
      <c r="AE10" s="4">
        <v>105.5</v>
      </c>
      <c r="AF10" s="4" t="str">
        <f t="shared" si="1"/>
        <v>Pre Covid</v>
      </c>
      <c r="AG10" s="4" t="s">
        <v>45</v>
      </c>
      <c r="AH10" s="9" t="s">
        <v>11</v>
      </c>
    </row>
    <row r="11" spans="1:34">
      <c r="A11" s="6" t="s">
        <v>30</v>
      </c>
      <c r="B11" s="6">
        <v>2013</v>
      </c>
      <c r="C11" s="6" t="s">
        <v>36</v>
      </c>
      <c r="D11" s="6">
        <f t="shared" si="0"/>
        <v>4</v>
      </c>
      <c r="E11" s="6">
        <v>110.2</v>
      </c>
      <c r="F11" s="6">
        <v>109.5</v>
      </c>
      <c r="G11" s="6">
        <v>106.9</v>
      </c>
      <c r="H11" s="6">
        <v>106.3</v>
      </c>
      <c r="I11" s="6">
        <v>105.7</v>
      </c>
      <c r="J11" s="6">
        <v>108.3</v>
      </c>
      <c r="K11" s="6">
        <v>103.4</v>
      </c>
      <c r="L11" s="6">
        <v>105.7</v>
      </c>
      <c r="M11" s="6">
        <v>104.2</v>
      </c>
      <c r="N11" s="6">
        <v>103.2</v>
      </c>
      <c r="O11" s="6">
        <v>106.5</v>
      </c>
      <c r="P11" s="6">
        <v>108.8</v>
      </c>
      <c r="Q11" s="6">
        <v>107.1</v>
      </c>
      <c r="R11" s="6">
        <v>107.1</v>
      </c>
      <c r="S11" s="6">
        <v>108.1</v>
      </c>
      <c r="T11" s="6">
        <v>107.4</v>
      </c>
      <c r="U11" s="6">
        <v>108</v>
      </c>
      <c r="V11" s="6">
        <v>100.45</v>
      </c>
      <c r="W11" s="6">
        <v>106.5</v>
      </c>
      <c r="X11" s="6">
        <v>106.1</v>
      </c>
      <c r="Y11" s="6">
        <v>105.1</v>
      </c>
      <c r="Z11" s="6">
        <v>104.4</v>
      </c>
      <c r="AA11" s="6">
        <v>104.5</v>
      </c>
      <c r="AB11" s="6">
        <v>104.8</v>
      </c>
      <c r="AC11" s="6">
        <v>102.7</v>
      </c>
      <c r="AD11" s="6">
        <v>104.6</v>
      </c>
      <c r="AE11" s="6">
        <v>106.4</v>
      </c>
      <c r="AF11" s="6" t="str">
        <f t="shared" si="1"/>
        <v>Pre Covid</v>
      </c>
      <c r="AG11" s="6" t="s">
        <v>45</v>
      </c>
      <c r="AH11" s="10" t="s">
        <v>12</v>
      </c>
    </row>
    <row r="12" spans="1:34">
      <c r="A12" s="4" t="s">
        <v>32</v>
      </c>
      <c r="B12" s="4">
        <v>2013</v>
      </c>
      <c r="C12" s="4" t="s">
        <v>36</v>
      </c>
      <c r="D12" s="4">
        <f t="shared" si="0"/>
        <v>4</v>
      </c>
      <c r="E12" s="4">
        <v>114.6</v>
      </c>
      <c r="F12" s="4">
        <v>113.4</v>
      </c>
      <c r="G12" s="4">
        <v>106</v>
      </c>
      <c r="H12" s="4">
        <v>104.7</v>
      </c>
      <c r="I12" s="4">
        <v>102.1</v>
      </c>
      <c r="J12" s="4">
        <v>109.5</v>
      </c>
      <c r="K12" s="4">
        <v>109.7</v>
      </c>
      <c r="L12" s="4">
        <v>104.6</v>
      </c>
      <c r="M12" s="4">
        <v>102</v>
      </c>
      <c r="N12" s="4">
        <v>103.5</v>
      </c>
      <c r="O12" s="4">
        <v>108.2</v>
      </c>
      <c r="P12" s="4">
        <v>110.6</v>
      </c>
      <c r="Q12" s="4">
        <v>108.8</v>
      </c>
      <c r="R12" s="4">
        <v>108.5</v>
      </c>
      <c r="S12" s="4">
        <v>107.9</v>
      </c>
      <c r="T12" s="4">
        <v>106.4</v>
      </c>
      <c r="U12" s="4">
        <v>107.7</v>
      </c>
      <c r="V12" s="4">
        <v>100.5</v>
      </c>
      <c r="W12" s="4">
        <v>106.4</v>
      </c>
      <c r="X12" s="4">
        <v>106.5</v>
      </c>
      <c r="Y12" s="4">
        <v>105.7</v>
      </c>
      <c r="Z12" s="4">
        <v>105</v>
      </c>
      <c r="AA12" s="4">
        <v>104</v>
      </c>
      <c r="AB12" s="4">
        <v>105.2</v>
      </c>
      <c r="AC12" s="4">
        <v>103.2</v>
      </c>
      <c r="AD12" s="4">
        <v>105.1</v>
      </c>
      <c r="AE12" s="4">
        <v>105.7</v>
      </c>
      <c r="AF12" s="4" t="str">
        <f t="shared" si="1"/>
        <v>Pre Covid</v>
      </c>
      <c r="AG12" s="4" t="s">
        <v>48</v>
      </c>
      <c r="AH12" s="9" t="s">
        <v>13</v>
      </c>
    </row>
    <row r="13" spans="1:34">
      <c r="A13" s="6" t="s">
        <v>33</v>
      </c>
      <c r="B13" s="6">
        <v>2013</v>
      </c>
      <c r="C13" s="6" t="s">
        <v>36</v>
      </c>
      <c r="D13" s="6">
        <f t="shared" si="0"/>
        <v>4</v>
      </c>
      <c r="E13" s="6">
        <v>111.6</v>
      </c>
      <c r="F13" s="6">
        <v>110.9</v>
      </c>
      <c r="G13" s="6">
        <v>106.6</v>
      </c>
      <c r="H13" s="6">
        <v>105.7</v>
      </c>
      <c r="I13" s="6">
        <v>104.4</v>
      </c>
      <c r="J13" s="6">
        <v>108.9</v>
      </c>
      <c r="K13" s="6">
        <v>105.5</v>
      </c>
      <c r="L13" s="6">
        <v>105.3</v>
      </c>
      <c r="M13" s="6">
        <v>103.5</v>
      </c>
      <c r="N13" s="6">
        <v>103.3</v>
      </c>
      <c r="O13" s="6">
        <v>107.2</v>
      </c>
      <c r="P13" s="6">
        <v>109.6</v>
      </c>
      <c r="Q13" s="6">
        <v>107.7</v>
      </c>
      <c r="R13" s="6">
        <v>107.5</v>
      </c>
      <c r="S13" s="6">
        <v>108</v>
      </c>
      <c r="T13" s="6">
        <v>107</v>
      </c>
      <c r="U13" s="6">
        <v>107.9</v>
      </c>
      <c r="V13" s="6">
        <v>100.5</v>
      </c>
      <c r="W13" s="6">
        <v>106.5</v>
      </c>
      <c r="X13" s="6">
        <v>106.3</v>
      </c>
      <c r="Y13" s="6">
        <v>105.3</v>
      </c>
      <c r="Z13" s="6">
        <v>104.7</v>
      </c>
      <c r="AA13" s="6">
        <v>104.2</v>
      </c>
      <c r="AB13" s="6">
        <v>105</v>
      </c>
      <c r="AC13" s="6">
        <v>102.9</v>
      </c>
      <c r="AD13" s="6">
        <v>104.8</v>
      </c>
      <c r="AE13" s="6">
        <v>106.1</v>
      </c>
      <c r="AF13" s="6" t="str">
        <f t="shared" si="1"/>
        <v>Pre Covid</v>
      </c>
      <c r="AG13" s="6" t="s">
        <v>45</v>
      </c>
      <c r="AH13" s="10" t="s">
        <v>14</v>
      </c>
    </row>
    <row r="14" spans="1:34">
      <c r="A14" s="4" t="s">
        <v>30</v>
      </c>
      <c r="B14" s="4">
        <v>2013</v>
      </c>
      <c r="C14" s="4" t="s">
        <v>37</v>
      </c>
      <c r="D14" s="4">
        <f t="shared" si="0"/>
        <v>5</v>
      </c>
      <c r="E14" s="4">
        <v>110.9</v>
      </c>
      <c r="F14" s="4">
        <v>109.8</v>
      </c>
      <c r="G14" s="4">
        <v>105.9</v>
      </c>
      <c r="H14" s="4">
        <v>107.5</v>
      </c>
      <c r="I14" s="4">
        <v>105.3</v>
      </c>
      <c r="J14" s="4">
        <v>108.1</v>
      </c>
      <c r="K14" s="4">
        <v>107.3</v>
      </c>
      <c r="L14" s="4">
        <v>106.1</v>
      </c>
      <c r="M14" s="4">
        <v>103.7</v>
      </c>
      <c r="N14" s="4">
        <v>104</v>
      </c>
      <c r="O14" s="4">
        <v>107.4</v>
      </c>
      <c r="P14" s="4">
        <v>109.9</v>
      </c>
      <c r="Q14" s="4">
        <v>108.1</v>
      </c>
      <c r="R14" s="4">
        <v>108.1</v>
      </c>
      <c r="S14" s="4">
        <v>108.8</v>
      </c>
      <c r="T14" s="4">
        <v>107.9</v>
      </c>
      <c r="U14" s="4">
        <v>108.6</v>
      </c>
      <c r="V14" s="4">
        <v>103.55000000000001</v>
      </c>
      <c r="W14" s="4">
        <v>107.5</v>
      </c>
      <c r="X14" s="4">
        <v>106.8</v>
      </c>
      <c r="Y14" s="4">
        <v>105.7</v>
      </c>
      <c r="Z14" s="4">
        <v>104.1</v>
      </c>
      <c r="AA14" s="4">
        <v>105</v>
      </c>
      <c r="AB14" s="4">
        <v>105.5</v>
      </c>
      <c r="AC14" s="4">
        <v>102.1</v>
      </c>
      <c r="AD14" s="4">
        <v>104.8</v>
      </c>
      <c r="AE14" s="4">
        <v>107.2</v>
      </c>
      <c r="AF14" s="4" t="str">
        <f t="shared" si="1"/>
        <v>Pre Covid</v>
      </c>
      <c r="AG14" s="4" t="s">
        <v>45</v>
      </c>
      <c r="AH14" s="9" t="s">
        <v>15</v>
      </c>
    </row>
    <row r="15" spans="1:34">
      <c r="A15" s="6" t="s">
        <v>32</v>
      </c>
      <c r="B15" s="6">
        <v>2013</v>
      </c>
      <c r="C15" s="6" t="s">
        <v>37</v>
      </c>
      <c r="D15" s="6">
        <f t="shared" si="0"/>
        <v>5</v>
      </c>
      <c r="E15" s="6">
        <v>115.4</v>
      </c>
      <c r="F15" s="6">
        <v>114.2</v>
      </c>
      <c r="G15" s="6">
        <v>102.7</v>
      </c>
      <c r="H15" s="6">
        <v>105.5</v>
      </c>
      <c r="I15" s="6">
        <v>101.5</v>
      </c>
      <c r="J15" s="6">
        <v>110.6</v>
      </c>
      <c r="K15" s="6">
        <v>123.7</v>
      </c>
      <c r="L15" s="6">
        <v>105.2</v>
      </c>
      <c r="M15" s="6">
        <v>101.9</v>
      </c>
      <c r="N15" s="6">
        <v>105</v>
      </c>
      <c r="O15" s="6">
        <v>109.1</v>
      </c>
      <c r="P15" s="6">
        <v>111.3</v>
      </c>
      <c r="Q15" s="6">
        <v>111.1</v>
      </c>
      <c r="R15" s="6">
        <v>109.8</v>
      </c>
      <c r="S15" s="6">
        <v>108.5</v>
      </c>
      <c r="T15" s="6">
        <v>106.7</v>
      </c>
      <c r="U15" s="6">
        <v>108.3</v>
      </c>
      <c r="V15" s="6">
        <v>100.5</v>
      </c>
      <c r="W15" s="6">
        <v>107.2</v>
      </c>
      <c r="X15" s="6">
        <v>107.1</v>
      </c>
      <c r="Y15" s="6">
        <v>106.2</v>
      </c>
      <c r="Z15" s="6">
        <v>103.9</v>
      </c>
      <c r="AA15" s="6">
        <v>104.6</v>
      </c>
      <c r="AB15" s="6">
        <v>105.7</v>
      </c>
      <c r="AC15" s="6">
        <v>102.6</v>
      </c>
      <c r="AD15" s="6">
        <v>104.9</v>
      </c>
      <c r="AE15" s="6">
        <v>106.6</v>
      </c>
      <c r="AF15" s="6" t="str">
        <f t="shared" si="1"/>
        <v>Pre Covid</v>
      </c>
      <c r="AG15" s="6" t="s">
        <v>48</v>
      </c>
      <c r="AH15" s="10" t="s">
        <v>16</v>
      </c>
    </row>
    <row r="16" spans="1:34">
      <c r="A16" s="4" t="s">
        <v>33</v>
      </c>
      <c r="B16" s="4">
        <v>2013</v>
      </c>
      <c r="C16" s="4" t="s">
        <v>37</v>
      </c>
      <c r="D16" s="4">
        <f t="shared" si="0"/>
        <v>5</v>
      </c>
      <c r="E16" s="4">
        <v>112.3</v>
      </c>
      <c r="F16" s="4">
        <v>111.3</v>
      </c>
      <c r="G16" s="4">
        <v>104.7</v>
      </c>
      <c r="H16" s="4">
        <v>106.8</v>
      </c>
      <c r="I16" s="4">
        <v>103.9</v>
      </c>
      <c r="J16" s="4">
        <v>109.3</v>
      </c>
      <c r="K16" s="4">
        <v>112.9</v>
      </c>
      <c r="L16" s="4">
        <v>105.8</v>
      </c>
      <c r="M16" s="4">
        <v>103.1</v>
      </c>
      <c r="N16" s="4">
        <v>104.3</v>
      </c>
      <c r="O16" s="4">
        <v>108.1</v>
      </c>
      <c r="P16" s="4">
        <v>110.5</v>
      </c>
      <c r="Q16" s="4">
        <v>109.2</v>
      </c>
      <c r="R16" s="4">
        <v>108.6</v>
      </c>
      <c r="S16" s="4">
        <v>108.7</v>
      </c>
      <c r="T16" s="4">
        <v>107.4</v>
      </c>
      <c r="U16" s="4">
        <v>108.5</v>
      </c>
      <c r="V16" s="4">
        <v>100.5</v>
      </c>
      <c r="W16" s="4">
        <v>107.4</v>
      </c>
      <c r="X16" s="4">
        <v>106.9</v>
      </c>
      <c r="Y16" s="4">
        <v>105.9</v>
      </c>
      <c r="Z16" s="4">
        <v>104</v>
      </c>
      <c r="AA16" s="4">
        <v>104.8</v>
      </c>
      <c r="AB16" s="4">
        <v>105.6</v>
      </c>
      <c r="AC16" s="4">
        <v>102.3</v>
      </c>
      <c r="AD16" s="4">
        <v>104.8</v>
      </c>
      <c r="AE16" s="4">
        <v>106.9</v>
      </c>
      <c r="AF16" s="4" t="str">
        <f t="shared" si="1"/>
        <v>Pre Covid</v>
      </c>
      <c r="AG16" s="4" t="s">
        <v>17</v>
      </c>
      <c r="AH16" s="9" t="s">
        <v>17</v>
      </c>
    </row>
    <row r="17" spans="1:34">
      <c r="A17" s="6" t="s">
        <v>30</v>
      </c>
      <c r="B17" s="6">
        <v>2013</v>
      </c>
      <c r="C17" s="6" t="s">
        <v>38</v>
      </c>
      <c r="D17" s="6">
        <f t="shared" si="0"/>
        <v>6</v>
      </c>
      <c r="E17" s="6">
        <v>112.3</v>
      </c>
      <c r="F17" s="6">
        <v>112.1</v>
      </c>
      <c r="G17" s="6">
        <v>108.1</v>
      </c>
      <c r="H17" s="6">
        <v>108.3</v>
      </c>
      <c r="I17" s="6">
        <v>105.9</v>
      </c>
      <c r="J17" s="6">
        <v>109.2</v>
      </c>
      <c r="K17" s="6">
        <v>118</v>
      </c>
      <c r="L17" s="6">
        <v>106.8</v>
      </c>
      <c r="M17" s="6">
        <v>104.1</v>
      </c>
      <c r="N17" s="6">
        <v>105.4</v>
      </c>
      <c r="O17" s="6">
        <v>108.2</v>
      </c>
      <c r="P17" s="6">
        <v>111</v>
      </c>
      <c r="Q17" s="6">
        <v>110.6</v>
      </c>
      <c r="R17" s="6">
        <v>109</v>
      </c>
      <c r="S17" s="6">
        <v>109.7</v>
      </c>
      <c r="T17" s="6">
        <v>108.8</v>
      </c>
      <c r="U17" s="6">
        <v>109.5</v>
      </c>
      <c r="V17" s="6">
        <v>103.55</v>
      </c>
      <c r="W17" s="6">
        <v>108.5</v>
      </c>
      <c r="X17" s="6">
        <v>107.5</v>
      </c>
      <c r="Y17" s="6">
        <v>106.3</v>
      </c>
      <c r="Z17" s="6">
        <v>105</v>
      </c>
      <c r="AA17" s="6">
        <v>105.6</v>
      </c>
      <c r="AB17" s="6">
        <v>106.5</v>
      </c>
      <c r="AC17" s="6">
        <v>102.5</v>
      </c>
      <c r="AD17" s="6">
        <v>105.5</v>
      </c>
      <c r="AE17" s="6">
        <v>108.9</v>
      </c>
      <c r="AF17" s="6" t="str">
        <f t="shared" si="1"/>
        <v>Pre Covid</v>
      </c>
      <c r="AG17" s="6" t="s">
        <v>17</v>
      </c>
      <c r="AH17" s="10" t="s">
        <v>18</v>
      </c>
    </row>
    <row r="18" spans="1:34">
      <c r="A18" s="4" t="s">
        <v>32</v>
      </c>
      <c r="B18" s="4">
        <v>2013</v>
      </c>
      <c r="C18" s="4" t="s">
        <v>38</v>
      </c>
      <c r="D18" s="4">
        <f t="shared" si="0"/>
        <v>6</v>
      </c>
      <c r="E18" s="4">
        <v>117</v>
      </c>
      <c r="F18" s="4">
        <v>120.1</v>
      </c>
      <c r="G18" s="4">
        <v>112.5</v>
      </c>
      <c r="H18" s="4">
        <v>107.3</v>
      </c>
      <c r="I18" s="4">
        <v>101.3</v>
      </c>
      <c r="J18" s="4">
        <v>112.4</v>
      </c>
      <c r="K18" s="4">
        <v>143.6</v>
      </c>
      <c r="L18" s="4">
        <v>105.4</v>
      </c>
      <c r="M18" s="4">
        <v>101.4</v>
      </c>
      <c r="N18" s="4">
        <v>106.4</v>
      </c>
      <c r="O18" s="4">
        <v>110</v>
      </c>
      <c r="P18" s="4">
        <v>112.2</v>
      </c>
      <c r="Q18" s="4">
        <v>115</v>
      </c>
      <c r="R18" s="4">
        <v>110.9</v>
      </c>
      <c r="S18" s="4">
        <v>109.2</v>
      </c>
      <c r="T18" s="4">
        <v>107.2</v>
      </c>
      <c r="U18" s="4">
        <v>108.9</v>
      </c>
      <c r="V18" s="4">
        <v>106.6</v>
      </c>
      <c r="W18" s="4">
        <v>108</v>
      </c>
      <c r="X18" s="4">
        <v>107.7</v>
      </c>
      <c r="Y18" s="4">
        <v>106.5</v>
      </c>
      <c r="Z18" s="4">
        <v>105.2</v>
      </c>
      <c r="AA18" s="4">
        <v>105.2</v>
      </c>
      <c r="AB18" s="4">
        <v>108.1</v>
      </c>
      <c r="AC18" s="4">
        <v>103.3</v>
      </c>
      <c r="AD18" s="4">
        <v>106.1</v>
      </c>
      <c r="AE18" s="4">
        <v>109.7</v>
      </c>
      <c r="AF18" s="4" t="str">
        <f t="shared" si="1"/>
        <v>Pre Covid</v>
      </c>
      <c r="AG18" s="4" t="s">
        <v>17</v>
      </c>
      <c r="AH18" s="9" t="s">
        <v>19</v>
      </c>
    </row>
    <row r="19" spans="1:34">
      <c r="A19" s="6" t="s">
        <v>33</v>
      </c>
      <c r="B19" s="6">
        <v>2013</v>
      </c>
      <c r="C19" s="6" t="s">
        <v>38</v>
      </c>
      <c r="D19" s="6">
        <f t="shared" si="0"/>
        <v>6</v>
      </c>
      <c r="E19" s="6">
        <v>113.8</v>
      </c>
      <c r="F19" s="6">
        <v>114.9</v>
      </c>
      <c r="G19" s="6">
        <v>109.8</v>
      </c>
      <c r="H19" s="6">
        <v>107.9</v>
      </c>
      <c r="I19" s="6">
        <v>104.2</v>
      </c>
      <c r="J19" s="6">
        <v>110.7</v>
      </c>
      <c r="K19" s="6">
        <v>126.7</v>
      </c>
      <c r="L19" s="6">
        <v>106.3</v>
      </c>
      <c r="M19" s="6">
        <v>103.2</v>
      </c>
      <c r="N19" s="6">
        <v>105.7</v>
      </c>
      <c r="O19" s="6">
        <v>109</v>
      </c>
      <c r="P19" s="6">
        <v>111.6</v>
      </c>
      <c r="Q19" s="6">
        <v>112.2</v>
      </c>
      <c r="R19" s="6">
        <v>109.5</v>
      </c>
      <c r="S19" s="6">
        <v>109.5</v>
      </c>
      <c r="T19" s="6">
        <v>108.1</v>
      </c>
      <c r="U19" s="6">
        <v>109.3</v>
      </c>
      <c r="V19" s="6">
        <v>106.6</v>
      </c>
      <c r="W19" s="6">
        <v>108.3</v>
      </c>
      <c r="X19" s="6">
        <v>107.6</v>
      </c>
      <c r="Y19" s="6">
        <v>106.4</v>
      </c>
      <c r="Z19" s="6">
        <v>105.1</v>
      </c>
      <c r="AA19" s="6">
        <v>105.4</v>
      </c>
      <c r="AB19" s="6">
        <v>107.4</v>
      </c>
      <c r="AC19" s="6">
        <v>102.8</v>
      </c>
      <c r="AD19" s="6">
        <v>105.8</v>
      </c>
      <c r="AE19" s="6">
        <v>109.3</v>
      </c>
      <c r="AF19" s="6" t="str">
        <f t="shared" si="1"/>
        <v>Pre Covid</v>
      </c>
      <c r="AG19" s="6" t="s">
        <v>114</v>
      </c>
      <c r="AH19" s="10" t="s">
        <v>20</v>
      </c>
    </row>
    <row r="20" spans="1:34">
      <c r="A20" s="4" t="s">
        <v>30</v>
      </c>
      <c r="B20" s="4">
        <v>2013</v>
      </c>
      <c r="C20" s="4" t="s">
        <v>39</v>
      </c>
      <c r="D20" s="4">
        <f t="shared" si="0"/>
        <v>7</v>
      </c>
      <c r="E20" s="4">
        <v>113.4</v>
      </c>
      <c r="F20" s="4">
        <v>114.9</v>
      </c>
      <c r="G20" s="4">
        <v>110.5</v>
      </c>
      <c r="H20" s="4">
        <v>109.3</v>
      </c>
      <c r="I20" s="4">
        <v>106.2</v>
      </c>
      <c r="J20" s="4">
        <v>110.3</v>
      </c>
      <c r="K20" s="4">
        <v>129.19999999999999</v>
      </c>
      <c r="L20" s="4">
        <v>107.1</v>
      </c>
      <c r="M20" s="4">
        <v>104.3</v>
      </c>
      <c r="N20" s="4">
        <v>106.4</v>
      </c>
      <c r="O20" s="4">
        <v>109.1</v>
      </c>
      <c r="P20" s="4">
        <v>112.1</v>
      </c>
      <c r="Q20" s="4">
        <v>113.1</v>
      </c>
      <c r="R20" s="4">
        <v>109.8</v>
      </c>
      <c r="S20" s="4">
        <v>110.5</v>
      </c>
      <c r="T20" s="4">
        <v>109.5</v>
      </c>
      <c r="U20" s="4">
        <v>110.3</v>
      </c>
      <c r="V20" s="4">
        <v>108.30000000000001</v>
      </c>
      <c r="W20" s="4">
        <v>109.5</v>
      </c>
      <c r="X20" s="4">
        <v>108.3</v>
      </c>
      <c r="Y20" s="4">
        <v>106.9</v>
      </c>
      <c r="Z20" s="4">
        <v>106.8</v>
      </c>
      <c r="AA20" s="4">
        <v>106.4</v>
      </c>
      <c r="AB20" s="4">
        <v>107.8</v>
      </c>
      <c r="AC20" s="4">
        <v>102.5</v>
      </c>
      <c r="AD20" s="4">
        <v>106.5</v>
      </c>
      <c r="AE20" s="4">
        <v>110.7</v>
      </c>
      <c r="AF20" s="4" t="str">
        <f t="shared" si="1"/>
        <v>Pre Covid</v>
      </c>
      <c r="AG20" s="4" t="s">
        <v>114</v>
      </c>
      <c r="AH20" s="9" t="s">
        <v>21</v>
      </c>
    </row>
    <row r="21" spans="1:34">
      <c r="A21" s="6" t="s">
        <v>32</v>
      </c>
      <c r="B21" s="6">
        <v>2013</v>
      </c>
      <c r="C21" s="6" t="s">
        <v>39</v>
      </c>
      <c r="D21" s="6">
        <f t="shared" si="0"/>
        <v>7</v>
      </c>
      <c r="E21" s="6">
        <v>117.8</v>
      </c>
      <c r="F21" s="6">
        <v>119.2</v>
      </c>
      <c r="G21" s="6">
        <v>114</v>
      </c>
      <c r="H21" s="6">
        <v>108.3</v>
      </c>
      <c r="I21" s="6">
        <v>101.1</v>
      </c>
      <c r="J21" s="6">
        <v>113.2</v>
      </c>
      <c r="K21" s="6">
        <v>160.9</v>
      </c>
      <c r="L21" s="6">
        <v>105.1</v>
      </c>
      <c r="M21" s="6">
        <v>101.3</v>
      </c>
      <c r="N21" s="6">
        <v>107.5</v>
      </c>
      <c r="O21" s="6">
        <v>110.4</v>
      </c>
      <c r="P21" s="6">
        <v>113.1</v>
      </c>
      <c r="Q21" s="6">
        <v>117.5</v>
      </c>
      <c r="R21" s="6">
        <v>111.7</v>
      </c>
      <c r="S21" s="6">
        <v>109.8</v>
      </c>
      <c r="T21" s="6">
        <v>107.8</v>
      </c>
      <c r="U21" s="6">
        <v>109.5</v>
      </c>
      <c r="V21" s="6">
        <v>107.7</v>
      </c>
      <c r="W21" s="6">
        <v>108.6</v>
      </c>
      <c r="X21" s="6">
        <v>108.1</v>
      </c>
      <c r="Y21" s="6">
        <v>107.1</v>
      </c>
      <c r="Z21" s="6">
        <v>107.3</v>
      </c>
      <c r="AA21" s="6">
        <v>105.9</v>
      </c>
      <c r="AB21" s="6">
        <v>110.1</v>
      </c>
      <c r="AC21" s="6">
        <v>103.2</v>
      </c>
      <c r="AD21" s="6">
        <v>107.3</v>
      </c>
      <c r="AE21" s="6">
        <v>111.4</v>
      </c>
      <c r="AF21" s="6" t="str">
        <f t="shared" si="1"/>
        <v>Pre Covid</v>
      </c>
      <c r="AG21" s="6" t="s">
        <v>114</v>
      </c>
      <c r="AH21" s="10" t="s">
        <v>22</v>
      </c>
    </row>
    <row r="22" spans="1:34">
      <c r="A22" s="4" t="s">
        <v>33</v>
      </c>
      <c r="B22" s="4">
        <v>2013</v>
      </c>
      <c r="C22" s="4" t="s">
        <v>39</v>
      </c>
      <c r="D22" s="4">
        <f t="shared" si="0"/>
        <v>7</v>
      </c>
      <c r="E22" s="4">
        <v>114.8</v>
      </c>
      <c r="F22" s="4">
        <v>116.4</v>
      </c>
      <c r="G22" s="4">
        <v>111.9</v>
      </c>
      <c r="H22" s="4">
        <v>108.9</v>
      </c>
      <c r="I22" s="4">
        <v>104.3</v>
      </c>
      <c r="J22" s="4">
        <v>111.7</v>
      </c>
      <c r="K22" s="4">
        <v>140</v>
      </c>
      <c r="L22" s="4">
        <v>106.4</v>
      </c>
      <c r="M22" s="4">
        <v>103.3</v>
      </c>
      <c r="N22" s="4">
        <v>106.8</v>
      </c>
      <c r="O22" s="4">
        <v>109.6</v>
      </c>
      <c r="P22" s="4">
        <v>112.6</v>
      </c>
      <c r="Q22" s="4">
        <v>114.7</v>
      </c>
      <c r="R22" s="4">
        <v>110.3</v>
      </c>
      <c r="S22" s="4">
        <v>110.2</v>
      </c>
      <c r="T22" s="4">
        <v>108.8</v>
      </c>
      <c r="U22" s="4">
        <v>110</v>
      </c>
      <c r="V22" s="4">
        <v>107.7</v>
      </c>
      <c r="W22" s="4">
        <v>109.2</v>
      </c>
      <c r="X22" s="4">
        <v>108.2</v>
      </c>
      <c r="Y22" s="4">
        <v>107</v>
      </c>
      <c r="Z22" s="4">
        <v>107.1</v>
      </c>
      <c r="AA22" s="4">
        <v>106.1</v>
      </c>
      <c r="AB22" s="4">
        <v>109.1</v>
      </c>
      <c r="AC22" s="4">
        <v>102.8</v>
      </c>
      <c r="AD22" s="4">
        <v>106.9</v>
      </c>
      <c r="AE22" s="4">
        <v>111</v>
      </c>
      <c r="AF22" s="4" t="str">
        <f t="shared" si="1"/>
        <v>Pre Covid</v>
      </c>
      <c r="AG22" s="4" t="s">
        <v>115</v>
      </c>
      <c r="AH22" s="9" t="s">
        <v>23</v>
      </c>
    </row>
    <row r="23" spans="1:34">
      <c r="A23" s="6" t="s">
        <v>30</v>
      </c>
      <c r="B23" s="6">
        <v>2013</v>
      </c>
      <c r="C23" s="6" t="s">
        <v>40</v>
      </c>
      <c r="D23" s="6">
        <f t="shared" si="0"/>
        <v>8</v>
      </c>
      <c r="E23" s="6">
        <v>114.3</v>
      </c>
      <c r="F23" s="6">
        <v>115.4</v>
      </c>
      <c r="G23" s="6">
        <v>111.1</v>
      </c>
      <c r="H23" s="6">
        <v>110</v>
      </c>
      <c r="I23" s="6">
        <v>106.4</v>
      </c>
      <c r="J23" s="6">
        <v>110.8</v>
      </c>
      <c r="K23" s="6">
        <v>138.9</v>
      </c>
      <c r="L23" s="6">
        <v>107.4</v>
      </c>
      <c r="M23" s="6">
        <v>104.1</v>
      </c>
      <c r="N23" s="6">
        <v>106.9</v>
      </c>
      <c r="O23" s="6">
        <v>109.7</v>
      </c>
      <c r="P23" s="6">
        <v>112.6</v>
      </c>
      <c r="Q23" s="6">
        <v>114.9</v>
      </c>
      <c r="R23" s="6">
        <v>110.7</v>
      </c>
      <c r="S23" s="6">
        <v>111.3</v>
      </c>
      <c r="T23" s="6">
        <v>110.2</v>
      </c>
      <c r="U23" s="6">
        <v>111.1</v>
      </c>
      <c r="V23" s="6">
        <v>108.3</v>
      </c>
      <c r="W23" s="6">
        <v>109.9</v>
      </c>
      <c r="X23" s="6">
        <v>108.7</v>
      </c>
      <c r="Y23" s="6">
        <v>107.5</v>
      </c>
      <c r="Z23" s="6">
        <v>107.8</v>
      </c>
      <c r="AA23" s="6">
        <v>106.8</v>
      </c>
      <c r="AB23" s="6">
        <v>108.7</v>
      </c>
      <c r="AC23" s="6">
        <v>105</v>
      </c>
      <c r="AD23" s="6">
        <v>107.5</v>
      </c>
      <c r="AE23" s="6">
        <v>112.1</v>
      </c>
      <c r="AF23" s="6" t="str">
        <f t="shared" si="1"/>
        <v>Pre Covid</v>
      </c>
      <c r="AG23" s="6" t="s">
        <v>114</v>
      </c>
      <c r="AH23" s="10" t="s">
        <v>24</v>
      </c>
    </row>
    <row r="24" spans="1:34">
      <c r="A24" s="4" t="s">
        <v>32</v>
      </c>
      <c r="B24" s="4">
        <v>2013</v>
      </c>
      <c r="C24" s="4" t="s">
        <v>40</v>
      </c>
      <c r="D24" s="4">
        <f t="shared" si="0"/>
        <v>8</v>
      </c>
      <c r="E24" s="4">
        <v>118.3</v>
      </c>
      <c r="F24" s="4">
        <v>120.4</v>
      </c>
      <c r="G24" s="4">
        <v>112.7</v>
      </c>
      <c r="H24" s="4">
        <v>108.9</v>
      </c>
      <c r="I24" s="4">
        <v>101.1</v>
      </c>
      <c r="J24" s="4">
        <v>108.7</v>
      </c>
      <c r="K24" s="4">
        <v>177</v>
      </c>
      <c r="L24" s="4">
        <v>104.7</v>
      </c>
      <c r="M24" s="4">
        <v>101</v>
      </c>
      <c r="N24" s="4">
        <v>108.5</v>
      </c>
      <c r="O24" s="4">
        <v>110.9</v>
      </c>
      <c r="P24" s="4">
        <v>114.3</v>
      </c>
      <c r="Q24" s="4">
        <v>119.6</v>
      </c>
      <c r="R24" s="4">
        <v>112.4</v>
      </c>
      <c r="S24" s="4">
        <v>110.6</v>
      </c>
      <c r="T24" s="4">
        <v>108.3</v>
      </c>
      <c r="U24" s="4">
        <v>110.2</v>
      </c>
      <c r="V24" s="4">
        <v>108.9</v>
      </c>
      <c r="W24" s="4">
        <v>109.3</v>
      </c>
      <c r="X24" s="4">
        <v>108.7</v>
      </c>
      <c r="Y24" s="4">
        <v>107.6</v>
      </c>
      <c r="Z24" s="4">
        <v>108.1</v>
      </c>
      <c r="AA24" s="4">
        <v>106.5</v>
      </c>
      <c r="AB24" s="4">
        <v>110.8</v>
      </c>
      <c r="AC24" s="4">
        <v>106</v>
      </c>
      <c r="AD24" s="4">
        <v>108.3</v>
      </c>
      <c r="AE24" s="4">
        <v>112.7</v>
      </c>
      <c r="AF24" s="4" t="str">
        <f t="shared" si="1"/>
        <v>Pre Covid</v>
      </c>
      <c r="AG24" s="4" t="s">
        <v>48</v>
      </c>
      <c r="AH24" s="9" t="s">
        <v>25</v>
      </c>
    </row>
    <row r="25" spans="1:34">
      <c r="A25" s="6" t="s">
        <v>33</v>
      </c>
      <c r="B25" s="6">
        <v>2013</v>
      </c>
      <c r="C25" s="6" t="s">
        <v>40</v>
      </c>
      <c r="D25" s="6">
        <f t="shared" si="0"/>
        <v>8</v>
      </c>
      <c r="E25" s="6">
        <v>115.6</v>
      </c>
      <c r="F25" s="6">
        <v>117.2</v>
      </c>
      <c r="G25" s="6">
        <v>111.7</v>
      </c>
      <c r="H25" s="6">
        <v>109.6</v>
      </c>
      <c r="I25" s="6">
        <v>104.5</v>
      </c>
      <c r="J25" s="6">
        <v>109.8</v>
      </c>
      <c r="K25" s="6">
        <v>151.80000000000001</v>
      </c>
      <c r="L25" s="6">
        <v>106.5</v>
      </c>
      <c r="M25" s="6">
        <v>103.1</v>
      </c>
      <c r="N25" s="6">
        <v>107.4</v>
      </c>
      <c r="O25" s="6">
        <v>110.2</v>
      </c>
      <c r="P25" s="6">
        <v>113.4</v>
      </c>
      <c r="Q25" s="6">
        <v>116.6</v>
      </c>
      <c r="R25" s="6">
        <v>111.2</v>
      </c>
      <c r="S25" s="6">
        <v>111</v>
      </c>
      <c r="T25" s="6">
        <v>109.4</v>
      </c>
      <c r="U25" s="6">
        <v>110.7</v>
      </c>
      <c r="V25" s="6">
        <v>108.9</v>
      </c>
      <c r="W25" s="6">
        <v>109.7</v>
      </c>
      <c r="X25" s="6">
        <v>108.7</v>
      </c>
      <c r="Y25" s="6">
        <v>107.5</v>
      </c>
      <c r="Z25" s="6">
        <v>108</v>
      </c>
      <c r="AA25" s="6">
        <v>106.6</v>
      </c>
      <c r="AB25" s="6">
        <v>109.9</v>
      </c>
      <c r="AC25" s="6">
        <v>105.4</v>
      </c>
      <c r="AD25" s="6">
        <v>107.9</v>
      </c>
      <c r="AE25" s="6">
        <v>112.4</v>
      </c>
      <c r="AF25" s="6" t="str">
        <f t="shared" si="1"/>
        <v>Pre Covid</v>
      </c>
      <c r="AG25" s="6" t="s">
        <v>114</v>
      </c>
      <c r="AH25" s="10" t="s">
        <v>26</v>
      </c>
    </row>
    <row r="26" spans="1:34">
      <c r="A26" s="4" t="s">
        <v>30</v>
      </c>
      <c r="B26" s="4">
        <v>2013</v>
      </c>
      <c r="C26" s="4" t="s">
        <v>41</v>
      </c>
      <c r="D26" s="4">
        <f t="shared" si="0"/>
        <v>9</v>
      </c>
      <c r="E26" s="4">
        <v>115.4</v>
      </c>
      <c r="F26" s="4">
        <v>115.7</v>
      </c>
      <c r="G26" s="4">
        <v>111.7</v>
      </c>
      <c r="H26" s="4">
        <v>111</v>
      </c>
      <c r="I26" s="4">
        <v>107.4</v>
      </c>
      <c r="J26" s="4">
        <v>110.9</v>
      </c>
      <c r="K26" s="4">
        <v>154</v>
      </c>
      <c r="L26" s="4">
        <v>108.1</v>
      </c>
      <c r="M26" s="4">
        <v>104.2</v>
      </c>
      <c r="N26" s="4">
        <v>107.9</v>
      </c>
      <c r="O26" s="4">
        <v>110.4</v>
      </c>
      <c r="P26" s="4">
        <v>114</v>
      </c>
      <c r="Q26" s="4">
        <v>117.8</v>
      </c>
      <c r="R26" s="4">
        <v>111.7</v>
      </c>
      <c r="S26" s="4">
        <v>112.7</v>
      </c>
      <c r="T26" s="4">
        <v>111.4</v>
      </c>
      <c r="U26" s="4">
        <v>112.5</v>
      </c>
      <c r="V26" s="4">
        <v>110.1</v>
      </c>
      <c r="W26" s="4">
        <v>111.1</v>
      </c>
      <c r="X26" s="4">
        <v>109.6</v>
      </c>
      <c r="Y26" s="4">
        <v>108.3</v>
      </c>
      <c r="Z26" s="4">
        <v>109.3</v>
      </c>
      <c r="AA26" s="4">
        <v>107.7</v>
      </c>
      <c r="AB26" s="4">
        <v>109.8</v>
      </c>
      <c r="AC26" s="4">
        <v>106.7</v>
      </c>
      <c r="AD26" s="4">
        <v>108.7</v>
      </c>
      <c r="AE26" s="4">
        <v>114.2</v>
      </c>
      <c r="AF26" s="4" t="str">
        <f t="shared" si="1"/>
        <v>Pre Covid</v>
      </c>
      <c r="AG26" s="4" t="s">
        <v>115</v>
      </c>
      <c r="AH26" s="9" t="s">
        <v>27</v>
      </c>
    </row>
    <row r="27" spans="1:34">
      <c r="A27" s="6" t="s">
        <v>32</v>
      </c>
      <c r="B27" s="6">
        <v>2013</v>
      </c>
      <c r="C27" s="6" t="s">
        <v>41</v>
      </c>
      <c r="D27" s="6">
        <f t="shared" si="0"/>
        <v>9</v>
      </c>
      <c r="E27" s="6">
        <v>118.6</v>
      </c>
      <c r="F27" s="6">
        <v>119.1</v>
      </c>
      <c r="G27" s="6">
        <v>113.2</v>
      </c>
      <c r="H27" s="6">
        <v>109.6</v>
      </c>
      <c r="I27" s="6">
        <v>101.7</v>
      </c>
      <c r="J27" s="6">
        <v>103.2</v>
      </c>
      <c r="K27" s="6">
        <v>174.3</v>
      </c>
      <c r="L27" s="6">
        <v>105.1</v>
      </c>
      <c r="M27" s="6">
        <v>100.8</v>
      </c>
      <c r="N27" s="6">
        <v>109.1</v>
      </c>
      <c r="O27" s="6">
        <v>111.1</v>
      </c>
      <c r="P27" s="6">
        <v>115.4</v>
      </c>
      <c r="Q27" s="6">
        <v>119.2</v>
      </c>
      <c r="R27" s="6">
        <v>112.9</v>
      </c>
      <c r="S27" s="6">
        <v>111.4</v>
      </c>
      <c r="T27" s="6">
        <v>109</v>
      </c>
      <c r="U27" s="6">
        <v>111.1</v>
      </c>
      <c r="V27" s="6">
        <v>109.7</v>
      </c>
      <c r="W27" s="6">
        <v>109.5</v>
      </c>
      <c r="X27" s="6">
        <v>109.6</v>
      </c>
      <c r="Y27" s="6">
        <v>107.9</v>
      </c>
      <c r="Z27" s="6">
        <v>110.4</v>
      </c>
      <c r="AA27" s="6">
        <v>107.4</v>
      </c>
      <c r="AB27" s="6">
        <v>111.2</v>
      </c>
      <c r="AC27" s="6">
        <v>106.9</v>
      </c>
      <c r="AD27" s="6">
        <v>109.4</v>
      </c>
      <c r="AE27" s="6">
        <v>113.2</v>
      </c>
      <c r="AF27" s="6" t="str">
        <f t="shared" si="1"/>
        <v>Pre Covid</v>
      </c>
      <c r="AG27" s="6" t="s">
        <v>49</v>
      </c>
      <c r="AH27" s="10" t="s">
        <v>28</v>
      </c>
    </row>
    <row r="28" spans="1:34">
      <c r="A28" s="4" t="s">
        <v>33</v>
      </c>
      <c r="B28" s="4">
        <v>2013</v>
      </c>
      <c r="C28" s="4" t="s">
        <v>41</v>
      </c>
      <c r="D28" s="4">
        <f t="shared" si="0"/>
        <v>9</v>
      </c>
      <c r="E28" s="4">
        <v>116.4</v>
      </c>
      <c r="F28" s="4">
        <v>116.9</v>
      </c>
      <c r="G28" s="4">
        <v>112.3</v>
      </c>
      <c r="H28" s="4">
        <v>110.5</v>
      </c>
      <c r="I28" s="4">
        <v>105.3</v>
      </c>
      <c r="J28" s="4">
        <v>107.3</v>
      </c>
      <c r="K28" s="4">
        <v>160.9</v>
      </c>
      <c r="L28" s="4">
        <v>107.1</v>
      </c>
      <c r="M28" s="4">
        <v>103.1</v>
      </c>
      <c r="N28" s="4">
        <v>108.3</v>
      </c>
      <c r="O28" s="4">
        <v>110.7</v>
      </c>
      <c r="P28" s="4">
        <v>114.6</v>
      </c>
      <c r="Q28" s="4">
        <v>118.3</v>
      </c>
      <c r="R28" s="4">
        <v>112</v>
      </c>
      <c r="S28" s="4">
        <v>112.2</v>
      </c>
      <c r="T28" s="4">
        <v>110.4</v>
      </c>
      <c r="U28" s="4">
        <v>111.9</v>
      </c>
      <c r="V28" s="4">
        <v>109.7</v>
      </c>
      <c r="W28" s="4">
        <v>110.5</v>
      </c>
      <c r="X28" s="4">
        <v>109.6</v>
      </c>
      <c r="Y28" s="4">
        <v>108.1</v>
      </c>
      <c r="Z28" s="4">
        <v>109.9</v>
      </c>
      <c r="AA28" s="4">
        <v>107.5</v>
      </c>
      <c r="AB28" s="4">
        <v>110.6</v>
      </c>
      <c r="AC28" s="4">
        <v>106.8</v>
      </c>
      <c r="AD28" s="4">
        <v>109</v>
      </c>
      <c r="AE28" s="4">
        <v>113.7</v>
      </c>
      <c r="AF28" s="4" t="str">
        <f t="shared" si="1"/>
        <v>Pre Covid</v>
      </c>
      <c r="AG28" s="4" t="s">
        <v>49</v>
      </c>
      <c r="AH28" s="9" t="s">
        <v>29</v>
      </c>
    </row>
    <row r="29" spans="1:34">
      <c r="A29" s="6" t="s">
        <v>30</v>
      </c>
      <c r="B29" s="6">
        <v>2013</v>
      </c>
      <c r="C29" s="6" t="s">
        <v>42</v>
      </c>
      <c r="D29" s="6">
        <f t="shared" si="0"/>
        <v>10</v>
      </c>
      <c r="E29" s="6">
        <v>116.3</v>
      </c>
      <c r="F29" s="6">
        <v>115.4</v>
      </c>
      <c r="G29" s="6">
        <v>112.6</v>
      </c>
      <c r="H29" s="6">
        <v>111.7</v>
      </c>
      <c r="I29" s="6">
        <v>107.7</v>
      </c>
      <c r="J29" s="6">
        <v>113.2</v>
      </c>
      <c r="K29" s="6">
        <v>164.9</v>
      </c>
      <c r="L29" s="6">
        <v>108.3</v>
      </c>
      <c r="M29" s="6">
        <v>103.9</v>
      </c>
      <c r="N29" s="6">
        <v>108.2</v>
      </c>
      <c r="O29" s="6">
        <v>111.1</v>
      </c>
      <c r="P29" s="6">
        <v>114.9</v>
      </c>
      <c r="Q29" s="6">
        <v>119.8</v>
      </c>
      <c r="R29" s="6">
        <v>112.2</v>
      </c>
      <c r="S29" s="6">
        <v>113.6</v>
      </c>
      <c r="T29" s="6">
        <v>112.3</v>
      </c>
      <c r="U29" s="6">
        <v>113.4</v>
      </c>
      <c r="V29" s="6">
        <v>110.1</v>
      </c>
      <c r="W29" s="6">
        <v>111.6</v>
      </c>
      <c r="X29" s="6">
        <v>110.4</v>
      </c>
      <c r="Y29" s="6">
        <v>108.9</v>
      </c>
      <c r="Z29" s="6">
        <v>109.3</v>
      </c>
      <c r="AA29" s="6">
        <v>108.3</v>
      </c>
      <c r="AB29" s="6">
        <v>110.2</v>
      </c>
      <c r="AC29" s="6">
        <v>107.5</v>
      </c>
      <c r="AD29" s="6">
        <v>109.1</v>
      </c>
      <c r="AE29" s="6">
        <v>115.5</v>
      </c>
      <c r="AF29" s="6" t="str">
        <f t="shared" si="1"/>
        <v>Pre Covid</v>
      </c>
      <c r="AG29" s="6"/>
    </row>
    <row r="30" spans="1:34">
      <c r="A30" s="4" t="s">
        <v>32</v>
      </c>
      <c r="B30" s="4">
        <v>2013</v>
      </c>
      <c r="C30" s="4" t="s">
        <v>42</v>
      </c>
      <c r="D30" s="4">
        <f t="shared" si="0"/>
        <v>10</v>
      </c>
      <c r="E30" s="4">
        <v>118.9</v>
      </c>
      <c r="F30" s="4">
        <v>118.1</v>
      </c>
      <c r="G30" s="4">
        <v>114.5</v>
      </c>
      <c r="H30" s="4">
        <v>110.4</v>
      </c>
      <c r="I30" s="4">
        <v>102.3</v>
      </c>
      <c r="J30" s="4">
        <v>106.2</v>
      </c>
      <c r="K30" s="4">
        <v>183.5</v>
      </c>
      <c r="L30" s="4">
        <v>105.3</v>
      </c>
      <c r="M30" s="4">
        <v>100.2</v>
      </c>
      <c r="N30" s="4">
        <v>109.6</v>
      </c>
      <c r="O30" s="4">
        <v>111.4</v>
      </c>
      <c r="P30" s="4">
        <v>116</v>
      </c>
      <c r="Q30" s="4">
        <v>120.8</v>
      </c>
      <c r="R30" s="4">
        <v>113.5</v>
      </c>
      <c r="S30" s="4">
        <v>112.5</v>
      </c>
      <c r="T30" s="4">
        <v>109.7</v>
      </c>
      <c r="U30" s="4">
        <v>112</v>
      </c>
      <c r="V30" s="4">
        <v>110.5</v>
      </c>
      <c r="W30" s="4">
        <v>109.7</v>
      </c>
      <c r="X30" s="4">
        <v>110.2</v>
      </c>
      <c r="Y30" s="4">
        <v>108.2</v>
      </c>
      <c r="Z30" s="4">
        <v>109.7</v>
      </c>
      <c r="AA30" s="4">
        <v>108</v>
      </c>
      <c r="AB30" s="4">
        <v>111.3</v>
      </c>
      <c r="AC30" s="4">
        <v>107.3</v>
      </c>
      <c r="AD30" s="4">
        <v>109.4</v>
      </c>
      <c r="AE30" s="4">
        <v>114</v>
      </c>
      <c r="AF30" s="4" t="str">
        <f t="shared" si="1"/>
        <v>Pre Covid</v>
      </c>
      <c r="AG30" s="4"/>
    </row>
    <row r="31" spans="1:34">
      <c r="A31" s="6" t="s">
        <v>33</v>
      </c>
      <c r="B31" s="6">
        <v>2013</v>
      </c>
      <c r="C31" s="6" t="s">
        <v>42</v>
      </c>
      <c r="D31" s="6">
        <f t="shared" si="0"/>
        <v>10</v>
      </c>
      <c r="E31" s="6">
        <v>117.1</v>
      </c>
      <c r="F31" s="6">
        <v>116.3</v>
      </c>
      <c r="G31" s="6">
        <v>113.3</v>
      </c>
      <c r="H31" s="6">
        <v>111.2</v>
      </c>
      <c r="I31" s="6">
        <v>105.7</v>
      </c>
      <c r="J31" s="6">
        <v>109.9</v>
      </c>
      <c r="K31" s="6">
        <v>171.2</v>
      </c>
      <c r="L31" s="6">
        <v>107.3</v>
      </c>
      <c r="M31" s="6">
        <v>102.7</v>
      </c>
      <c r="N31" s="6">
        <v>108.7</v>
      </c>
      <c r="O31" s="6">
        <v>111.2</v>
      </c>
      <c r="P31" s="6">
        <v>115.4</v>
      </c>
      <c r="Q31" s="6">
        <v>120.2</v>
      </c>
      <c r="R31" s="6">
        <v>112.5</v>
      </c>
      <c r="S31" s="6">
        <v>113.2</v>
      </c>
      <c r="T31" s="6">
        <v>111.2</v>
      </c>
      <c r="U31" s="6">
        <v>112.8</v>
      </c>
      <c r="V31" s="6">
        <v>110.5</v>
      </c>
      <c r="W31" s="6">
        <v>110.9</v>
      </c>
      <c r="X31" s="6">
        <v>110.3</v>
      </c>
      <c r="Y31" s="6">
        <v>108.6</v>
      </c>
      <c r="Z31" s="6">
        <v>109.5</v>
      </c>
      <c r="AA31" s="6">
        <v>108.1</v>
      </c>
      <c r="AB31" s="6">
        <v>110.8</v>
      </c>
      <c r="AC31" s="6">
        <v>107.4</v>
      </c>
      <c r="AD31" s="6">
        <v>109.2</v>
      </c>
      <c r="AE31" s="6">
        <v>114.8</v>
      </c>
      <c r="AF31" s="6" t="str">
        <f t="shared" si="1"/>
        <v>Pre Covid</v>
      </c>
      <c r="AG31" s="6"/>
    </row>
    <row r="32" spans="1:34">
      <c r="A32" s="4" t="s">
        <v>30</v>
      </c>
      <c r="B32" s="4">
        <v>2013</v>
      </c>
      <c r="C32" s="4" t="s">
        <v>43</v>
      </c>
      <c r="D32" s="4">
        <f t="shared" si="0"/>
        <v>11</v>
      </c>
      <c r="E32" s="4">
        <v>117.3</v>
      </c>
      <c r="F32" s="4">
        <v>114.9</v>
      </c>
      <c r="G32" s="4">
        <v>116.2</v>
      </c>
      <c r="H32" s="4">
        <v>112.8</v>
      </c>
      <c r="I32" s="4">
        <v>108.9</v>
      </c>
      <c r="J32" s="4">
        <v>116.6</v>
      </c>
      <c r="K32" s="4">
        <v>178.1</v>
      </c>
      <c r="L32" s="4">
        <v>109.1</v>
      </c>
      <c r="M32" s="4">
        <v>103.6</v>
      </c>
      <c r="N32" s="4">
        <v>109</v>
      </c>
      <c r="O32" s="4">
        <v>111.8</v>
      </c>
      <c r="P32" s="4">
        <v>116</v>
      </c>
      <c r="Q32" s="4">
        <v>122.5</v>
      </c>
      <c r="R32" s="4">
        <v>112.8</v>
      </c>
      <c r="S32" s="4">
        <v>114.6</v>
      </c>
      <c r="T32" s="4">
        <v>113.1</v>
      </c>
      <c r="U32" s="4">
        <v>114.4</v>
      </c>
      <c r="V32" s="4">
        <v>110.9</v>
      </c>
      <c r="W32" s="4">
        <v>112.6</v>
      </c>
      <c r="X32" s="4">
        <v>111.3</v>
      </c>
      <c r="Y32" s="4">
        <v>109.7</v>
      </c>
      <c r="Z32" s="4">
        <v>109.6</v>
      </c>
      <c r="AA32" s="4">
        <v>108.7</v>
      </c>
      <c r="AB32" s="4">
        <v>111</v>
      </c>
      <c r="AC32" s="4">
        <v>108.2</v>
      </c>
      <c r="AD32" s="4">
        <v>109.8</v>
      </c>
      <c r="AE32" s="4">
        <v>117.4</v>
      </c>
      <c r="AF32" s="4" t="str">
        <f t="shared" si="1"/>
        <v>Pre Covid</v>
      </c>
      <c r="AG32" s="4"/>
    </row>
    <row r="33" spans="1:33">
      <c r="A33" s="6" t="s">
        <v>32</v>
      </c>
      <c r="B33" s="6">
        <v>2013</v>
      </c>
      <c r="C33" s="6" t="s">
        <v>43</v>
      </c>
      <c r="D33" s="6">
        <f t="shared" si="0"/>
        <v>11</v>
      </c>
      <c r="E33" s="6">
        <v>119.8</v>
      </c>
      <c r="F33" s="6">
        <v>116.3</v>
      </c>
      <c r="G33" s="6">
        <v>122.6</v>
      </c>
      <c r="H33" s="6">
        <v>112</v>
      </c>
      <c r="I33" s="6">
        <v>103.2</v>
      </c>
      <c r="J33" s="6">
        <v>110</v>
      </c>
      <c r="K33" s="6">
        <v>192.8</v>
      </c>
      <c r="L33" s="6">
        <v>106.3</v>
      </c>
      <c r="M33" s="6">
        <v>99.5</v>
      </c>
      <c r="N33" s="6">
        <v>110.3</v>
      </c>
      <c r="O33" s="6">
        <v>111.8</v>
      </c>
      <c r="P33" s="6">
        <v>117.1</v>
      </c>
      <c r="Q33" s="6">
        <v>122.9</v>
      </c>
      <c r="R33" s="6">
        <v>114.1</v>
      </c>
      <c r="S33" s="6">
        <v>113.5</v>
      </c>
      <c r="T33" s="6">
        <v>110.3</v>
      </c>
      <c r="U33" s="6">
        <v>113</v>
      </c>
      <c r="V33" s="6">
        <v>111.1</v>
      </c>
      <c r="W33" s="6">
        <v>110</v>
      </c>
      <c r="X33" s="6">
        <v>110.9</v>
      </c>
      <c r="Y33" s="6">
        <v>108.6</v>
      </c>
      <c r="Z33" s="6">
        <v>109.5</v>
      </c>
      <c r="AA33" s="6">
        <v>108.5</v>
      </c>
      <c r="AB33" s="6">
        <v>111.3</v>
      </c>
      <c r="AC33" s="6">
        <v>107.9</v>
      </c>
      <c r="AD33" s="6">
        <v>109.6</v>
      </c>
      <c r="AE33" s="6">
        <v>115</v>
      </c>
      <c r="AF33" s="6" t="str">
        <f t="shared" si="1"/>
        <v>Pre Covid</v>
      </c>
      <c r="AG33" s="6"/>
    </row>
    <row r="34" spans="1:33">
      <c r="A34" s="4" t="s">
        <v>33</v>
      </c>
      <c r="B34" s="4">
        <v>2013</v>
      </c>
      <c r="C34" s="4" t="s">
        <v>43</v>
      </c>
      <c r="D34" s="4">
        <f t="shared" si="0"/>
        <v>11</v>
      </c>
      <c r="E34" s="4">
        <v>118.1</v>
      </c>
      <c r="F34" s="4">
        <v>115.4</v>
      </c>
      <c r="G34" s="4">
        <v>118.7</v>
      </c>
      <c r="H34" s="4">
        <v>112.5</v>
      </c>
      <c r="I34" s="4">
        <v>106.8</v>
      </c>
      <c r="J34" s="4">
        <v>113.5</v>
      </c>
      <c r="K34" s="4">
        <v>183.1</v>
      </c>
      <c r="L34" s="4">
        <v>108.2</v>
      </c>
      <c r="M34" s="4">
        <v>102.2</v>
      </c>
      <c r="N34" s="4">
        <v>109.4</v>
      </c>
      <c r="O34" s="4">
        <v>111.8</v>
      </c>
      <c r="P34" s="4">
        <v>116.5</v>
      </c>
      <c r="Q34" s="4">
        <v>122.6</v>
      </c>
      <c r="R34" s="4">
        <v>113.1</v>
      </c>
      <c r="S34" s="4">
        <v>114.2</v>
      </c>
      <c r="T34" s="4">
        <v>111.9</v>
      </c>
      <c r="U34" s="4">
        <v>113.8</v>
      </c>
      <c r="V34" s="4">
        <v>111.1</v>
      </c>
      <c r="W34" s="4">
        <v>111.6</v>
      </c>
      <c r="X34" s="4">
        <v>111.1</v>
      </c>
      <c r="Y34" s="4">
        <v>109.3</v>
      </c>
      <c r="Z34" s="4">
        <v>109.5</v>
      </c>
      <c r="AA34" s="4">
        <v>108.6</v>
      </c>
      <c r="AB34" s="4">
        <v>111.2</v>
      </c>
      <c r="AC34" s="4">
        <v>108.1</v>
      </c>
      <c r="AD34" s="4">
        <v>109.7</v>
      </c>
      <c r="AE34" s="4">
        <v>116.3</v>
      </c>
      <c r="AF34" s="4" t="str">
        <f t="shared" si="1"/>
        <v>Pre Covid</v>
      </c>
      <c r="AG34" s="4"/>
    </row>
    <row r="35" spans="1:33">
      <c r="A35" s="6" t="s">
        <v>30</v>
      </c>
      <c r="B35" s="6">
        <v>2013</v>
      </c>
      <c r="C35" s="6" t="s">
        <v>44</v>
      </c>
      <c r="D35" s="6">
        <f t="shared" si="0"/>
        <v>12</v>
      </c>
      <c r="E35" s="6">
        <v>118.4</v>
      </c>
      <c r="F35" s="6">
        <v>115.9</v>
      </c>
      <c r="G35" s="6">
        <v>120.4</v>
      </c>
      <c r="H35" s="6">
        <v>113.8</v>
      </c>
      <c r="I35" s="6">
        <v>109.5</v>
      </c>
      <c r="J35" s="6">
        <v>115.5</v>
      </c>
      <c r="K35" s="6">
        <v>145.69999999999999</v>
      </c>
      <c r="L35" s="6">
        <v>109.5</v>
      </c>
      <c r="M35" s="6">
        <v>102.9</v>
      </c>
      <c r="N35" s="6">
        <v>109.8</v>
      </c>
      <c r="O35" s="6">
        <v>112.1</v>
      </c>
      <c r="P35" s="6">
        <v>116.8</v>
      </c>
      <c r="Q35" s="6">
        <v>118.7</v>
      </c>
      <c r="R35" s="6">
        <v>113.6</v>
      </c>
      <c r="S35" s="6">
        <v>115.8</v>
      </c>
      <c r="T35" s="6">
        <v>114</v>
      </c>
      <c r="U35" s="6">
        <v>115.5</v>
      </c>
      <c r="V35" s="6">
        <v>110.9</v>
      </c>
      <c r="W35" s="6">
        <v>112.8</v>
      </c>
      <c r="X35" s="6">
        <v>112.1</v>
      </c>
      <c r="Y35" s="6">
        <v>110.1</v>
      </c>
      <c r="Z35" s="6">
        <v>109.9</v>
      </c>
      <c r="AA35" s="6">
        <v>109.2</v>
      </c>
      <c r="AB35" s="6">
        <v>111.6</v>
      </c>
      <c r="AC35" s="6">
        <v>108.1</v>
      </c>
      <c r="AD35" s="6">
        <v>110.1</v>
      </c>
      <c r="AE35" s="6">
        <v>115.5</v>
      </c>
      <c r="AF35" s="6" t="str">
        <f t="shared" si="1"/>
        <v>Pre Covid</v>
      </c>
      <c r="AG35" s="6"/>
    </row>
    <row r="36" spans="1:33">
      <c r="A36" s="4" t="s">
        <v>32</v>
      </c>
      <c r="B36" s="4">
        <v>2013</v>
      </c>
      <c r="C36" s="4" t="s">
        <v>44</v>
      </c>
      <c r="D36" s="4">
        <f t="shared" si="0"/>
        <v>12</v>
      </c>
      <c r="E36" s="4">
        <v>120.5</v>
      </c>
      <c r="F36" s="4">
        <v>118.1</v>
      </c>
      <c r="G36" s="4">
        <v>128.5</v>
      </c>
      <c r="H36" s="4">
        <v>112.8</v>
      </c>
      <c r="I36" s="4">
        <v>103.4</v>
      </c>
      <c r="J36" s="4">
        <v>110.7</v>
      </c>
      <c r="K36" s="4">
        <v>144.80000000000001</v>
      </c>
      <c r="L36" s="4">
        <v>107.1</v>
      </c>
      <c r="M36" s="4">
        <v>98.6</v>
      </c>
      <c r="N36" s="4">
        <v>111.9</v>
      </c>
      <c r="O36" s="4">
        <v>112.1</v>
      </c>
      <c r="P36" s="4">
        <v>118.1</v>
      </c>
      <c r="Q36" s="4">
        <v>117.8</v>
      </c>
      <c r="R36" s="4">
        <v>115</v>
      </c>
      <c r="S36" s="4">
        <v>114.2</v>
      </c>
      <c r="T36" s="4">
        <v>110.9</v>
      </c>
      <c r="U36" s="4">
        <v>113.7</v>
      </c>
      <c r="V36" s="4">
        <v>110.7</v>
      </c>
      <c r="W36" s="4">
        <v>110.4</v>
      </c>
      <c r="X36" s="4">
        <v>111.3</v>
      </c>
      <c r="Y36" s="4">
        <v>109</v>
      </c>
      <c r="Z36" s="4">
        <v>109.7</v>
      </c>
      <c r="AA36" s="4">
        <v>108.9</v>
      </c>
      <c r="AB36" s="4">
        <v>111.4</v>
      </c>
      <c r="AC36" s="4">
        <v>107.7</v>
      </c>
      <c r="AD36" s="4">
        <v>109.8</v>
      </c>
      <c r="AE36" s="4">
        <v>113.3</v>
      </c>
      <c r="AF36" s="4" t="str">
        <f t="shared" si="1"/>
        <v>Pre Covid</v>
      </c>
      <c r="AG36" s="4"/>
    </row>
    <row r="37" spans="1:33">
      <c r="A37" s="6" t="s">
        <v>33</v>
      </c>
      <c r="B37" s="6">
        <v>2013</v>
      </c>
      <c r="C37" s="6" t="s">
        <v>44</v>
      </c>
      <c r="D37" s="6">
        <f t="shared" si="0"/>
        <v>12</v>
      </c>
      <c r="E37" s="6">
        <v>119.1</v>
      </c>
      <c r="F37" s="6">
        <v>116.7</v>
      </c>
      <c r="G37" s="6">
        <v>123.5</v>
      </c>
      <c r="H37" s="6">
        <v>113.4</v>
      </c>
      <c r="I37" s="6">
        <v>107.3</v>
      </c>
      <c r="J37" s="6">
        <v>113.3</v>
      </c>
      <c r="K37" s="6">
        <v>145.4</v>
      </c>
      <c r="L37" s="6">
        <v>108.7</v>
      </c>
      <c r="M37" s="6">
        <v>101.5</v>
      </c>
      <c r="N37" s="6">
        <v>110.5</v>
      </c>
      <c r="O37" s="6">
        <v>112.1</v>
      </c>
      <c r="P37" s="6">
        <v>117.4</v>
      </c>
      <c r="Q37" s="6">
        <v>118.4</v>
      </c>
      <c r="R37" s="6">
        <v>114</v>
      </c>
      <c r="S37" s="6">
        <v>115.2</v>
      </c>
      <c r="T37" s="6">
        <v>112.7</v>
      </c>
      <c r="U37" s="6">
        <v>114.8</v>
      </c>
      <c r="V37" s="6">
        <v>110.7</v>
      </c>
      <c r="W37" s="6">
        <v>111.9</v>
      </c>
      <c r="X37" s="6">
        <v>111.7</v>
      </c>
      <c r="Y37" s="6">
        <v>109.7</v>
      </c>
      <c r="Z37" s="6">
        <v>109.8</v>
      </c>
      <c r="AA37" s="6">
        <v>109</v>
      </c>
      <c r="AB37" s="6">
        <v>111.5</v>
      </c>
      <c r="AC37" s="6">
        <v>107.9</v>
      </c>
      <c r="AD37" s="6">
        <v>110</v>
      </c>
      <c r="AE37" s="6">
        <v>114.5</v>
      </c>
      <c r="AF37" s="6" t="str">
        <f t="shared" si="1"/>
        <v>Pre Covid</v>
      </c>
      <c r="AG37" s="6"/>
    </row>
    <row r="38" spans="1:33">
      <c r="A38" s="4" t="s">
        <v>30</v>
      </c>
      <c r="B38" s="4">
        <v>2014</v>
      </c>
      <c r="C38" s="4" t="s">
        <v>31</v>
      </c>
      <c r="D38" s="4">
        <f t="shared" si="0"/>
        <v>1</v>
      </c>
      <c r="E38" s="4">
        <v>118.9</v>
      </c>
      <c r="F38" s="4">
        <v>117.1</v>
      </c>
      <c r="G38" s="4">
        <v>120.5</v>
      </c>
      <c r="H38" s="4">
        <v>114.4</v>
      </c>
      <c r="I38" s="4">
        <v>109</v>
      </c>
      <c r="J38" s="4">
        <v>115.5</v>
      </c>
      <c r="K38" s="4">
        <v>123.9</v>
      </c>
      <c r="L38" s="4">
        <v>109.6</v>
      </c>
      <c r="M38" s="4">
        <v>101.8</v>
      </c>
      <c r="N38" s="4">
        <v>110.2</v>
      </c>
      <c r="O38" s="4">
        <v>112.4</v>
      </c>
      <c r="P38" s="4">
        <v>117.3</v>
      </c>
      <c r="Q38" s="4">
        <v>116</v>
      </c>
      <c r="R38" s="4">
        <v>114</v>
      </c>
      <c r="S38" s="4">
        <v>116.5</v>
      </c>
      <c r="T38" s="4">
        <v>114.5</v>
      </c>
      <c r="U38" s="4">
        <v>116.2</v>
      </c>
      <c r="V38" s="4">
        <v>112.05</v>
      </c>
      <c r="W38" s="4">
        <v>113</v>
      </c>
      <c r="X38" s="4">
        <v>112.6</v>
      </c>
      <c r="Y38" s="4">
        <v>110.6</v>
      </c>
      <c r="Z38" s="4">
        <v>110.5</v>
      </c>
      <c r="AA38" s="4">
        <v>109.6</v>
      </c>
      <c r="AB38" s="4">
        <v>111.8</v>
      </c>
      <c r="AC38" s="4">
        <v>108.3</v>
      </c>
      <c r="AD38" s="4">
        <v>110.6</v>
      </c>
      <c r="AE38" s="4">
        <v>114.2</v>
      </c>
      <c r="AF38" s="4" t="str">
        <f t="shared" si="1"/>
        <v>Pre Covid</v>
      </c>
      <c r="AG38" s="4"/>
    </row>
    <row r="39" spans="1:33">
      <c r="A39" s="6" t="s">
        <v>32</v>
      </c>
      <c r="B39" s="6">
        <v>2014</v>
      </c>
      <c r="C39" s="6" t="s">
        <v>31</v>
      </c>
      <c r="D39" s="6">
        <f t="shared" si="0"/>
        <v>1</v>
      </c>
      <c r="E39" s="6">
        <v>121.2</v>
      </c>
      <c r="F39" s="6">
        <v>122</v>
      </c>
      <c r="G39" s="6">
        <v>129.9</v>
      </c>
      <c r="H39" s="6">
        <v>113.6</v>
      </c>
      <c r="I39" s="6">
        <v>102.9</v>
      </c>
      <c r="J39" s="6">
        <v>112.1</v>
      </c>
      <c r="K39" s="6">
        <v>118.9</v>
      </c>
      <c r="L39" s="6">
        <v>107.5</v>
      </c>
      <c r="M39" s="6">
        <v>96.9</v>
      </c>
      <c r="N39" s="6">
        <v>112.7</v>
      </c>
      <c r="O39" s="6">
        <v>112.1</v>
      </c>
      <c r="P39" s="6">
        <v>119</v>
      </c>
      <c r="Q39" s="6">
        <v>115.5</v>
      </c>
      <c r="R39" s="6">
        <v>115.7</v>
      </c>
      <c r="S39" s="6">
        <v>114.8</v>
      </c>
      <c r="T39" s="6">
        <v>111.3</v>
      </c>
      <c r="U39" s="6">
        <v>114.3</v>
      </c>
      <c r="V39" s="6">
        <v>111.6</v>
      </c>
      <c r="W39" s="6">
        <v>111</v>
      </c>
      <c r="X39" s="6">
        <v>111.9</v>
      </c>
      <c r="Y39" s="6">
        <v>109.7</v>
      </c>
      <c r="Z39" s="6">
        <v>110.8</v>
      </c>
      <c r="AA39" s="6">
        <v>109.8</v>
      </c>
      <c r="AB39" s="6">
        <v>111.5</v>
      </c>
      <c r="AC39" s="6">
        <v>108</v>
      </c>
      <c r="AD39" s="6">
        <v>110.5</v>
      </c>
      <c r="AE39" s="6">
        <v>112.9</v>
      </c>
      <c r="AF39" s="6" t="str">
        <f t="shared" si="1"/>
        <v>Pre Covid</v>
      </c>
      <c r="AG39" s="6"/>
    </row>
    <row r="40" spans="1:33">
      <c r="A40" s="4" t="s">
        <v>33</v>
      </c>
      <c r="B40" s="4">
        <v>2014</v>
      </c>
      <c r="C40" s="4" t="s">
        <v>31</v>
      </c>
      <c r="D40" s="4">
        <f t="shared" si="0"/>
        <v>1</v>
      </c>
      <c r="E40" s="4">
        <v>119.6</v>
      </c>
      <c r="F40" s="4">
        <v>118.8</v>
      </c>
      <c r="G40" s="4">
        <v>124.1</v>
      </c>
      <c r="H40" s="4">
        <v>114.1</v>
      </c>
      <c r="I40" s="4">
        <v>106.8</v>
      </c>
      <c r="J40" s="4">
        <v>113.9</v>
      </c>
      <c r="K40" s="4">
        <v>122.2</v>
      </c>
      <c r="L40" s="4">
        <v>108.9</v>
      </c>
      <c r="M40" s="4">
        <v>100.2</v>
      </c>
      <c r="N40" s="4">
        <v>111</v>
      </c>
      <c r="O40" s="4">
        <v>112.3</v>
      </c>
      <c r="P40" s="4">
        <v>118.1</v>
      </c>
      <c r="Q40" s="4">
        <v>115.8</v>
      </c>
      <c r="R40" s="4">
        <v>114.5</v>
      </c>
      <c r="S40" s="4">
        <v>115.8</v>
      </c>
      <c r="T40" s="4">
        <v>113.2</v>
      </c>
      <c r="U40" s="4">
        <v>115.4</v>
      </c>
      <c r="V40" s="4">
        <v>111.6</v>
      </c>
      <c r="W40" s="4">
        <v>112.2</v>
      </c>
      <c r="X40" s="4">
        <v>112.3</v>
      </c>
      <c r="Y40" s="4">
        <v>110.3</v>
      </c>
      <c r="Z40" s="4">
        <v>110.7</v>
      </c>
      <c r="AA40" s="4">
        <v>109.7</v>
      </c>
      <c r="AB40" s="4">
        <v>111.6</v>
      </c>
      <c r="AC40" s="4">
        <v>108.2</v>
      </c>
      <c r="AD40" s="4">
        <v>110.6</v>
      </c>
      <c r="AE40" s="4">
        <v>113.6</v>
      </c>
      <c r="AF40" s="4" t="str">
        <f t="shared" si="1"/>
        <v>Pre Covid</v>
      </c>
      <c r="AG40" s="4"/>
    </row>
    <row r="41" spans="1:33">
      <c r="A41" s="6" t="s">
        <v>30</v>
      </c>
      <c r="B41" s="6">
        <v>2014</v>
      </c>
      <c r="C41" s="6" t="s">
        <v>34</v>
      </c>
      <c r="D41" s="6">
        <f t="shared" si="0"/>
        <v>2</v>
      </c>
      <c r="E41" s="6">
        <v>119.4</v>
      </c>
      <c r="F41" s="6">
        <v>117.7</v>
      </c>
      <c r="G41" s="6">
        <v>121.2</v>
      </c>
      <c r="H41" s="6">
        <v>115</v>
      </c>
      <c r="I41" s="6">
        <v>109</v>
      </c>
      <c r="J41" s="6">
        <v>116.6</v>
      </c>
      <c r="K41" s="6">
        <v>116</v>
      </c>
      <c r="L41" s="6">
        <v>109.8</v>
      </c>
      <c r="M41" s="6">
        <v>101.1</v>
      </c>
      <c r="N41" s="6">
        <v>110.4</v>
      </c>
      <c r="O41" s="6">
        <v>112.9</v>
      </c>
      <c r="P41" s="6">
        <v>117.8</v>
      </c>
      <c r="Q41" s="6">
        <v>115.3</v>
      </c>
      <c r="R41" s="6">
        <v>114.2</v>
      </c>
      <c r="S41" s="6">
        <v>117.1</v>
      </c>
      <c r="T41" s="6">
        <v>114.5</v>
      </c>
      <c r="U41" s="6">
        <v>116.7</v>
      </c>
      <c r="V41" s="6">
        <v>112.05</v>
      </c>
      <c r="W41" s="6">
        <v>113.2</v>
      </c>
      <c r="X41" s="6">
        <v>112.9</v>
      </c>
      <c r="Y41" s="6">
        <v>110.9</v>
      </c>
      <c r="Z41" s="6">
        <v>110.8</v>
      </c>
      <c r="AA41" s="6">
        <v>109.9</v>
      </c>
      <c r="AB41" s="6">
        <v>112</v>
      </c>
      <c r="AC41" s="6">
        <v>108.7</v>
      </c>
      <c r="AD41" s="6">
        <v>110.9</v>
      </c>
      <c r="AE41" s="6">
        <v>114</v>
      </c>
      <c r="AF41" s="6" t="str">
        <f t="shared" si="1"/>
        <v>Pre Covid</v>
      </c>
      <c r="AG41" s="6"/>
    </row>
    <row r="42" spans="1:33">
      <c r="A42" s="4" t="s">
        <v>32</v>
      </c>
      <c r="B42" s="4">
        <v>2014</v>
      </c>
      <c r="C42" s="4" t="s">
        <v>34</v>
      </c>
      <c r="D42" s="4">
        <f t="shared" si="0"/>
        <v>2</v>
      </c>
      <c r="E42" s="4">
        <v>121.9</v>
      </c>
      <c r="F42" s="4">
        <v>122</v>
      </c>
      <c r="G42" s="4">
        <v>124.5</v>
      </c>
      <c r="H42" s="4">
        <v>115.2</v>
      </c>
      <c r="I42" s="4">
        <v>102.5</v>
      </c>
      <c r="J42" s="4">
        <v>114.1</v>
      </c>
      <c r="K42" s="4">
        <v>111.5</v>
      </c>
      <c r="L42" s="4">
        <v>108.2</v>
      </c>
      <c r="M42" s="4">
        <v>95.4</v>
      </c>
      <c r="N42" s="4">
        <v>113.5</v>
      </c>
      <c r="O42" s="4">
        <v>112.1</v>
      </c>
      <c r="P42" s="4">
        <v>119.9</v>
      </c>
      <c r="Q42" s="4">
        <v>115.2</v>
      </c>
      <c r="R42" s="4">
        <v>116.2</v>
      </c>
      <c r="S42" s="4">
        <v>115.3</v>
      </c>
      <c r="T42" s="4">
        <v>111.7</v>
      </c>
      <c r="U42" s="4">
        <v>114.7</v>
      </c>
      <c r="V42" s="4">
        <v>112.5</v>
      </c>
      <c r="W42" s="4">
        <v>111.1</v>
      </c>
      <c r="X42" s="4">
        <v>112.6</v>
      </c>
      <c r="Y42" s="4">
        <v>110.4</v>
      </c>
      <c r="Z42" s="4">
        <v>111.3</v>
      </c>
      <c r="AA42" s="4">
        <v>110.3</v>
      </c>
      <c r="AB42" s="4">
        <v>111.6</v>
      </c>
      <c r="AC42" s="4">
        <v>108.7</v>
      </c>
      <c r="AD42" s="4">
        <v>111</v>
      </c>
      <c r="AE42" s="4">
        <v>113.1</v>
      </c>
      <c r="AF42" s="4" t="str">
        <f t="shared" si="1"/>
        <v>Pre Covid</v>
      </c>
      <c r="AG42" s="4"/>
    </row>
    <row r="43" spans="1:33">
      <c r="A43" s="6" t="s">
        <v>33</v>
      </c>
      <c r="B43" s="6">
        <v>2014</v>
      </c>
      <c r="C43" s="6" t="s">
        <v>34</v>
      </c>
      <c r="D43" s="6">
        <f t="shared" si="0"/>
        <v>2</v>
      </c>
      <c r="E43" s="6">
        <v>120.2</v>
      </c>
      <c r="F43" s="6">
        <v>119.2</v>
      </c>
      <c r="G43" s="6">
        <v>122.5</v>
      </c>
      <c r="H43" s="6">
        <v>115.1</v>
      </c>
      <c r="I43" s="6">
        <v>106.6</v>
      </c>
      <c r="J43" s="6">
        <v>115.4</v>
      </c>
      <c r="K43" s="6">
        <v>114.5</v>
      </c>
      <c r="L43" s="6">
        <v>109.3</v>
      </c>
      <c r="M43" s="6">
        <v>99.2</v>
      </c>
      <c r="N43" s="6">
        <v>111.4</v>
      </c>
      <c r="O43" s="6">
        <v>112.6</v>
      </c>
      <c r="P43" s="6">
        <v>118.8</v>
      </c>
      <c r="Q43" s="6">
        <v>115.3</v>
      </c>
      <c r="R43" s="6">
        <v>114.7</v>
      </c>
      <c r="S43" s="6">
        <v>116.4</v>
      </c>
      <c r="T43" s="6">
        <v>113.3</v>
      </c>
      <c r="U43" s="6">
        <v>115.9</v>
      </c>
      <c r="V43" s="6">
        <v>112.5</v>
      </c>
      <c r="W43" s="6">
        <v>112.4</v>
      </c>
      <c r="X43" s="6">
        <v>112.8</v>
      </c>
      <c r="Y43" s="6">
        <v>110.7</v>
      </c>
      <c r="Z43" s="6">
        <v>111.1</v>
      </c>
      <c r="AA43" s="6">
        <v>110.1</v>
      </c>
      <c r="AB43" s="6">
        <v>111.8</v>
      </c>
      <c r="AC43" s="6">
        <v>108.7</v>
      </c>
      <c r="AD43" s="6">
        <v>110.9</v>
      </c>
      <c r="AE43" s="6">
        <v>113.6</v>
      </c>
      <c r="AF43" s="6" t="str">
        <f t="shared" si="1"/>
        <v>Pre Covid</v>
      </c>
      <c r="AG43" s="6"/>
    </row>
    <row r="44" spans="1:33">
      <c r="A44" s="4" t="s">
        <v>30</v>
      </c>
      <c r="B44" s="4">
        <v>2014</v>
      </c>
      <c r="C44" s="4" t="s">
        <v>35</v>
      </c>
      <c r="D44" s="4">
        <f t="shared" si="0"/>
        <v>3</v>
      </c>
      <c r="E44" s="4">
        <v>120.1</v>
      </c>
      <c r="F44" s="4">
        <v>118.1</v>
      </c>
      <c r="G44" s="4">
        <v>120.7</v>
      </c>
      <c r="H44" s="4">
        <v>116.1</v>
      </c>
      <c r="I44" s="4">
        <v>109.3</v>
      </c>
      <c r="J44" s="4">
        <v>119.6</v>
      </c>
      <c r="K44" s="4">
        <v>117.9</v>
      </c>
      <c r="L44" s="4">
        <v>110.2</v>
      </c>
      <c r="M44" s="4">
        <v>101.2</v>
      </c>
      <c r="N44" s="4">
        <v>110.7</v>
      </c>
      <c r="O44" s="4">
        <v>113</v>
      </c>
      <c r="P44" s="4">
        <v>118.3</v>
      </c>
      <c r="Q44" s="4">
        <v>116.2</v>
      </c>
      <c r="R44" s="4">
        <v>114.6</v>
      </c>
      <c r="S44" s="4">
        <v>117.5</v>
      </c>
      <c r="T44" s="4">
        <v>114.9</v>
      </c>
      <c r="U44" s="4">
        <v>117.2</v>
      </c>
      <c r="V44" s="4">
        <v>113.55</v>
      </c>
      <c r="W44" s="4">
        <v>113.4</v>
      </c>
      <c r="X44" s="4">
        <v>113.4</v>
      </c>
      <c r="Y44" s="4">
        <v>111.4</v>
      </c>
      <c r="Z44" s="4">
        <v>111.2</v>
      </c>
      <c r="AA44" s="4">
        <v>110.2</v>
      </c>
      <c r="AB44" s="4">
        <v>112.4</v>
      </c>
      <c r="AC44" s="4">
        <v>108.9</v>
      </c>
      <c r="AD44" s="4">
        <v>111.3</v>
      </c>
      <c r="AE44" s="4">
        <v>114.6</v>
      </c>
      <c r="AF44" s="4" t="str">
        <f t="shared" si="1"/>
        <v>Pre Covid</v>
      </c>
      <c r="AG44" s="4"/>
    </row>
    <row r="45" spans="1:33">
      <c r="A45" s="6" t="s">
        <v>32</v>
      </c>
      <c r="B45" s="6">
        <v>2014</v>
      </c>
      <c r="C45" s="6" t="s">
        <v>35</v>
      </c>
      <c r="D45" s="6">
        <f t="shared" si="0"/>
        <v>3</v>
      </c>
      <c r="E45" s="6">
        <v>122.1</v>
      </c>
      <c r="F45" s="6">
        <v>121.4</v>
      </c>
      <c r="G45" s="6">
        <v>121.5</v>
      </c>
      <c r="H45" s="6">
        <v>116.2</v>
      </c>
      <c r="I45" s="6">
        <v>102.8</v>
      </c>
      <c r="J45" s="6">
        <v>117.7</v>
      </c>
      <c r="K45" s="6">
        <v>113.3</v>
      </c>
      <c r="L45" s="6">
        <v>108.9</v>
      </c>
      <c r="M45" s="6">
        <v>96.3</v>
      </c>
      <c r="N45" s="6">
        <v>114.1</v>
      </c>
      <c r="O45" s="6">
        <v>112.2</v>
      </c>
      <c r="P45" s="6">
        <v>120.5</v>
      </c>
      <c r="Q45" s="6">
        <v>116</v>
      </c>
      <c r="R45" s="6">
        <v>116.7</v>
      </c>
      <c r="S45" s="6">
        <v>115.8</v>
      </c>
      <c r="T45" s="6">
        <v>112.1</v>
      </c>
      <c r="U45" s="6">
        <v>115.2</v>
      </c>
      <c r="V45" s="6">
        <v>113.2</v>
      </c>
      <c r="W45" s="6">
        <v>110.9</v>
      </c>
      <c r="X45" s="6">
        <v>113</v>
      </c>
      <c r="Y45" s="6">
        <v>110.8</v>
      </c>
      <c r="Z45" s="6">
        <v>111.6</v>
      </c>
      <c r="AA45" s="6">
        <v>110.9</v>
      </c>
      <c r="AB45" s="6">
        <v>111.8</v>
      </c>
      <c r="AC45" s="6">
        <v>109.2</v>
      </c>
      <c r="AD45" s="6">
        <v>111.4</v>
      </c>
      <c r="AE45" s="6">
        <v>113.7</v>
      </c>
      <c r="AF45" s="6" t="str">
        <f t="shared" si="1"/>
        <v>Pre Covid</v>
      </c>
      <c r="AG45" s="6"/>
    </row>
    <row r="46" spans="1:33">
      <c r="A46" s="4" t="s">
        <v>33</v>
      </c>
      <c r="B46" s="4">
        <v>2014</v>
      </c>
      <c r="C46" s="4" t="s">
        <v>35</v>
      </c>
      <c r="D46" s="4">
        <f t="shared" si="0"/>
        <v>3</v>
      </c>
      <c r="E46" s="4">
        <v>120.7</v>
      </c>
      <c r="F46" s="4">
        <v>119.3</v>
      </c>
      <c r="G46" s="4">
        <v>121</v>
      </c>
      <c r="H46" s="4">
        <v>116.1</v>
      </c>
      <c r="I46" s="4">
        <v>106.9</v>
      </c>
      <c r="J46" s="4">
        <v>118.7</v>
      </c>
      <c r="K46" s="4">
        <v>116.3</v>
      </c>
      <c r="L46" s="4">
        <v>109.8</v>
      </c>
      <c r="M46" s="4">
        <v>99.6</v>
      </c>
      <c r="N46" s="4">
        <v>111.8</v>
      </c>
      <c r="O46" s="4">
        <v>112.7</v>
      </c>
      <c r="P46" s="4">
        <v>119.3</v>
      </c>
      <c r="Q46" s="4">
        <v>116.1</v>
      </c>
      <c r="R46" s="4">
        <v>115.2</v>
      </c>
      <c r="S46" s="4">
        <v>116.8</v>
      </c>
      <c r="T46" s="4">
        <v>113.7</v>
      </c>
      <c r="U46" s="4">
        <v>116.4</v>
      </c>
      <c r="V46" s="4">
        <v>113.2</v>
      </c>
      <c r="W46" s="4">
        <v>112.5</v>
      </c>
      <c r="X46" s="4">
        <v>113.2</v>
      </c>
      <c r="Y46" s="4">
        <v>111.2</v>
      </c>
      <c r="Z46" s="4">
        <v>111.4</v>
      </c>
      <c r="AA46" s="4">
        <v>110.6</v>
      </c>
      <c r="AB46" s="4">
        <v>112</v>
      </c>
      <c r="AC46" s="4">
        <v>109</v>
      </c>
      <c r="AD46" s="4">
        <v>111.3</v>
      </c>
      <c r="AE46" s="4">
        <v>114.2</v>
      </c>
      <c r="AF46" s="4" t="str">
        <f t="shared" si="1"/>
        <v>Pre Covid</v>
      </c>
      <c r="AG46" s="4"/>
    </row>
    <row r="47" spans="1:33">
      <c r="A47" s="6" t="s">
        <v>30</v>
      </c>
      <c r="B47" s="6">
        <v>2014</v>
      </c>
      <c r="C47" s="6" t="s">
        <v>36</v>
      </c>
      <c r="D47" s="6">
        <f t="shared" si="0"/>
        <v>4</v>
      </c>
      <c r="E47" s="6">
        <v>120.2</v>
      </c>
      <c r="F47" s="6">
        <v>118.9</v>
      </c>
      <c r="G47" s="6">
        <v>118.1</v>
      </c>
      <c r="H47" s="6">
        <v>117</v>
      </c>
      <c r="I47" s="6">
        <v>109.7</v>
      </c>
      <c r="J47" s="6">
        <v>125.5</v>
      </c>
      <c r="K47" s="6">
        <v>120.5</v>
      </c>
      <c r="L47" s="6">
        <v>111</v>
      </c>
      <c r="M47" s="6">
        <v>102.6</v>
      </c>
      <c r="N47" s="6">
        <v>111.2</v>
      </c>
      <c r="O47" s="6">
        <v>113.5</v>
      </c>
      <c r="P47" s="6">
        <v>118.7</v>
      </c>
      <c r="Q47" s="6">
        <v>117.2</v>
      </c>
      <c r="R47" s="6">
        <v>115.4</v>
      </c>
      <c r="S47" s="6">
        <v>118.1</v>
      </c>
      <c r="T47" s="6">
        <v>116.1</v>
      </c>
      <c r="U47" s="6">
        <v>117.8</v>
      </c>
      <c r="V47" s="6">
        <v>113.55</v>
      </c>
      <c r="W47" s="6">
        <v>113.4</v>
      </c>
      <c r="X47" s="6">
        <v>113.7</v>
      </c>
      <c r="Y47" s="6">
        <v>111.8</v>
      </c>
      <c r="Z47" s="6">
        <v>111.2</v>
      </c>
      <c r="AA47" s="6">
        <v>110.5</v>
      </c>
      <c r="AB47" s="6">
        <v>113</v>
      </c>
      <c r="AC47" s="6">
        <v>108.9</v>
      </c>
      <c r="AD47" s="6">
        <v>111.5</v>
      </c>
      <c r="AE47" s="6">
        <v>115.4</v>
      </c>
      <c r="AF47" s="6" t="str">
        <f t="shared" si="1"/>
        <v>Pre Covid</v>
      </c>
      <c r="AG47" s="6"/>
    </row>
    <row r="48" spans="1:33">
      <c r="A48" s="4" t="s">
        <v>32</v>
      </c>
      <c r="B48" s="4">
        <v>2014</v>
      </c>
      <c r="C48" s="4" t="s">
        <v>36</v>
      </c>
      <c r="D48" s="4">
        <f t="shared" si="0"/>
        <v>4</v>
      </c>
      <c r="E48" s="4">
        <v>122.5</v>
      </c>
      <c r="F48" s="4">
        <v>121.7</v>
      </c>
      <c r="G48" s="4">
        <v>113.3</v>
      </c>
      <c r="H48" s="4">
        <v>117</v>
      </c>
      <c r="I48" s="4">
        <v>103.1</v>
      </c>
      <c r="J48" s="4">
        <v>126.7</v>
      </c>
      <c r="K48" s="4">
        <v>121.2</v>
      </c>
      <c r="L48" s="4">
        <v>111</v>
      </c>
      <c r="M48" s="4">
        <v>100.3</v>
      </c>
      <c r="N48" s="4">
        <v>115.3</v>
      </c>
      <c r="O48" s="4">
        <v>112.7</v>
      </c>
      <c r="P48" s="4">
        <v>121</v>
      </c>
      <c r="Q48" s="4">
        <v>118.2</v>
      </c>
      <c r="R48" s="4">
        <v>117.6</v>
      </c>
      <c r="S48" s="4">
        <v>116.3</v>
      </c>
      <c r="T48" s="4">
        <v>112.5</v>
      </c>
      <c r="U48" s="4">
        <v>115.7</v>
      </c>
      <c r="V48" s="4">
        <v>113.9</v>
      </c>
      <c r="W48" s="4">
        <v>110.9</v>
      </c>
      <c r="X48" s="4">
        <v>113.4</v>
      </c>
      <c r="Y48" s="4">
        <v>111</v>
      </c>
      <c r="Z48" s="4">
        <v>111.2</v>
      </c>
      <c r="AA48" s="4">
        <v>111.2</v>
      </c>
      <c r="AB48" s="4">
        <v>112.5</v>
      </c>
      <c r="AC48" s="4">
        <v>109.1</v>
      </c>
      <c r="AD48" s="4">
        <v>111.4</v>
      </c>
      <c r="AE48" s="4">
        <v>114.7</v>
      </c>
      <c r="AF48" s="4" t="str">
        <f t="shared" si="1"/>
        <v>Pre Covid</v>
      </c>
      <c r="AG48" s="4"/>
    </row>
    <row r="49" spans="1:33">
      <c r="A49" s="6" t="s">
        <v>33</v>
      </c>
      <c r="B49" s="6">
        <v>2014</v>
      </c>
      <c r="C49" s="6" t="s">
        <v>36</v>
      </c>
      <c r="D49" s="6">
        <f t="shared" si="0"/>
        <v>4</v>
      </c>
      <c r="E49" s="6">
        <v>120.9</v>
      </c>
      <c r="F49" s="6">
        <v>119.9</v>
      </c>
      <c r="G49" s="6">
        <v>116.2</v>
      </c>
      <c r="H49" s="6">
        <v>117</v>
      </c>
      <c r="I49" s="6">
        <v>107.3</v>
      </c>
      <c r="J49" s="6">
        <v>126.1</v>
      </c>
      <c r="K49" s="6">
        <v>120.7</v>
      </c>
      <c r="L49" s="6">
        <v>111</v>
      </c>
      <c r="M49" s="6">
        <v>101.8</v>
      </c>
      <c r="N49" s="6">
        <v>112.6</v>
      </c>
      <c r="O49" s="6">
        <v>113.2</v>
      </c>
      <c r="P49" s="6">
        <v>119.8</v>
      </c>
      <c r="Q49" s="6">
        <v>117.6</v>
      </c>
      <c r="R49" s="6">
        <v>116</v>
      </c>
      <c r="S49" s="6">
        <v>117.4</v>
      </c>
      <c r="T49" s="6">
        <v>114.6</v>
      </c>
      <c r="U49" s="6">
        <v>117</v>
      </c>
      <c r="V49" s="6">
        <v>113.9</v>
      </c>
      <c r="W49" s="6">
        <v>112.5</v>
      </c>
      <c r="X49" s="6">
        <v>113.6</v>
      </c>
      <c r="Y49" s="6">
        <v>111.5</v>
      </c>
      <c r="Z49" s="6">
        <v>111.2</v>
      </c>
      <c r="AA49" s="6">
        <v>110.9</v>
      </c>
      <c r="AB49" s="6">
        <v>112.7</v>
      </c>
      <c r="AC49" s="6">
        <v>109</v>
      </c>
      <c r="AD49" s="6">
        <v>111.5</v>
      </c>
      <c r="AE49" s="6">
        <v>115.1</v>
      </c>
      <c r="AF49" s="6" t="str">
        <f t="shared" si="1"/>
        <v>Pre Covid</v>
      </c>
      <c r="AG49" s="6"/>
    </row>
    <row r="50" spans="1:33">
      <c r="A50" s="4" t="s">
        <v>30</v>
      </c>
      <c r="B50" s="4">
        <v>2014</v>
      </c>
      <c r="C50" s="4" t="s">
        <v>37</v>
      </c>
      <c r="D50" s="4">
        <f t="shared" si="0"/>
        <v>5</v>
      </c>
      <c r="E50" s="4">
        <v>120.3</v>
      </c>
      <c r="F50" s="4">
        <v>120.2</v>
      </c>
      <c r="G50" s="4">
        <v>116.9</v>
      </c>
      <c r="H50" s="4">
        <v>118</v>
      </c>
      <c r="I50" s="4">
        <v>110.1</v>
      </c>
      <c r="J50" s="4">
        <v>126.3</v>
      </c>
      <c r="K50" s="4">
        <v>123.9</v>
      </c>
      <c r="L50" s="4">
        <v>111.5</v>
      </c>
      <c r="M50" s="4">
        <v>103.5</v>
      </c>
      <c r="N50" s="4">
        <v>111.6</v>
      </c>
      <c r="O50" s="4">
        <v>114.2</v>
      </c>
      <c r="P50" s="4">
        <v>119.2</v>
      </c>
      <c r="Q50" s="4">
        <v>118.2</v>
      </c>
      <c r="R50" s="4">
        <v>116.3</v>
      </c>
      <c r="S50" s="4">
        <v>118.7</v>
      </c>
      <c r="T50" s="4">
        <v>116.8</v>
      </c>
      <c r="U50" s="4">
        <v>118.5</v>
      </c>
      <c r="V50" s="4">
        <v>114.1</v>
      </c>
      <c r="W50" s="4">
        <v>113.4</v>
      </c>
      <c r="X50" s="4">
        <v>114.1</v>
      </c>
      <c r="Y50" s="4">
        <v>112.1</v>
      </c>
      <c r="Z50" s="4">
        <v>111.4</v>
      </c>
      <c r="AA50" s="4">
        <v>110.9</v>
      </c>
      <c r="AB50" s="4">
        <v>113.1</v>
      </c>
      <c r="AC50" s="4">
        <v>108.9</v>
      </c>
      <c r="AD50" s="4">
        <v>111.8</v>
      </c>
      <c r="AE50" s="4">
        <v>116</v>
      </c>
      <c r="AF50" s="4" t="str">
        <f t="shared" si="1"/>
        <v>Pre Covid</v>
      </c>
      <c r="AG50" s="4"/>
    </row>
    <row r="51" spans="1:33">
      <c r="A51" s="6" t="s">
        <v>32</v>
      </c>
      <c r="B51" s="6">
        <v>2014</v>
      </c>
      <c r="C51" s="6" t="s">
        <v>37</v>
      </c>
      <c r="D51" s="6">
        <f t="shared" si="0"/>
        <v>5</v>
      </c>
      <c r="E51" s="6">
        <v>122.7</v>
      </c>
      <c r="F51" s="6">
        <v>124.1</v>
      </c>
      <c r="G51" s="6">
        <v>114.2</v>
      </c>
      <c r="H51" s="6">
        <v>119.1</v>
      </c>
      <c r="I51" s="6">
        <v>103.5</v>
      </c>
      <c r="J51" s="6">
        <v>129.19999999999999</v>
      </c>
      <c r="K51" s="6">
        <v>127</v>
      </c>
      <c r="L51" s="6">
        <v>112.6</v>
      </c>
      <c r="M51" s="6">
        <v>101.3</v>
      </c>
      <c r="N51" s="6">
        <v>117</v>
      </c>
      <c r="O51" s="6">
        <v>112.9</v>
      </c>
      <c r="P51" s="6">
        <v>121.7</v>
      </c>
      <c r="Q51" s="6">
        <v>120</v>
      </c>
      <c r="R51" s="6">
        <v>118.3</v>
      </c>
      <c r="S51" s="6">
        <v>116.8</v>
      </c>
      <c r="T51" s="6">
        <v>112.9</v>
      </c>
      <c r="U51" s="6">
        <v>116.2</v>
      </c>
      <c r="V51" s="6">
        <v>114.3</v>
      </c>
      <c r="W51" s="6">
        <v>111.1</v>
      </c>
      <c r="X51" s="6">
        <v>114.1</v>
      </c>
      <c r="Y51" s="6">
        <v>111.2</v>
      </c>
      <c r="Z51" s="6">
        <v>111.3</v>
      </c>
      <c r="AA51" s="6">
        <v>111.5</v>
      </c>
      <c r="AB51" s="6">
        <v>112.9</v>
      </c>
      <c r="AC51" s="6">
        <v>109.3</v>
      </c>
      <c r="AD51" s="6">
        <v>111.7</v>
      </c>
      <c r="AE51" s="6">
        <v>115.6</v>
      </c>
      <c r="AF51" s="6" t="str">
        <f t="shared" si="1"/>
        <v>Pre Covid</v>
      </c>
      <c r="AG51" s="6"/>
    </row>
    <row r="52" spans="1:33">
      <c r="A52" s="4" t="s">
        <v>33</v>
      </c>
      <c r="B52" s="4">
        <v>2014</v>
      </c>
      <c r="C52" s="4" t="s">
        <v>37</v>
      </c>
      <c r="D52" s="4">
        <f t="shared" si="0"/>
        <v>5</v>
      </c>
      <c r="E52" s="4">
        <v>121.1</v>
      </c>
      <c r="F52" s="4">
        <v>121.6</v>
      </c>
      <c r="G52" s="4">
        <v>115.9</v>
      </c>
      <c r="H52" s="4">
        <v>118.4</v>
      </c>
      <c r="I52" s="4">
        <v>107.7</v>
      </c>
      <c r="J52" s="4">
        <v>127.7</v>
      </c>
      <c r="K52" s="4">
        <v>125</v>
      </c>
      <c r="L52" s="4">
        <v>111.9</v>
      </c>
      <c r="M52" s="4">
        <v>102.8</v>
      </c>
      <c r="N52" s="4">
        <v>113.4</v>
      </c>
      <c r="O52" s="4">
        <v>113.7</v>
      </c>
      <c r="P52" s="4">
        <v>120.4</v>
      </c>
      <c r="Q52" s="4">
        <v>118.9</v>
      </c>
      <c r="R52" s="4">
        <v>116.8</v>
      </c>
      <c r="S52" s="4">
        <v>118</v>
      </c>
      <c r="T52" s="4">
        <v>115.2</v>
      </c>
      <c r="U52" s="4">
        <v>117.6</v>
      </c>
      <c r="V52" s="4">
        <v>114.3</v>
      </c>
      <c r="W52" s="4">
        <v>112.5</v>
      </c>
      <c r="X52" s="4">
        <v>114.1</v>
      </c>
      <c r="Y52" s="4">
        <v>111.8</v>
      </c>
      <c r="Z52" s="4">
        <v>111.3</v>
      </c>
      <c r="AA52" s="4">
        <v>111.2</v>
      </c>
      <c r="AB52" s="4">
        <v>113</v>
      </c>
      <c r="AC52" s="4">
        <v>109.1</v>
      </c>
      <c r="AD52" s="4">
        <v>111.8</v>
      </c>
      <c r="AE52" s="4">
        <v>115.8</v>
      </c>
      <c r="AF52" s="4" t="str">
        <f t="shared" si="1"/>
        <v>Pre Covid</v>
      </c>
      <c r="AG52" s="4"/>
    </row>
    <row r="53" spans="1:33">
      <c r="A53" s="6" t="s">
        <v>30</v>
      </c>
      <c r="B53" s="6">
        <v>2014</v>
      </c>
      <c r="C53" s="6" t="s">
        <v>38</v>
      </c>
      <c r="D53" s="6">
        <f t="shared" si="0"/>
        <v>6</v>
      </c>
      <c r="E53" s="6">
        <v>120.7</v>
      </c>
      <c r="F53" s="6">
        <v>121.6</v>
      </c>
      <c r="G53" s="6">
        <v>116.1</v>
      </c>
      <c r="H53" s="6">
        <v>119.3</v>
      </c>
      <c r="I53" s="6">
        <v>110.3</v>
      </c>
      <c r="J53" s="6">
        <v>125.8</v>
      </c>
      <c r="K53" s="6">
        <v>129.30000000000001</v>
      </c>
      <c r="L53" s="6">
        <v>112.2</v>
      </c>
      <c r="M53" s="6">
        <v>103.6</v>
      </c>
      <c r="N53" s="6">
        <v>112.3</v>
      </c>
      <c r="O53" s="6">
        <v>114.9</v>
      </c>
      <c r="P53" s="6">
        <v>120.1</v>
      </c>
      <c r="Q53" s="6">
        <v>119.5</v>
      </c>
      <c r="R53" s="6">
        <v>117.3</v>
      </c>
      <c r="S53" s="6">
        <v>119.7</v>
      </c>
      <c r="T53" s="6">
        <v>117.3</v>
      </c>
      <c r="U53" s="6">
        <v>119.3</v>
      </c>
      <c r="V53" s="6">
        <v>114.1</v>
      </c>
      <c r="W53" s="6">
        <v>114.4</v>
      </c>
      <c r="X53" s="6">
        <v>114.9</v>
      </c>
      <c r="Y53" s="6">
        <v>112.8</v>
      </c>
      <c r="Z53" s="6">
        <v>112.2</v>
      </c>
      <c r="AA53" s="6">
        <v>111.4</v>
      </c>
      <c r="AB53" s="6">
        <v>114.3</v>
      </c>
      <c r="AC53" s="6">
        <v>108</v>
      </c>
      <c r="AD53" s="6">
        <v>112.3</v>
      </c>
      <c r="AE53" s="6">
        <v>117</v>
      </c>
      <c r="AF53" s="6" t="str">
        <f t="shared" si="1"/>
        <v>Pre Covid</v>
      </c>
      <c r="AG53" s="6"/>
    </row>
    <row r="54" spans="1:33">
      <c r="A54" s="4" t="s">
        <v>32</v>
      </c>
      <c r="B54" s="4">
        <v>2014</v>
      </c>
      <c r="C54" s="4" t="s">
        <v>38</v>
      </c>
      <c r="D54" s="4">
        <f t="shared" si="0"/>
        <v>6</v>
      </c>
      <c r="E54" s="4">
        <v>123.1</v>
      </c>
      <c r="F54" s="4">
        <v>125.9</v>
      </c>
      <c r="G54" s="4">
        <v>115.4</v>
      </c>
      <c r="H54" s="4">
        <v>120.4</v>
      </c>
      <c r="I54" s="4">
        <v>103.4</v>
      </c>
      <c r="J54" s="4">
        <v>131.19999999999999</v>
      </c>
      <c r="K54" s="4">
        <v>137.5</v>
      </c>
      <c r="L54" s="4">
        <v>112.8</v>
      </c>
      <c r="M54" s="4">
        <v>101.4</v>
      </c>
      <c r="N54" s="4">
        <v>118.3</v>
      </c>
      <c r="O54" s="4">
        <v>113.2</v>
      </c>
      <c r="P54" s="4">
        <v>122.4</v>
      </c>
      <c r="Q54" s="4">
        <v>122</v>
      </c>
      <c r="R54" s="4">
        <v>119</v>
      </c>
      <c r="S54" s="4">
        <v>117.4</v>
      </c>
      <c r="T54" s="4">
        <v>113.2</v>
      </c>
      <c r="U54" s="4">
        <v>116.7</v>
      </c>
      <c r="V54" s="4">
        <v>113.9</v>
      </c>
      <c r="W54" s="4">
        <v>111.2</v>
      </c>
      <c r="X54" s="4">
        <v>114.3</v>
      </c>
      <c r="Y54" s="4">
        <v>111.4</v>
      </c>
      <c r="Z54" s="4">
        <v>111.5</v>
      </c>
      <c r="AA54" s="4">
        <v>111.8</v>
      </c>
      <c r="AB54" s="4">
        <v>115.1</v>
      </c>
      <c r="AC54" s="4">
        <v>108.7</v>
      </c>
      <c r="AD54" s="4">
        <v>112.2</v>
      </c>
      <c r="AE54" s="4">
        <v>116.4</v>
      </c>
      <c r="AF54" s="4" t="str">
        <f t="shared" si="1"/>
        <v>Pre Covid</v>
      </c>
      <c r="AG54" s="4"/>
    </row>
    <row r="55" spans="1:33">
      <c r="A55" s="6" t="s">
        <v>33</v>
      </c>
      <c r="B55" s="6">
        <v>2014</v>
      </c>
      <c r="C55" s="6" t="s">
        <v>38</v>
      </c>
      <c r="D55" s="6">
        <f t="shared" si="0"/>
        <v>6</v>
      </c>
      <c r="E55" s="6">
        <v>121.5</v>
      </c>
      <c r="F55" s="6">
        <v>123.1</v>
      </c>
      <c r="G55" s="6">
        <v>115.8</v>
      </c>
      <c r="H55" s="6">
        <v>119.7</v>
      </c>
      <c r="I55" s="6">
        <v>107.8</v>
      </c>
      <c r="J55" s="6">
        <v>128.30000000000001</v>
      </c>
      <c r="K55" s="6">
        <v>132.1</v>
      </c>
      <c r="L55" s="6">
        <v>112.4</v>
      </c>
      <c r="M55" s="6">
        <v>102.9</v>
      </c>
      <c r="N55" s="6">
        <v>114.3</v>
      </c>
      <c r="O55" s="6">
        <v>114.2</v>
      </c>
      <c r="P55" s="6">
        <v>121.2</v>
      </c>
      <c r="Q55" s="6">
        <v>120.4</v>
      </c>
      <c r="R55" s="6">
        <v>117.8</v>
      </c>
      <c r="S55" s="6">
        <v>118.8</v>
      </c>
      <c r="T55" s="6">
        <v>115.6</v>
      </c>
      <c r="U55" s="6">
        <v>118.3</v>
      </c>
      <c r="V55" s="6">
        <v>113.9</v>
      </c>
      <c r="W55" s="6">
        <v>113.2</v>
      </c>
      <c r="X55" s="6">
        <v>114.6</v>
      </c>
      <c r="Y55" s="6">
        <v>112.3</v>
      </c>
      <c r="Z55" s="6">
        <v>111.8</v>
      </c>
      <c r="AA55" s="6">
        <v>111.6</v>
      </c>
      <c r="AB55" s="6">
        <v>114.8</v>
      </c>
      <c r="AC55" s="6">
        <v>108.3</v>
      </c>
      <c r="AD55" s="6">
        <v>112.3</v>
      </c>
      <c r="AE55" s="6">
        <v>116.7</v>
      </c>
      <c r="AF55" s="6" t="str">
        <f t="shared" si="1"/>
        <v>Pre Covid</v>
      </c>
      <c r="AG55" s="6"/>
    </row>
    <row r="56" spans="1:33">
      <c r="A56" s="4" t="s">
        <v>30</v>
      </c>
      <c r="B56" s="4">
        <v>2014</v>
      </c>
      <c r="C56" s="4" t="s">
        <v>39</v>
      </c>
      <c r="D56" s="4">
        <f t="shared" si="0"/>
        <v>7</v>
      </c>
      <c r="E56" s="4">
        <v>121.7</v>
      </c>
      <c r="F56" s="4">
        <v>122.5</v>
      </c>
      <c r="G56" s="4">
        <v>117.7</v>
      </c>
      <c r="H56" s="4">
        <v>120.6</v>
      </c>
      <c r="I56" s="4">
        <v>110.4</v>
      </c>
      <c r="J56" s="4">
        <v>129.1</v>
      </c>
      <c r="K56" s="4">
        <v>150.1</v>
      </c>
      <c r="L56" s="4">
        <v>113.2</v>
      </c>
      <c r="M56" s="4">
        <v>104.8</v>
      </c>
      <c r="N56" s="4">
        <v>113.3</v>
      </c>
      <c r="O56" s="4">
        <v>115.6</v>
      </c>
      <c r="P56" s="4">
        <v>120.9</v>
      </c>
      <c r="Q56" s="4">
        <v>123.3</v>
      </c>
      <c r="R56" s="4">
        <v>118</v>
      </c>
      <c r="S56" s="4">
        <v>120.7</v>
      </c>
      <c r="T56" s="4">
        <v>118.3</v>
      </c>
      <c r="U56" s="4">
        <v>120.3</v>
      </c>
      <c r="V56" s="4">
        <v>115.15</v>
      </c>
      <c r="W56" s="4">
        <v>115.3</v>
      </c>
      <c r="X56" s="4">
        <v>115.4</v>
      </c>
      <c r="Y56" s="4">
        <v>113.4</v>
      </c>
      <c r="Z56" s="4">
        <v>113.2</v>
      </c>
      <c r="AA56" s="4">
        <v>111.8</v>
      </c>
      <c r="AB56" s="4">
        <v>115.5</v>
      </c>
      <c r="AC56" s="4">
        <v>108.8</v>
      </c>
      <c r="AD56" s="4">
        <v>113.1</v>
      </c>
      <c r="AE56" s="4">
        <v>119.5</v>
      </c>
      <c r="AF56" s="4" t="str">
        <f t="shared" si="1"/>
        <v>Pre Covid</v>
      </c>
      <c r="AG56" s="4"/>
    </row>
    <row r="57" spans="1:33">
      <c r="A57" s="6" t="s">
        <v>32</v>
      </c>
      <c r="B57" s="6">
        <v>2014</v>
      </c>
      <c r="C57" s="6" t="s">
        <v>39</v>
      </c>
      <c r="D57" s="6">
        <f t="shared" si="0"/>
        <v>7</v>
      </c>
      <c r="E57" s="6">
        <v>123.8</v>
      </c>
      <c r="F57" s="6">
        <v>126.4</v>
      </c>
      <c r="G57" s="6">
        <v>118</v>
      </c>
      <c r="H57" s="6">
        <v>121.6</v>
      </c>
      <c r="I57" s="6">
        <v>103.5</v>
      </c>
      <c r="J57" s="6">
        <v>133.69999999999999</v>
      </c>
      <c r="K57" s="6">
        <v>172.4</v>
      </c>
      <c r="L57" s="6">
        <v>113.1</v>
      </c>
      <c r="M57" s="6">
        <v>102.7</v>
      </c>
      <c r="N57" s="6">
        <v>120</v>
      </c>
      <c r="O57" s="6">
        <v>113.8</v>
      </c>
      <c r="P57" s="6">
        <v>123.4</v>
      </c>
      <c r="Q57" s="6">
        <v>127.1</v>
      </c>
      <c r="R57" s="6">
        <v>121</v>
      </c>
      <c r="S57" s="6">
        <v>118</v>
      </c>
      <c r="T57" s="6">
        <v>113.6</v>
      </c>
      <c r="U57" s="6">
        <v>117.4</v>
      </c>
      <c r="V57" s="6">
        <v>114.8</v>
      </c>
      <c r="W57" s="6">
        <v>111.6</v>
      </c>
      <c r="X57" s="6">
        <v>114.9</v>
      </c>
      <c r="Y57" s="6">
        <v>111.5</v>
      </c>
      <c r="Z57" s="6">
        <v>113</v>
      </c>
      <c r="AA57" s="6">
        <v>112.4</v>
      </c>
      <c r="AB57" s="6">
        <v>117.8</v>
      </c>
      <c r="AC57" s="6">
        <v>109.7</v>
      </c>
      <c r="AD57" s="6">
        <v>113.5</v>
      </c>
      <c r="AE57" s="6">
        <v>118.9</v>
      </c>
      <c r="AF57" s="6" t="str">
        <f t="shared" si="1"/>
        <v>Pre Covid</v>
      </c>
      <c r="AG57" s="6"/>
    </row>
    <row r="58" spans="1:33">
      <c r="A58" s="4" t="s">
        <v>33</v>
      </c>
      <c r="B58" s="4">
        <v>2014</v>
      </c>
      <c r="C58" s="4" t="s">
        <v>39</v>
      </c>
      <c r="D58" s="4">
        <f t="shared" si="0"/>
        <v>7</v>
      </c>
      <c r="E58" s="4">
        <v>122.4</v>
      </c>
      <c r="F58" s="4">
        <v>123.9</v>
      </c>
      <c r="G58" s="4">
        <v>117.8</v>
      </c>
      <c r="H58" s="4">
        <v>121</v>
      </c>
      <c r="I58" s="4">
        <v>107.9</v>
      </c>
      <c r="J58" s="4">
        <v>131.19999999999999</v>
      </c>
      <c r="K58" s="4">
        <v>157.69999999999999</v>
      </c>
      <c r="L58" s="4">
        <v>113.2</v>
      </c>
      <c r="M58" s="4">
        <v>104.1</v>
      </c>
      <c r="N58" s="4">
        <v>115.5</v>
      </c>
      <c r="O58" s="4">
        <v>114.8</v>
      </c>
      <c r="P58" s="4">
        <v>122.1</v>
      </c>
      <c r="Q58" s="4">
        <v>124.7</v>
      </c>
      <c r="R58" s="4">
        <v>118.8</v>
      </c>
      <c r="S58" s="4">
        <v>119.6</v>
      </c>
      <c r="T58" s="4">
        <v>116.3</v>
      </c>
      <c r="U58" s="4">
        <v>119.1</v>
      </c>
      <c r="V58" s="4">
        <v>114.8</v>
      </c>
      <c r="W58" s="4">
        <v>113.9</v>
      </c>
      <c r="X58" s="4">
        <v>115.2</v>
      </c>
      <c r="Y58" s="4">
        <v>112.7</v>
      </c>
      <c r="Z58" s="4">
        <v>113.1</v>
      </c>
      <c r="AA58" s="4">
        <v>112.1</v>
      </c>
      <c r="AB58" s="4">
        <v>116.8</v>
      </c>
      <c r="AC58" s="4">
        <v>109.2</v>
      </c>
      <c r="AD58" s="4">
        <v>113.3</v>
      </c>
      <c r="AE58" s="4">
        <v>119.2</v>
      </c>
      <c r="AF58" s="4" t="str">
        <f t="shared" si="1"/>
        <v>Pre Covid</v>
      </c>
      <c r="AG58" s="4"/>
    </row>
    <row r="59" spans="1:33">
      <c r="A59" s="6" t="s">
        <v>30</v>
      </c>
      <c r="B59" s="6">
        <v>2014</v>
      </c>
      <c r="C59" s="6" t="s">
        <v>40</v>
      </c>
      <c r="D59" s="6">
        <f t="shared" si="0"/>
        <v>8</v>
      </c>
      <c r="E59" s="6">
        <v>121.8</v>
      </c>
      <c r="F59" s="6">
        <v>122.8</v>
      </c>
      <c r="G59" s="6">
        <v>117.8</v>
      </c>
      <c r="H59" s="6">
        <v>121.9</v>
      </c>
      <c r="I59" s="6">
        <v>110.6</v>
      </c>
      <c r="J59" s="6">
        <v>129.69999999999999</v>
      </c>
      <c r="K59" s="6">
        <v>161.1</v>
      </c>
      <c r="L59" s="6">
        <v>114.1</v>
      </c>
      <c r="M59" s="6">
        <v>105.1</v>
      </c>
      <c r="N59" s="6">
        <v>114.6</v>
      </c>
      <c r="O59" s="6">
        <v>115.8</v>
      </c>
      <c r="P59" s="6">
        <v>121.7</v>
      </c>
      <c r="Q59" s="6">
        <v>125.3</v>
      </c>
      <c r="R59" s="6">
        <v>118.8</v>
      </c>
      <c r="S59" s="6">
        <v>120.9</v>
      </c>
      <c r="T59" s="6">
        <v>118.8</v>
      </c>
      <c r="U59" s="6">
        <v>120.7</v>
      </c>
      <c r="V59" s="6">
        <v>115.15</v>
      </c>
      <c r="W59" s="6">
        <v>115.4</v>
      </c>
      <c r="X59" s="6">
        <v>115.9</v>
      </c>
      <c r="Y59" s="6">
        <v>114</v>
      </c>
      <c r="Z59" s="6">
        <v>113.2</v>
      </c>
      <c r="AA59" s="6">
        <v>112.2</v>
      </c>
      <c r="AB59" s="6">
        <v>116.2</v>
      </c>
      <c r="AC59" s="6">
        <v>109.4</v>
      </c>
      <c r="AD59" s="6">
        <v>113.5</v>
      </c>
      <c r="AE59" s="6">
        <v>120.7</v>
      </c>
      <c r="AF59" s="6" t="str">
        <f t="shared" si="1"/>
        <v>Pre Covid</v>
      </c>
      <c r="AG59" s="6"/>
    </row>
    <row r="60" spans="1:33">
      <c r="A60" s="4" t="s">
        <v>32</v>
      </c>
      <c r="B60" s="4">
        <v>2014</v>
      </c>
      <c r="C60" s="4" t="s">
        <v>40</v>
      </c>
      <c r="D60" s="4">
        <f t="shared" si="0"/>
        <v>8</v>
      </c>
      <c r="E60" s="4">
        <v>124.8</v>
      </c>
      <c r="F60" s="4">
        <v>127.3</v>
      </c>
      <c r="G60" s="4">
        <v>116.5</v>
      </c>
      <c r="H60" s="4">
        <v>122.2</v>
      </c>
      <c r="I60" s="4">
        <v>103.6</v>
      </c>
      <c r="J60" s="4">
        <v>132.69999999999999</v>
      </c>
      <c r="K60" s="4">
        <v>181.9</v>
      </c>
      <c r="L60" s="4">
        <v>115.2</v>
      </c>
      <c r="M60" s="4">
        <v>102.7</v>
      </c>
      <c r="N60" s="4">
        <v>122.1</v>
      </c>
      <c r="O60" s="4">
        <v>114.4</v>
      </c>
      <c r="P60" s="4">
        <v>124.7</v>
      </c>
      <c r="Q60" s="4">
        <v>128.9</v>
      </c>
      <c r="R60" s="4">
        <v>123</v>
      </c>
      <c r="S60" s="4">
        <v>118.6</v>
      </c>
      <c r="T60" s="4">
        <v>114.1</v>
      </c>
      <c r="U60" s="4">
        <v>117.9</v>
      </c>
      <c r="V60" s="4">
        <v>115.5</v>
      </c>
      <c r="W60" s="4">
        <v>111.8</v>
      </c>
      <c r="X60" s="4">
        <v>115.3</v>
      </c>
      <c r="Y60" s="4">
        <v>112.2</v>
      </c>
      <c r="Z60" s="4">
        <v>112.5</v>
      </c>
      <c r="AA60" s="4">
        <v>112.9</v>
      </c>
      <c r="AB60" s="4">
        <v>119.2</v>
      </c>
      <c r="AC60" s="4">
        <v>110.5</v>
      </c>
      <c r="AD60" s="4">
        <v>113.9</v>
      </c>
      <c r="AE60" s="4">
        <v>119.9</v>
      </c>
      <c r="AF60" s="4" t="str">
        <f t="shared" si="1"/>
        <v>Pre Covid</v>
      </c>
      <c r="AG60" s="4"/>
    </row>
    <row r="61" spans="1:33">
      <c r="A61" s="6" t="s">
        <v>33</v>
      </c>
      <c r="B61" s="6">
        <v>2014</v>
      </c>
      <c r="C61" s="6" t="s">
        <v>40</v>
      </c>
      <c r="D61" s="6">
        <f t="shared" si="0"/>
        <v>8</v>
      </c>
      <c r="E61" s="6">
        <v>122.7</v>
      </c>
      <c r="F61" s="6">
        <v>124.4</v>
      </c>
      <c r="G61" s="6">
        <v>117.3</v>
      </c>
      <c r="H61" s="6">
        <v>122</v>
      </c>
      <c r="I61" s="6">
        <v>108</v>
      </c>
      <c r="J61" s="6">
        <v>131.1</v>
      </c>
      <c r="K61" s="6">
        <v>168.2</v>
      </c>
      <c r="L61" s="6">
        <v>114.5</v>
      </c>
      <c r="M61" s="6">
        <v>104.3</v>
      </c>
      <c r="N61" s="6">
        <v>117.1</v>
      </c>
      <c r="O61" s="6">
        <v>115.2</v>
      </c>
      <c r="P61" s="6">
        <v>123.1</v>
      </c>
      <c r="Q61" s="6">
        <v>126.6</v>
      </c>
      <c r="R61" s="6">
        <v>119.9</v>
      </c>
      <c r="S61" s="6">
        <v>120</v>
      </c>
      <c r="T61" s="6">
        <v>116.8</v>
      </c>
      <c r="U61" s="6">
        <v>119.6</v>
      </c>
      <c r="V61" s="6">
        <v>115.5</v>
      </c>
      <c r="W61" s="6">
        <v>114</v>
      </c>
      <c r="X61" s="6">
        <v>115.6</v>
      </c>
      <c r="Y61" s="6">
        <v>113.3</v>
      </c>
      <c r="Z61" s="6">
        <v>112.8</v>
      </c>
      <c r="AA61" s="6">
        <v>112.6</v>
      </c>
      <c r="AB61" s="6">
        <v>118</v>
      </c>
      <c r="AC61" s="6">
        <v>109.9</v>
      </c>
      <c r="AD61" s="6">
        <v>113.7</v>
      </c>
      <c r="AE61" s="6">
        <v>120.3</v>
      </c>
      <c r="AF61" s="6" t="str">
        <f t="shared" si="1"/>
        <v>Pre Covid</v>
      </c>
      <c r="AG61" s="6"/>
    </row>
    <row r="62" spans="1:33">
      <c r="A62" s="4" t="s">
        <v>30</v>
      </c>
      <c r="B62" s="4">
        <v>2014</v>
      </c>
      <c r="C62" s="4" t="s">
        <v>41</v>
      </c>
      <c r="D62" s="4">
        <f t="shared" si="0"/>
        <v>9</v>
      </c>
      <c r="E62" s="4">
        <v>122.3</v>
      </c>
      <c r="F62" s="4">
        <v>122.4</v>
      </c>
      <c r="G62" s="4">
        <v>117.8</v>
      </c>
      <c r="H62" s="4">
        <v>122.7</v>
      </c>
      <c r="I62" s="4">
        <v>110.4</v>
      </c>
      <c r="J62" s="4">
        <v>129.80000000000001</v>
      </c>
      <c r="K62" s="4">
        <v>158.80000000000001</v>
      </c>
      <c r="L62" s="4">
        <v>115</v>
      </c>
      <c r="M62" s="4">
        <v>104.7</v>
      </c>
      <c r="N62" s="4">
        <v>114.9</v>
      </c>
      <c r="O62" s="4">
        <v>116.5</v>
      </c>
      <c r="P62" s="4">
        <v>122.6</v>
      </c>
      <c r="Q62" s="4">
        <v>125.3</v>
      </c>
      <c r="R62" s="4">
        <v>119.5</v>
      </c>
      <c r="S62" s="4">
        <v>121.7</v>
      </c>
      <c r="T62" s="4">
        <v>119.2</v>
      </c>
      <c r="U62" s="4">
        <v>121.3</v>
      </c>
      <c r="V62" s="4">
        <v>116.4</v>
      </c>
      <c r="W62" s="4">
        <v>115.8</v>
      </c>
      <c r="X62" s="4">
        <v>116.7</v>
      </c>
      <c r="Y62" s="4">
        <v>114.5</v>
      </c>
      <c r="Z62" s="4">
        <v>112.8</v>
      </c>
      <c r="AA62" s="4">
        <v>112.6</v>
      </c>
      <c r="AB62" s="4">
        <v>116.6</v>
      </c>
      <c r="AC62" s="4">
        <v>109.1</v>
      </c>
      <c r="AD62" s="4">
        <v>113.7</v>
      </c>
      <c r="AE62" s="4">
        <v>120.9</v>
      </c>
      <c r="AF62" s="4" t="str">
        <f t="shared" si="1"/>
        <v>Pre Covid</v>
      </c>
      <c r="AG62" s="4"/>
    </row>
    <row r="63" spans="1:33">
      <c r="A63" s="6" t="s">
        <v>32</v>
      </c>
      <c r="B63" s="6">
        <v>2014</v>
      </c>
      <c r="C63" s="6" t="s">
        <v>41</v>
      </c>
      <c r="D63" s="6">
        <f t="shared" si="0"/>
        <v>9</v>
      </c>
      <c r="E63" s="6">
        <v>124.2</v>
      </c>
      <c r="F63" s="6">
        <v>125.4</v>
      </c>
      <c r="G63" s="6">
        <v>116.4</v>
      </c>
      <c r="H63" s="6">
        <v>122.7</v>
      </c>
      <c r="I63" s="6">
        <v>103.5</v>
      </c>
      <c r="J63" s="6">
        <v>124.5</v>
      </c>
      <c r="K63" s="6">
        <v>168.6</v>
      </c>
      <c r="L63" s="6">
        <v>116.9</v>
      </c>
      <c r="M63" s="6">
        <v>101.9</v>
      </c>
      <c r="N63" s="6">
        <v>122.9</v>
      </c>
      <c r="O63" s="6">
        <v>114.8</v>
      </c>
      <c r="P63" s="6">
        <v>125.2</v>
      </c>
      <c r="Q63" s="6">
        <v>126.7</v>
      </c>
      <c r="R63" s="6">
        <v>124.3</v>
      </c>
      <c r="S63" s="6">
        <v>119.2</v>
      </c>
      <c r="T63" s="6">
        <v>114.5</v>
      </c>
      <c r="U63" s="6">
        <v>118.4</v>
      </c>
      <c r="V63" s="6">
        <v>116.1</v>
      </c>
      <c r="W63" s="6">
        <v>111.8</v>
      </c>
      <c r="X63" s="6">
        <v>115.5</v>
      </c>
      <c r="Y63" s="6">
        <v>112.3</v>
      </c>
      <c r="Z63" s="6">
        <v>111.2</v>
      </c>
      <c r="AA63" s="6">
        <v>113.4</v>
      </c>
      <c r="AB63" s="6">
        <v>120</v>
      </c>
      <c r="AC63" s="6">
        <v>110</v>
      </c>
      <c r="AD63" s="6">
        <v>113.6</v>
      </c>
      <c r="AE63" s="6">
        <v>119.2</v>
      </c>
      <c r="AF63" s="6" t="str">
        <f t="shared" si="1"/>
        <v>Pre Covid</v>
      </c>
      <c r="AG63" s="6"/>
    </row>
    <row r="64" spans="1:33">
      <c r="A64" s="4" t="s">
        <v>33</v>
      </c>
      <c r="B64" s="4">
        <v>2014</v>
      </c>
      <c r="C64" s="4" t="s">
        <v>41</v>
      </c>
      <c r="D64" s="4">
        <f t="shared" si="0"/>
        <v>9</v>
      </c>
      <c r="E64" s="4">
        <v>122.9</v>
      </c>
      <c r="F64" s="4">
        <v>123.5</v>
      </c>
      <c r="G64" s="4">
        <v>117.3</v>
      </c>
      <c r="H64" s="4">
        <v>122.7</v>
      </c>
      <c r="I64" s="4">
        <v>107.9</v>
      </c>
      <c r="J64" s="4">
        <v>127.3</v>
      </c>
      <c r="K64" s="4">
        <v>162.1</v>
      </c>
      <c r="L64" s="4">
        <v>115.6</v>
      </c>
      <c r="M64" s="4">
        <v>103.8</v>
      </c>
      <c r="N64" s="4">
        <v>117.6</v>
      </c>
      <c r="O64" s="4">
        <v>115.8</v>
      </c>
      <c r="P64" s="4">
        <v>123.8</v>
      </c>
      <c r="Q64" s="4">
        <v>125.8</v>
      </c>
      <c r="R64" s="4">
        <v>120.8</v>
      </c>
      <c r="S64" s="4">
        <v>120.7</v>
      </c>
      <c r="T64" s="4">
        <v>117.2</v>
      </c>
      <c r="U64" s="4">
        <v>120.1</v>
      </c>
      <c r="V64" s="4">
        <v>116.1</v>
      </c>
      <c r="W64" s="4">
        <v>114.3</v>
      </c>
      <c r="X64" s="4">
        <v>116.1</v>
      </c>
      <c r="Y64" s="4">
        <v>113.7</v>
      </c>
      <c r="Z64" s="4">
        <v>112</v>
      </c>
      <c r="AA64" s="4">
        <v>113.1</v>
      </c>
      <c r="AB64" s="4">
        <v>118.6</v>
      </c>
      <c r="AC64" s="4">
        <v>109.5</v>
      </c>
      <c r="AD64" s="4">
        <v>113.7</v>
      </c>
      <c r="AE64" s="4">
        <v>120.1</v>
      </c>
      <c r="AF64" s="4" t="str">
        <f t="shared" si="1"/>
        <v>Pre Covid</v>
      </c>
      <c r="AG64" s="4"/>
    </row>
    <row r="65" spans="1:33">
      <c r="A65" s="6" t="s">
        <v>30</v>
      </c>
      <c r="B65" s="6">
        <v>2014</v>
      </c>
      <c r="C65" s="6" t="s">
        <v>42</v>
      </c>
      <c r="D65" s="6">
        <f t="shared" si="0"/>
        <v>10</v>
      </c>
      <c r="E65" s="6">
        <v>122.6</v>
      </c>
      <c r="F65" s="6">
        <v>122.5</v>
      </c>
      <c r="G65" s="6">
        <v>118.3</v>
      </c>
      <c r="H65" s="6">
        <v>123.2</v>
      </c>
      <c r="I65" s="6">
        <v>110.5</v>
      </c>
      <c r="J65" s="6">
        <v>128.9</v>
      </c>
      <c r="K65" s="6">
        <v>155.30000000000001</v>
      </c>
      <c r="L65" s="6">
        <v>115.5</v>
      </c>
      <c r="M65" s="6">
        <v>104</v>
      </c>
      <c r="N65" s="6">
        <v>115.3</v>
      </c>
      <c r="O65" s="6">
        <v>116.8</v>
      </c>
      <c r="P65" s="6">
        <v>123.2</v>
      </c>
      <c r="Q65" s="6">
        <v>125.1</v>
      </c>
      <c r="R65" s="6">
        <v>120</v>
      </c>
      <c r="S65" s="6">
        <v>122.7</v>
      </c>
      <c r="T65" s="6">
        <v>120.3</v>
      </c>
      <c r="U65" s="6">
        <v>122.3</v>
      </c>
      <c r="V65" s="6">
        <v>116.4</v>
      </c>
      <c r="W65" s="6">
        <v>116.4</v>
      </c>
      <c r="X65" s="6">
        <v>117.5</v>
      </c>
      <c r="Y65" s="6">
        <v>115.3</v>
      </c>
      <c r="Z65" s="6">
        <v>112.6</v>
      </c>
      <c r="AA65" s="6">
        <v>113</v>
      </c>
      <c r="AB65" s="6">
        <v>116.9</v>
      </c>
      <c r="AC65" s="6">
        <v>109.3</v>
      </c>
      <c r="AD65" s="6">
        <v>114</v>
      </c>
      <c r="AE65" s="6">
        <v>121</v>
      </c>
      <c r="AF65" s="6" t="str">
        <f t="shared" si="1"/>
        <v>Pre Covid</v>
      </c>
      <c r="AG65" s="6"/>
    </row>
    <row r="66" spans="1:33">
      <c r="A66" s="4" t="s">
        <v>32</v>
      </c>
      <c r="B66" s="4">
        <v>2014</v>
      </c>
      <c r="C66" s="4" t="s">
        <v>42</v>
      </c>
      <c r="D66" s="4">
        <f t="shared" si="0"/>
        <v>10</v>
      </c>
      <c r="E66" s="4">
        <v>124.6</v>
      </c>
      <c r="F66" s="4">
        <v>126.1</v>
      </c>
      <c r="G66" s="4">
        <v>117.8</v>
      </c>
      <c r="H66" s="4">
        <v>123.1</v>
      </c>
      <c r="I66" s="4">
        <v>103.5</v>
      </c>
      <c r="J66" s="4">
        <v>123.5</v>
      </c>
      <c r="K66" s="4">
        <v>159.6</v>
      </c>
      <c r="L66" s="4">
        <v>117.4</v>
      </c>
      <c r="M66" s="4">
        <v>101.2</v>
      </c>
      <c r="N66" s="4">
        <v>123.8</v>
      </c>
      <c r="O66" s="4">
        <v>115.2</v>
      </c>
      <c r="P66" s="4">
        <v>125.9</v>
      </c>
      <c r="Q66" s="4">
        <v>125.8</v>
      </c>
      <c r="R66" s="4">
        <v>124.3</v>
      </c>
      <c r="S66" s="4">
        <v>119.6</v>
      </c>
      <c r="T66" s="4">
        <v>114.9</v>
      </c>
      <c r="U66" s="4">
        <v>118.9</v>
      </c>
      <c r="V66" s="4">
        <v>116.7</v>
      </c>
      <c r="W66" s="4">
        <v>112</v>
      </c>
      <c r="X66" s="4">
        <v>115.8</v>
      </c>
      <c r="Y66" s="4">
        <v>112.6</v>
      </c>
      <c r="Z66" s="4">
        <v>111</v>
      </c>
      <c r="AA66" s="4">
        <v>113.6</v>
      </c>
      <c r="AB66" s="4">
        <v>120.2</v>
      </c>
      <c r="AC66" s="4">
        <v>110.1</v>
      </c>
      <c r="AD66" s="4">
        <v>113.7</v>
      </c>
      <c r="AE66" s="4">
        <v>119.1</v>
      </c>
      <c r="AF66" s="4" t="str">
        <f t="shared" si="1"/>
        <v>Pre Covid</v>
      </c>
      <c r="AG66" s="4"/>
    </row>
    <row r="67" spans="1:33">
      <c r="A67" s="6" t="s">
        <v>33</v>
      </c>
      <c r="B67" s="6">
        <v>2014</v>
      </c>
      <c r="C67" s="6" t="s">
        <v>42</v>
      </c>
      <c r="D67" s="6">
        <f t="shared" ref="D67:D130" si="2">MONTH(DATEVALUE(C67 &amp; " 1"))</f>
        <v>10</v>
      </c>
      <c r="E67" s="6">
        <v>123.2</v>
      </c>
      <c r="F67" s="6">
        <v>123.8</v>
      </c>
      <c r="G67" s="6">
        <v>118.1</v>
      </c>
      <c r="H67" s="6">
        <v>123.2</v>
      </c>
      <c r="I67" s="6">
        <v>107.9</v>
      </c>
      <c r="J67" s="6">
        <v>126.4</v>
      </c>
      <c r="K67" s="6">
        <v>156.80000000000001</v>
      </c>
      <c r="L67" s="6">
        <v>116.1</v>
      </c>
      <c r="M67" s="6">
        <v>103.1</v>
      </c>
      <c r="N67" s="6">
        <v>118.1</v>
      </c>
      <c r="O67" s="6">
        <v>116.1</v>
      </c>
      <c r="P67" s="6">
        <v>124.5</v>
      </c>
      <c r="Q67" s="6">
        <v>125.4</v>
      </c>
      <c r="R67" s="6">
        <v>121.1</v>
      </c>
      <c r="S67" s="6">
        <v>121.5</v>
      </c>
      <c r="T67" s="6">
        <v>118.1</v>
      </c>
      <c r="U67" s="6">
        <v>121</v>
      </c>
      <c r="V67" s="6">
        <v>116.7</v>
      </c>
      <c r="W67" s="6">
        <v>114.7</v>
      </c>
      <c r="X67" s="6">
        <v>116.7</v>
      </c>
      <c r="Y67" s="6">
        <v>114.3</v>
      </c>
      <c r="Z67" s="6">
        <v>111.8</v>
      </c>
      <c r="AA67" s="6">
        <v>113.3</v>
      </c>
      <c r="AB67" s="6">
        <v>118.8</v>
      </c>
      <c r="AC67" s="6">
        <v>109.6</v>
      </c>
      <c r="AD67" s="6">
        <v>113.9</v>
      </c>
      <c r="AE67" s="6">
        <v>120.1</v>
      </c>
      <c r="AF67" s="6" t="str">
        <f t="shared" ref="AF67:AF130" si="3">IF(AND(B67=2020,D67&lt;4),"Pre Covid",IF(B67&lt;2020,"Pre Covid","Post Covid"))</f>
        <v>Pre Covid</v>
      </c>
      <c r="AG67" s="6"/>
    </row>
    <row r="68" spans="1:33">
      <c r="A68" s="4" t="s">
        <v>30</v>
      </c>
      <c r="B68" s="4">
        <v>2014</v>
      </c>
      <c r="C68" s="4" t="s">
        <v>43</v>
      </c>
      <c r="D68" s="4">
        <f t="shared" si="2"/>
        <v>11</v>
      </c>
      <c r="E68" s="4">
        <v>122.7</v>
      </c>
      <c r="F68" s="4">
        <v>122.6</v>
      </c>
      <c r="G68" s="4">
        <v>119.9</v>
      </c>
      <c r="H68" s="4">
        <v>124</v>
      </c>
      <c r="I68" s="4">
        <v>110.5</v>
      </c>
      <c r="J68" s="4">
        <v>128.80000000000001</v>
      </c>
      <c r="K68" s="4">
        <v>152</v>
      </c>
      <c r="L68" s="4">
        <v>116.2</v>
      </c>
      <c r="M68" s="4">
        <v>103.3</v>
      </c>
      <c r="N68" s="4">
        <v>115.8</v>
      </c>
      <c r="O68" s="4">
        <v>116.8</v>
      </c>
      <c r="P68" s="4">
        <v>124.5</v>
      </c>
      <c r="Q68" s="4">
        <v>124.9</v>
      </c>
      <c r="R68" s="4">
        <v>120.8</v>
      </c>
      <c r="S68" s="4">
        <v>123.3</v>
      </c>
      <c r="T68" s="4">
        <v>120.5</v>
      </c>
      <c r="U68" s="4">
        <v>122.9</v>
      </c>
      <c r="V68" s="4">
        <v>116.8</v>
      </c>
      <c r="W68" s="4">
        <v>117.3</v>
      </c>
      <c r="X68" s="4">
        <v>118.1</v>
      </c>
      <c r="Y68" s="4">
        <v>115.9</v>
      </c>
      <c r="Z68" s="4">
        <v>112</v>
      </c>
      <c r="AA68" s="4">
        <v>113.3</v>
      </c>
      <c r="AB68" s="4">
        <v>117.2</v>
      </c>
      <c r="AC68" s="4">
        <v>108.8</v>
      </c>
      <c r="AD68" s="4">
        <v>114.1</v>
      </c>
      <c r="AE68" s="4">
        <v>121.1</v>
      </c>
      <c r="AF68" s="4" t="str">
        <f t="shared" si="3"/>
        <v>Pre Covid</v>
      </c>
      <c r="AG68" s="4"/>
    </row>
    <row r="69" spans="1:33">
      <c r="A69" s="6" t="s">
        <v>32</v>
      </c>
      <c r="B69" s="6">
        <v>2014</v>
      </c>
      <c r="C69" s="6" t="s">
        <v>43</v>
      </c>
      <c r="D69" s="6">
        <f t="shared" si="2"/>
        <v>11</v>
      </c>
      <c r="E69" s="6">
        <v>124.5</v>
      </c>
      <c r="F69" s="6">
        <v>125.6</v>
      </c>
      <c r="G69" s="6">
        <v>122.7</v>
      </c>
      <c r="H69" s="6">
        <v>124.6</v>
      </c>
      <c r="I69" s="6">
        <v>103.2</v>
      </c>
      <c r="J69" s="6">
        <v>122.2</v>
      </c>
      <c r="K69" s="6">
        <v>153.19999999999999</v>
      </c>
      <c r="L69" s="6">
        <v>119.3</v>
      </c>
      <c r="M69" s="6">
        <v>99.8</v>
      </c>
      <c r="N69" s="6">
        <v>124.6</v>
      </c>
      <c r="O69" s="6">
        <v>115.8</v>
      </c>
      <c r="P69" s="6">
        <v>126.9</v>
      </c>
      <c r="Q69" s="6">
        <v>125.4</v>
      </c>
      <c r="R69" s="6">
        <v>125.8</v>
      </c>
      <c r="S69" s="6">
        <v>120.3</v>
      </c>
      <c r="T69" s="6">
        <v>115.4</v>
      </c>
      <c r="U69" s="6">
        <v>119.5</v>
      </c>
      <c r="V69" s="6">
        <v>117.1</v>
      </c>
      <c r="W69" s="6">
        <v>112.6</v>
      </c>
      <c r="X69" s="6">
        <v>116.4</v>
      </c>
      <c r="Y69" s="6">
        <v>113</v>
      </c>
      <c r="Z69" s="6">
        <v>109.7</v>
      </c>
      <c r="AA69" s="6">
        <v>114</v>
      </c>
      <c r="AB69" s="6">
        <v>120.3</v>
      </c>
      <c r="AC69" s="6">
        <v>109.6</v>
      </c>
      <c r="AD69" s="6">
        <v>113.4</v>
      </c>
      <c r="AE69" s="6">
        <v>119</v>
      </c>
      <c r="AF69" s="6" t="str">
        <f t="shared" si="3"/>
        <v>Pre Covid</v>
      </c>
      <c r="AG69" s="6"/>
    </row>
    <row r="70" spans="1:33">
      <c r="A70" s="4" t="s">
        <v>33</v>
      </c>
      <c r="B70" s="4">
        <v>2014</v>
      </c>
      <c r="C70" s="4" t="s">
        <v>43</v>
      </c>
      <c r="D70" s="4">
        <f t="shared" si="2"/>
        <v>11</v>
      </c>
      <c r="E70" s="4">
        <v>123.3</v>
      </c>
      <c r="F70" s="4">
        <v>123.7</v>
      </c>
      <c r="G70" s="4">
        <v>121</v>
      </c>
      <c r="H70" s="4">
        <v>124.2</v>
      </c>
      <c r="I70" s="4">
        <v>107.8</v>
      </c>
      <c r="J70" s="4">
        <v>125.7</v>
      </c>
      <c r="K70" s="4">
        <v>152.4</v>
      </c>
      <c r="L70" s="4">
        <v>117.2</v>
      </c>
      <c r="M70" s="4">
        <v>102.1</v>
      </c>
      <c r="N70" s="4">
        <v>118.7</v>
      </c>
      <c r="O70" s="4">
        <v>116.4</v>
      </c>
      <c r="P70" s="4">
        <v>125.6</v>
      </c>
      <c r="Q70" s="4">
        <v>125.1</v>
      </c>
      <c r="R70" s="4">
        <v>122.1</v>
      </c>
      <c r="S70" s="4">
        <v>122.1</v>
      </c>
      <c r="T70" s="4">
        <v>118.4</v>
      </c>
      <c r="U70" s="4">
        <v>121.6</v>
      </c>
      <c r="V70" s="4">
        <v>117.1</v>
      </c>
      <c r="W70" s="4">
        <v>115.5</v>
      </c>
      <c r="X70" s="4">
        <v>117.3</v>
      </c>
      <c r="Y70" s="4">
        <v>114.8</v>
      </c>
      <c r="Z70" s="4">
        <v>110.8</v>
      </c>
      <c r="AA70" s="4">
        <v>113.7</v>
      </c>
      <c r="AB70" s="4">
        <v>119</v>
      </c>
      <c r="AC70" s="4">
        <v>109.1</v>
      </c>
      <c r="AD70" s="4">
        <v>113.8</v>
      </c>
      <c r="AE70" s="4">
        <v>120.1</v>
      </c>
      <c r="AF70" s="4" t="str">
        <f t="shared" si="3"/>
        <v>Pre Covid</v>
      </c>
      <c r="AG70" s="4"/>
    </row>
    <row r="71" spans="1:33">
      <c r="A71" s="6" t="s">
        <v>30</v>
      </c>
      <c r="B71" s="6">
        <v>2014</v>
      </c>
      <c r="C71" s="6" t="s">
        <v>44</v>
      </c>
      <c r="D71" s="6">
        <f t="shared" si="2"/>
        <v>12</v>
      </c>
      <c r="E71" s="6">
        <v>122.4</v>
      </c>
      <c r="F71" s="6">
        <v>122.4</v>
      </c>
      <c r="G71" s="6">
        <v>121.8</v>
      </c>
      <c r="H71" s="6">
        <v>124.2</v>
      </c>
      <c r="I71" s="6">
        <v>110.2</v>
      </c>
      <c r="J71" s="6">
        <v>128.6</v>
      </c>
      <c r="K71" s="6">
        <v>140.30000000000001</v>
      </c>
      <c r="L71" s="6">
        <v>116.3</v>
      </c>
      <c r="M71" s="6">
        <v>102</v>
      </c>
      <c r="N71" s="6">
        <v>116</v>
      </c>
      <c r="O71" s="6">
        <v>117.3</v>
      </c>
      <c r="P71" s="6">
        <v>124.8</v>
      </c>
      <c r="Q71" s="6">
        <v>123.3</v>
      </c>
      <c r="R71" s="6">
        <v>121.7</v>
      </c>
      <c r="S71" s="6">
        <v>123.8</v>
      </c>
      <c r="T71" s="6">
        <v>120.6</v>
      </c>
      <c r="U71" s="6">
        <v>123.3</v>
      </c>
      <c r="V71" s="6">
        <v>116.8</v>
      </c>
      <c r="W71" s="6">
        <v>117.4</v>
      </c>
      <c r="X71" s="6">
        <v>118.2</v>
      </c>
      <c r="Y71" s="6">
        <v>116.2</v>
      </c>
      <c r="Z71" s="6">
        <v>111.5</v>
      </c>
      <c r="AA71" s="6">
        <v>113.3</v>
      </c>
      <c r="AB71" s="6">
        <v>117.7</v>
      </c>
      <c r="AC71" s="6">
        <v>109.4</v>
      </c>
      <c r="AD71" s="6">
        <v>114.2</v>
      </c>
      <c r="AE71" s="6">
        <v>120.3</v>
      </c>
      <c r="AF71" s="6" t="str">
        <f t="shared" si="3"/>
        <v>Pre Covid</v>
      </c>
      <c r="AG71" s="6"/>
    </row>
    <row r="72" spans="1:33">
      <c r="A72" s="4" t="s">
        <v>32</v>
      </c>
      <c r="B72" s="4">
        <v>2014</v>
      </c>
      <c r="C72" s="4" t="s">
        <v>44</v>
      </c>
      <c r="D72" s="4">
        <f t="shared" si="2"/>
        <v>12</v>
      </c>
      <c r="E72" s="4">
        <v>124</v>
      </c>
      <c r="F72" s="4">
        <v>124.7</v>
      </c>
      <c r="G72" s="4">
        <v>126.3</v>
      </c>
      <c r="H72" s="4">
        <v>124.9</v>
      </c>
      <c r="I72" s="4">
        <v>103</v>
      </c>
      <c r="J72" s="4">
        <v>122.3</v>
      </c>
      <c r="K72" s="4">
        <v>141</v>
      </c>
      <c r="L72" s="4">
        <v>120.1</v>
      </c>
      <c r="M72" s="4">
        <v>97.8</v>
      </c>
      <c r="N72" s="4">
        <v>125.4</v>
      </c>
      <c r="O72" s="4">
        <v>116.1</v>
      </c>
      <c r="P72" s="4">
        <v>127.6</v>
      </c>
      <c r="Q72" s="4">
        <v>124</v>
      </c>
      <c r="R72" s="4">
        <v>126.4</v>
      </c>
      <c r="S72" s="4">
        <v>120.7</v>
      </c>
      <c r="T72" s="4">
        <v>115.8</v>
      </c>
      <c r="U72" s="4">
        <v>120</v>
      </c>
      <c r="V72" s="4">
        <v>116.5</v>
      </c>
      <c r="W72" s="4">
        <v>113</v>
      </c>
      <c r="X72" s="4">
        <v>116.8</v>
      </c>
      <c r="Y72" s="4">
        <v>113.2</v>
      </c>
      <c r="Z72" s="4">
        <v>108.8</v>
      </c>
      <c r="AA72" s="4">
        <v>114.3</v>
      </c>
      <c r="AB72" s="4">
        <v>120.7</v>
      </c>
      <c r="AC72" s="4">
        <v>110.4</v>
      </c>
      <c r="AD72" s="4">
        <v>113.4</v>
      </c>
      <c r="AE72" s="4">
        <v>118.4</v>
      </c>
      <c r="AF72" s="4" t="str">
        <f t="shared" si="3"/>
        <v>Pre Covid</v>
      </c>
      <c r="AG72" s="4"/>
    </row>
    <row r="73" spans="1:33">
      <c r="A73" s="6" t="s">
        <v>33</v>
      </c>
      <c r="B73" s="6">
        <v>2014</v>
      </c>
      <c r="C73" s="6" t="s">
        <v>44</v>
      </c>
      <c r="D73" s="6">
        <f t="shared" si="2"/>
        <v>12</v>
      </c>
      <c r="E73" s="6">
        <v>122.9</v>
      </c>
      <c r="F73" s="6">
        <v>123.2</v>
      </c>
      <c r="G73" s="6">
        <v>123.5</v>
      </c>
      <c r="H73" s="6">
        <v>124.5</v>
      </c>
      <c r="I73" s="6">
        <v>107.6</v>
      </c>
      <c r="J73" s="6">
        <v>125.7</v>
      </c>
      <c r="K73" s="6">
        <v>140.5</v>
      </c>
      <c r="L73" s="6">
        <v>117.6</v>
      </c>
      <c r="M73" s="6">
        <v>100.6</v>
      </c>
      <c r="N73" s="6">
        <v>119.1</v>
      </c>
      <c r="O73" s="6">
        <v>116.8</v>
      </c>
      <c r="P73" s="6">
        <v>126.1</v>
      </c>
      <c r="Q73" s="6">
        <v>123.6</v>
      </c>
      <c r="R73" s="6">
        <v>123</v>
      </c>
      <c r="S73" s="6">
        <v>122.6</v>
      </c>
      <c r="T73" s="6">
        <v>118.6</v>
      </c>
      <c r="U73" s="6">
        <v>122</v>
      </c>
      <c r="V73" s="6">
        <v>116.5</v>
      </c>
      <c r="W73" s="6">
        <v>115.7</v>
      </c>
      <c r="X73" s="6">
        <v>117.5</v>
      </c>
      <c r="Y73" s="6">
        <v>115.1</v>
      </c>
      <c r="Z73" s="6">
        <v>110.1</v>
      </c>
      <c r="AA73" s="6">
        <v>113.9</v>
      </c>
      <c r="AB73" s="6">
        <v>119.5</v>
      </c>
      <c r="AC73" s="6">
        <v>109.8</v>
      </c>
      <c r="AD73" s="6">
        <v>113.8</v>
      </c>
      <c r="AE73" s="6">
        <v>119.4</v>
      </c>
      <c r="AF73" s="6" t="str">
        <f t="shared" si="3"/>
        <v>Pre Covid</v>
      </c>
      <c r="AG73" s="6"/>
    </row>
    <row r="74" spans="1:33">
      <c r="A74" s="4" t="s">
        <v>30</v>
      </c>
      <c r="B74" s="4">
        <v>2015</v>
      </c>
      <c r="C74" s="4" t="s">
        <v>31</v>
      </c>
      <c r="D74" s="4">
        <f t="shared" si="2"/>
        <v>1</v>
      </c>
      <c r="E74" s="4">
        <v>123.1</v>
      </c>
      <c r="F74" s="4">
        <v>123.1</v>
      </c>
      <c r="G74" s="4">
        <v>122.1</v>
      </c>
      <c r="H74" s="4">
        <v>124.9</v>
      </c>
      <c r="I74" s="4">
        <v>111</v>
      </c>
      <c r="J74" s="4">
        <v>130.4</v>
      </c>
      <c r="K74" s="4">
        <v>132.30000000000001</v>
      </c>
      <c r="L74" s="4">
        <v>117.2</v>
      </c>
      <c r="M74" s="4">
        <v>100.5</v>
      </c>
      <c r="N74" s="4">
        <v>117.2</v>
      </c>
      <c r="O74" s="4">
        <v>117.9</v>
      </c>
      <c r="P74" s="4">
        <v>125.6</v>
      </c>
      <c r="Q74" s="4">
        <v>122.8</v>
      </c>
      <c r="R74" s="4">
        <v>122.7</v>
      </c>
      <c r="S74" s="4">
        <v>124.4</v>
      </c>
      <c r="T74" s="4">
        <v>121.6</v>
      </c>
      <c r="U74" s="4">
        <v>124</v>
      </c>
      <c r="V74" s="4">
        <v>117.7</v>
      </c>
      <c r="W74" s="4">
        <v>118.4</v>
      </c>
      <c r="X74" s="4">
        <v>118.9</v>
      </c>
      <c r="Y74" s="4">
        <v>116.6</v>
      </c>
      <c r="Z74" s="4">
        <v>111</v>
      </c>
      <c r="AA74" s="4">
        <v>114</v>
      </c>
      <c r="AB74" s="4">
        <v>118.2</v>
      </c>
      <c r="AC74" s="4">
        <v>110.2</v>
      </c>
      <c r="AD74" s="4">
        <v>114.5</v>
      </c>
      <c r="AE74" s="4">
        <v>120.3</v>
      </c>
      <c r="AF74" s="4" t="str">
        <f t="shared" si="3"/>
        <v>Pre Covid</v>
      </c>
      <c r="AG74" s="4"/>
    </row>
    <row r="75" spans="1:33">
      <c r="A75" s="6" t="s">
        <v>32</v>
      </c>
      <c r="B75" s="6">
        <v>2015</v>
      </c>
      <c r="C75" s="6" t="s">
        <v>31</v>
      </c>
      <c r="D75" s="6">
        <f t="shared" si="2"/>
        <v>1</v>
      </c>
      <c r="E75" s="6">
        <v>124</v>
      </c>
      <c r="F75" s="6">
        <v>125.5</v>
      </c>
      <c r="G75" s="6">
        <v>126.6</v>
      </c>
      <c r="H75" s="6">
        <v>125.2</v>
      </c>
      <c r="I75" s="6">
        <v>104.3</v>
      </c>
      <c r="J75" s="6">
        <v>121.3</v>
      </c>
      <c r="K75" s="6">
        <v>134.4</v>
      </c>
      <c r="L75" s="6">
        <v>122.9</v>
      </c>
      <c r="M75" s="6">
        <v>96.1</v>
      </c>
      <c r="N75" s="6">
        <v>126.6</v>
      </c>
      <c r="O75" s="6">
        <v>116.5</v>
      </c>
      <c r="P75" s="6">
        <v>128</v>
      </c>
      <c r="Q75" s="6">
        <v>123.5</v>
      </c>
      <c r="R75" s="6">
        <v>127.4</v>
      </c>
      <c r="S75" s="6">
        <v>121</v>
      </c>
      <c r="T75" s="6">
        <v>116.1</v>
      </c>
      <c r="U75" s="6">
        <v>120.2</v>
      </c>
      <c r="V75" s="6">
        <v>117.3</v>
      </c>
      <c r="W75" s="6">
        <v>113.4</v>
      </c>
      <c r="X75" s="6">
        <v>117.2</v>
      </c>
      <c r="Y75" s="6">
        <v>113.7</v>
      </c>
      <c r="Z75" s="6">
        <v>107.9</v>
      </c>
      <c r="AA75" s="6">
        <v>114.6</v>
      </c>
      <c r="AB75" s="6">
        <v>120.8</v>
      </c>
      <c r="AC75" s="6">
        <v>111.4</v>
      </c>
      <c r="AD75" s="6">
        <v>113.4</v>
      </c>
      <c r="AE75" s="6">
        <v>118.5</v>
      </c>
      <c r="AF75" s="6" t="str">
        <f t="shared" si="3"/>
        <v>Pre Covid</v>
      </c>
      <c r="AG75" s="6"/>
    </row>
    <row r="76" spans="1:33">
      <c r="A76" s="4" t="s">
        <v>33</v>
      </c>
      <c r="B76" s="4">
        <v>2015</v>
      </c>
      <c r="C76" s="4" t="s">
        <v>31</v>
      </c>
      <c r="D76" s="4">
        <f t="shared" si="2"/>
        <v>1</v>
      </c>
      <c r="E76" s="4">
        <v>123.4</v>
      </c>
      <c r="F76" s="4">
        <v>123.9</v>
      </c>
      <c r="G76" s="4">
        <v>123.8</v>
      </c>
      <c r="H76" s="4">
        <v>125</v>
      </c>
      <c r="I76" s="4">
        <v>108.5</v>
      </c>
      <c r="J76" s="4">
        <v>126.2</v>
      </c>
      <c r="K76" s="4">
        <v>133</v>
      </c>
      <c r="L76" s="4">
        <v>119.1</v>
      </c>
      <c r="M76" s="4">
        <v>99</v>
      </c>
      <c r="N76" s="4">
        <v>120.3</v>
      </c>
      <c r="O76" s="4">
        <v>117.3</v>
      </c>
      <c r="P76" s="4">
        <v>126.7</v>
      </c>
      <c r="Q76" s="4">
        <v>123.1</v>
      </c>
      <c r="R76" s="4">
        <v>124</v>
      </c>
      <c r="S76" s="4">
        <v>123.1</v>
      </c>
      <c r="T76" s="4">
        <v>119.3</v>
      </c>
      <c r="U76" s="4">
        <v>122.5</v>
      </c>
      <c r="V76" s="4">
        <v>117.3</v>
      </c>
      <c r="W76" s="4">
        <v>116.5</v>
      </c>
      <c r="X76" s="4">
        <v>118.1</v>
      </c>
      <c r="Y76" s="4">
        <v>115.5</v>
      </c>
      <c r="Z76" s="4">
        <v>109.4</v>
      </c>
      <c r="AA76" s="4">
        <v>114.3</v>
      </c>
      <c r="AB76" s="4">
        <v>119.7</v>
      </c>
      <c r="AC76" s="4">
        <v>110.7</v>
      </c>
      <c r="AD76" s="4">
        <v>114</v>
      </c>
      <c r="AE76" s="4">
        <v>119.5</v>
      </c>
      <c r="AF76" s="4" t="str">
        <f t="shared" si="3"/>
        <v>Pre Covid</v>
      </c>
      <c r="AG76" s="4"/>
    </row>
    <row r="77" spans="1:33">
      <c r="A77" s="6" t="s">
        <v>30</v>
      </c>
      <c r="B77" s="6">
        <v>2015</v>
      </c>
      <c r="C77" s="6" t="s">
        <v>34</v>
      </c>
      <c r="D77" s="6">
        <f t="shared" si="2"/>
        <v>2</v>
      </c>
      <c r="E77" s="6">
        <v>123.4</v>
      </c>
      <c r="F77" s="6">
        <v>124.4</v>
      </c>
      <c r="G77" s="6">
        <v>122.1</v>
      </c>
      <c r="H77" s="6">
        <v>125.8</v>
      </c>
      <c r="I77" s="6">
        <v>111.5</v>
      </c>
      <c r="J77" s="6">
        <v>129.4</v>
      </c>
      <c r="K77" s="6">
        <v>128.19999999999999</v>
      </c>
      <c r="L77" s="6">
        <v>118.8</v>
      </c>
      <c r="M77" s="6">
        <v>100</v>
      </c>
      <c r="N77" s="6">
        <v>118.6</v>
      </c>
      <c r="O77" s="6">
        <v>118.8</v>
      </c>
      <c r="P77" s="6">
        <v>126.8</v>
      </c>
      <c r="Q77" s="6">
        <v>122.8</v>
      </c>
      <c r="R77" s="6">
        <v>124.2</v>
      </c>
      <c r="S77" s="6">
        <v>125.4</v>
      </c>
      <c r="T77" s="6">
        <v>122.7</v>
      </c>
      <c r="U77" s="6">
        <v>125</v>
      </c>
      <c r="V77" s="6">
        <v>117.7</v>
      </c>
      <c r="W77" s="6">
        <v>120</v>
      </c>
      <c r="X77" s="6">
        <v>119.6</v>
      </c>
      <c r="Y77" s="6">
        <v>117.7</v>
      </c>
      <c r="Z77" s="6">
        <v>110.9</v>
      </c>
      <c r="AA77" s="6">
        <v>114.8</v>
      </c>
      <c r="AB77" s="6">
        <v>118.7</v>
      </c>
      <c r="AC77" s="6">
        <v>110.8</v>
      </c>
      <c r="AD77" s="6">
        <v>115</v>
      </c>
      <c r="AE77" s="6">
        <v>120.6</v>
      </c>
      <c r="AF77" s="6" t="str">
        <f t="shared" si="3"/>
        <v>Pre Covid</v>
      </c>
      <c r="AG77" s="6"/>
    </row>
    <row r="78" spans="1:33">
      <c r="A78" s="4" t="s">
        <v>32</v>
      </c>
      <c r="B78" s="4">
        <v>2015</v>
      </c>
      <c r="C78" s="4" t="s">
        <v>34</v>
      </c>
      <c r="D78" s="4">
        <f t="shared" si="2"/>
        <v>2</v>
      </c>
      <c r="E78" s="4">
        <v>124.3</v>
      </c>
      <c r="F78" s="4">
        <v>126.5</v>
      </c>
      <c r="G78" s="4">
        <v>119.5</v>
      </c>
      <c r="H78" s="4">
        <v>125.6</v>
      </c>
      <c r="I78" s="4">
        <v>104.9</v>
      </c>
      <c r="J78" s="4">
        <v>121.6</v>
      </c>
      <c r="K78" s="4">
        <v>131.80000000000001</v>
      </c>
      <c r="L78" s="4">
        <v>125.1</v>
      </c>
      <c r="M78" s="4">
        <v>95</v>
      </c>
      <c r="N78" s="4">
        <v>127.7</v>
      </c>
      <c r="O78" s="4">
        <v>116.8</v>
      </c>
      <c r="P78" s="4">
        <v>128.6</v>
      </c>
      <c r="Q78" s="4">
        <v>123.7</v>
      </c>
      <c r="R78" s="4">
        <v>128.1</v>
      </c>
      <c r="S78" s="4">
        <v>121.3</v>
      </c>
      <c r="T78" s="4">
        <v>116.5</v>
      </c>
      <c r="U78" s="4">
        <v>120.6</v>
      </c>
      <c r="V78" s="4">
        <v>118.1</v>
      </c>
      <c r="W78" s="4">
        <v>114</v>
      </c>
      <c r="X78" s="4">
        <v>117.7</v>
      </c>
      <c r="Y78" s="4">
        <v>114.1</v>
      </c>
      <c r="Z78" s="4">
        <v>106.8</v>
      </c>
      <c r="AA78" s="4">
        <v>114.9</v>
      </c>
      <c r="AB78" s="4">
        <v>120.4</v>
      </c>
      <c r="AC78" s="4">
        <v>111.7</v>
      </c>
      <c r="AD78" s="4">
        <v>113.2</v>
      </c>
      <c r="AE78" s="4">
        <v>118.7</v>
      </c>
      <c r="AF78" s="4" t="str">
        <f t="shared" si="3"/>
        <v>Pre Covid</v>
      </c>
      <c r="AG78" s="4"/>
    </row>
    <row r="79" spans="1:33">
      <c r="A79" s="6" t="s">
        <v>33</v>
      </c>
      <c r="B79" s="6">
        <v>2015</v>
      </c>
      <c r="C79" s="6" t="s">
        <v>34</v>
      </c>
      <c r="D79" s="6">
        <f t="shared" si="2"/>
        <v>2</v>
      </c>
      <c r="E79" s="6">
        <v>123.7</v>
      </c>
      <c r="F79" s="6">
        <v>125.1</v>
      </c>
      <c r="G79" s="6">
        <v>121.1</v>
      </c>
      <c r="H79" s="6">
        <v>125.7</v>
      </c>
      <c r="I79" s="6">
        <v>109.1</v>
      </c>
      <c r="J79" s="6">
        <v>125.8</v>
      </c>
      <c r="K79" s="6">
        <v>129.4</v>
      </c>
      <c r="L79" s="6">
        <v>120.9</v>
      </c>
      <c r="M79" s="6">
        <v>98.3</v>
      </c>
      <c r="N79" s="6">
        <v>121.6</v>
      </c>
      <c r="O79" s="6">
        <v>118</v>
      </c>
      <c r="P79" s="6">
        <v>127.6</v>
      </c>
      <c r="Q79" s="6">
        <v>123.1</v>
      </c>
      <c r="R79" s="6">
        <v>125.2</v>
      </c>
      <c r="S79" s="6">
        <v>123.8</v>
      </c>
      <c r="T79" s="6">
        <v>120.1</v>
      </c>
      <c r="U79" s="6">
        <v>123.3</v>
      </c>
      <c r="V79" s="6">
        <v>118.1</v>
      </c>
      <c r="W79" s="6">
        <v>117.7</v>
      </c>
      <c r="X79" s="6">
        <v>118.7</v>
      </c>
      <c r="Y79" s="6">
        <v>116.3</v>
      </c>
      <c r="Z79" s="6">
        <v>108.7</v>
      </c>
      <c r="AA79" s="6">
        <v>114.9</v>
      </c>
      <c r="AB79" s="6">
        <v>119.7</v>
      </c>
      <c r="AC79" s="6">
        <v>111.2</v>
      </c>
      <c r="AD79" s="6">
        <v>114.1</v>
      </c>
      <c r="AE79" s="6">
        <v>119.7</v>
      </c>
      <c r="AF79" s="6" t="str">
        <f t="shared" si="3"/>
        <v>Pre Covid</v>
      </c>
      <c r="AG79" s="6"/>
    </row>
    <row r="80" spans="1:33">
      <c r="A80" s="4" t="s">
        <v>30</v>
      </c>
      <c r="B80" s="4">
        <v>2015</v>
      </c>
      <c r="C80" s="4" t="s">
        <v>35</v>
      </c>
      <c r="D80" s="4">
        <f t="shared" si="2"/>
        <v>3</v>
      </c>
      <c r="E80" s="4">
        <v>123.3</v>
      </c>
      <c r="F80" s="4">
        <v>124.7</v>
      </c>
      <c r="G80" s="4">
        <v>118.9</v>
      </c>
      <c r="H80" s="4">
        <v>126</v>
      </c>
      <c r="I80" s="4">
        <v>111.8</v>
      </c>
      <c r="J80" s="4">
        <v>130.9</v>
      </c>
      <c r="K80" s="4">
        <v>128</v>
      </c>
      <c r="L80" s="4">
        <v>119.9</v>
      </c>
      <c r="M80" s="4">
        <v>98.9</v>
      </c>
      <c r="N80" s="4">
        <v>119.4</v>
      </c>
      <c r="O80" s="4">
        <v>118.9</v>
      </c>
      <c r="P80" s="4">
        <v>127.7</v>
      </c>
      <c r="Q80" s="4">
        <v>123.1</v>
      </c>
      <c r="R80" s="4">
        <v>124.7</v>
      </c>
      <c r="S80" s="4">
        <v>126</v>
      </c>
      <c r="T80" s="4">
        <v>122.9</v>
      </c>
      <c r="U80" s="4">
        <v>125.5</v>
      </c>
      <c r="V80" s="4">
        <v>118.9</v>
      </c>
      <c r="W80" s="4">
        <v>120.6</v>
      </c>
      <c r="X80" s="4">
        <v>120.2</v>
      </c>
      <c r="Y80" s="4">
        <v>118.2</v>
      </c>
      <c r="Z80" s="4">
        <v>111.6</v>
      </c>
      <c r="AA80" s="4">
        <v>115.5</v>
      </c>
      <c r="AB80" s="4">
        <v>119.4</v>
      </c>
      <c r="AC80" s="4">
        <v>110.8</v>
      </c>
      <c r="AD80" s="4">
        <v>115.5</v>
      </c>
      <c r="AE80" s="4">
        <v>121.1</v>
      </c>
      <c r="AF80" s="4" t="str">
        <f t="shared" si="3"/>
        <v>Pre Covid</v>
      </c>
      <c r="AG80" s="4"/>
    </row>
    <row r="81" spans="1:33">
      <c r="A81" s="6" t="s">
        <v>32</v>
      </c>
      <c r="B81" s="6">
        <v>2015</v>
      </c>
      <c r="C81" s="6" t="s">
        <v>35</v>
      </c>
      <c r="D81" s="6">
        <f t="shared" si="2"/>
        <v>3</v>
      </c>
      <c r="E81" s="6">
        <v>124</v>
      </c>
      <c r="F81" s="6">
        <v>126.7</v>
      </c>
      <c r="G81" s="6">
        <v>113.5</v>
      </c>
      <c r="H81" s="6">
        <v>125.9</v>
      </c>
      <c r="I81" s="6">
        <v>104.8</v>
      </c>
      <c r="J81" s="6">
        <v>123.8</v>
      </c>
      <c r="K81" s="6">
        <v>131.4</v>
      </c>
      <c r="L81" s="6">
        <v>127.2</v>
      </c>
      <c r="M81" s="6">
        <v>93.2</v>
      </c>
      <c r="N81" s="6">
        <v>127.4</v>
      </c>
      <c r="O81" s="6">
        <v>117</v>
      </c>
      <c r="P81" s="6">
        <v>129.19999999999999</v>
      </c>
      <c r="Q81" s="6">
        <v>123.9</v>
      </c>
      <c r="R81" s="6">
        <v>128.80000000000001</v>
      </c>
      <c r="S81" s="6">
        <v>121.7</v>
      </c>
      <c r="T81" s="6">
        <v>116.9</v>
      </c>
      <c r="U81" s="6">
        <v>120.9</v>
      </c>
      <c r="V81" s="6">
        <v>118.6</v>
      </c>
      <c r="W81" s="6">
        <v>114.4</v>
      </c>
      <c r="X81" s="6">
        <v>118</v>
      </c>
      <c r="Y81" s="6">
        <v>114.3</v>
      </c>
      <c r="Z81" s="6">
        <v>108.4</v>
      </c>
      <c r="AA81" s="6">
        <v>115.4</v>
      </c>
      <c r="AB81" s="6">
        <v>120.6</v>
      </c>
      <c r="AC81" s="6">
        <v>111.3</v>
      </c>
      <c r="AD81" s="6">
        <v>113.8</v>
      </c>
      <c r="AE81" s="6">
        <v>119.1</v>
      </c>
      <c r="AF81" s="6" t="str">
        <f t="shared" si="3"/>
        <v>Pre Covid</v>
      </c>
      <c r="AG81" s="6"/>
    </row>
    <row r="82" spans="1:33">
      <c r="A82" s="4" t="s">
        <v>33</v>
      </c>
      <c r="B82" s="4">
        <v>2015</v>
      </c>
      <c r="C82" s="4" t="s">
        <v>35</v>
      </c>
      <c r="D82" s="4">
        <f t="shared" si="2"/>
        <v>3</v>
      </c>
      <c r="E82" s="4">
        <v>123.5</v>
      </c>
      <c r="F82" s="4">
        <v>125.4</v>
      </c>
      <c r="G82" s="4">
        <v>116.8</v>
      </c>
      <c r="H82" s="4">
        <v>126</v>
      </c>
      <c r="I82" s="4">
        <v>109.2</v>
      </c>
      <c r="J82" s="4">
        <v>127.6</v>
      </c>
      <c r="K82" s="4">
        <v>129.19999999999999</v>
      </c>
      <c r="L82" s="4">
        <v>122.4</v>
      </c>
      <c r="M82" s="4">
        <v>97</v>
      </c>
      <c r="N82" s="4">
        <v>122.1</v>
      </c>
      <c r="O82" s="4">
        <v>118.1</v>
      </c>
      <c r="P82" s="4">
        <v>128.4</v>
      </c>
      <c r="Q82" s="4">
        <v>123.4</v>
      </c>
      <c r="R82" s="4">
        <v>125.8</v>
      </c>
      <c r="S82" s="4">
        <v>124.3</v>
      </c>
      <c r="T82" s="4">
        <v>120.4</v>
      </c>
      <c r="U82" s="4">
        <v>123.7</v>
      </c>
      <c r="V82" s="4">
        <v>118.6</v>
      </c>
      <c r="W82" s="4">
        <v>118.3</v>
      </c>
      <c r="X82" s="4">
        <v>119.2</v>
      </c>
      <c r="Y82" s="4">
        <v>116.7</v>
      </c>
      <c r="Z82" s="4">
        <v>109.9</v>
      </c>
      <c r="AA82" s="4">
        <v>115.4</v>
      </c>
      <c r="AB82" s="4">
        <v>120.1</v>
      </c>
      <c r="AC82" s="4">
        <v>111</v>
      </c>
      <c r="AD82" s="4">
        <v>114.7</v>
      </c>
      <c r="AE82" s="4">
        <v>120.2</v>
      </c>
      <c r="AF82" s="4" t="str">
        <f t="shared" si="3"/>
        <v>Pre Covid</v>
      </c>
      <c r="AG82" s="4"/>
    </row>
    <row r="83" spans="1:33">
      <c r="A83" s="6" t="s">
        <v>30</v>
      </c>
      <c r="B83" s="6">
        <v>2015</v>
      </c>
      <c r="C83" s="6" t="s">
        <v>36</v>
      </c>
      <c r="D83" s="6">
        <f t="shared" si="2"/>
        <v>4</v>
      </c>
      <c r="E83" s="6">
        <v>123.3</v>
      </c>
      <c r="F83" s="6">
        <v>125.5</v>
      </c>
      <c r="G83" s="6">
        <v>117.2</v>
      </c>
      <c r="H83" s="6">
        <v>126.8</v>
      </c>
      <c r="I83" s="6">
        <v>111.9</v>
      </c>
      <c r="J83" s="6">
        <v>134.19999999999999</v>
      </c>
      <c r="K83" s="6">
        <v>127.5</v>
      </c>
      <c r="L83" s="6">
        <v>121.5</v>
      </c>
      <c r="M83" s="6">
        <v>97.8</v>
      </c>
      <c r="N83" s="6">
        <v>119.8</v>
      </c>
      <c r="O83" s="6">
        <v>119.4</v>
      </c>
      <c r="P83" s="6">
        <v>128.69999999999999</v>
      </c>
      <c r="Q83" s="6">
        <v>123.6</v>
      </c>
      <c r="R83" s="6">
        <v>125.7</v>
      </c>
      <c r="S83" s="6">
        <v>126.4</v>
      </c>
      <c r="T83" s="6">
        <v>123.3</v>
      </c>
      <c r="U83" s="6">
        <v>126</v>
      </c>
      <c r="V83" s="6">
        <v>118.9</v>
      </c>
      <c r="W83" s="6">
        <v>121.2</v>
      </c>
      <c r="X83" s="6">
        <v>120.9</v>
      </c>
      <c r="Y83" s="6">
        <v>118.6</v>
      </c>
      <c r="Z83" s="6">
        <v>111.9</v>
      </c>
      <c r="AA83" s="6">
        <v>116.2</v>
      </c>
      <c r="AB83" s="6">
        <v>119.9</v>
      </c>
      <c r="AC83" s="6">
        <v>111.6</v>
      </c>
      <c r="AD83" s="6">
        <v>116</v>
      </c>
      <c r="AE83" s="6">
        <v>121.5</v>
      </c>
      <c r="AF83" s="6" t="str">
        <f t="shared" si="3"/>
        <v>Pre Covid</v>
      </c>
      <c r="AG83" s="6"/>
    </row>
    <row r="84" spans="1:33">
      <c r="A84" s="4" t="s">
        <v>32</v>
      </c>
      <c r="B84" s="4">
        <v>2015</v>
      </c>
      <c r="C84" s="4" t="s">
        <v>36</v>
      </c>
      <c r="D84" s="4">
        <f t="shared" si="2"/>
        <v>4</v>
      </c>
      <c r="E84" s="4">
        <v>123.8</v>
      </c>
      <c r="F84" s="4">
        <v>128.19999999999999</v>
      </c>
      <c r="G84" s="4">
        <v>110</v>
      </c>
      <c r="H84" s="4">
        <v>126.3</v>
      </c>
      <c r="I84" s="4">
        <v>104.5</v>
      </c>
      <c r="J84" s="4">
        <v>130.6</v>
      </c>
      <c r="K84" s="4">
        <v>130.80000000000001</v>
      </c>
      <c r="L84" s="4">
        <v>131.30000000000001</v>
      </c>
      <c r="M84" s="4">
        <v>91.6</v>
      </c>
      <c r="N84" s="4">
        <v>127.7</v>
      </c>
      <c r="O84" s="4">
        <v>117.2</v>
      </c>
      <c r="P84" s="4">
        <v>129.5</v>
      </c>
      <c r="Q84" s="4">
        <v>124.6</v>
      </c>
      <c r="R84" s="4">
        <v>130.1</v>
      </c>
      <c r="S84" s="4">
        <v>122.1</v>
      </c>
      <c r="T84" s="4">
        <v>117.2</v>
      </c>
      <c r="U84" s="4">
        <v>121.3</v>
      </c>
      <c r="V84" s="4">
        <v>119.2</v>
      </c>
      <c r="W84" s="4">
        <v>114.7</v>
      </c>
      <c r="X84" s="4">
        <v>118.4</v>
      </c>
      <c r="Y84" s="4">
        <v>114.6</v>
      </c>
      <c r="Z84" s="4">
        <v>108.4</v>
      </c>
      <c r="AA84" s="4">
        <v>115.6</v>
      </c>
      <c r="AB84" s="4">
        <v>121.7</v>
      </c>
      <c r="AC84" s="4">
        <v>111.8</v>
      </c>
      <c r="AD84" s="4">
        <v>114.2</v>
      </c>
      <c r="AE84" s="4">
        <v>119.7</v>
      </c>
      <c r="AF84" s="4" t="str">
        <f t="shared" si="3"/>
        <v>Pre Covid</v>
      </c>
      <c r="AG84" s="4"/>
    </row>
    <row r="85" spans="1:33">
      <c r="A85" s="6" t="s">
        <v>33</v>
      </c>
      <c r="B85" s="6">
        <v>2015</v>
      </c>
      <c r="C85" s="6" t="s">
        <v>36</v>
      </c>
      <c r="D85" s="6">
        <f t="shared" si="2"/>
        <v>4</v>
      </c>
      <c r="E85" s="6">
        <v>123.5</v>
      </c>
      <c r="F85" s="6">
        <v>126.4</v>
      </c>
      <c r="G85" s="6">
        <v>114.4</v>
      </c>
      <c r="H85" s="6">
        <v>126.6</v>
      </c>
      <c r="I85" s="6">
        <v>109.2</v>
      </c>
      <c r="J85" s="6">
        <v>132.5</v>
      </c>
      <c r="K85" s="6">
        <v>128.6</v>
      </c>
      <c r="L85" s="6">
        <v>124.8</v>
      </c>
      <c r="M85" s="6">
        <v>95.7</v>
      </c>
      <c r="N85" s="6">
        <v>122.4</v>
      </c>
      <c r="O85" s="6">
        <v>118.5</v>
      </c>
      <c r="P85" s="6">
        <v>129.1</v>
      </c>
      <c r="Q85" s="6">
        <v>124</v>
      </c>
      <c r="R85" s="6">
        <v>126.9</v>
      </c>
      <c r="S85" s="6">
        <v>124.7</v>
      </c>
      <c r="T85" s="6">
        <v>120.8</v>
      </c>
      <c r="U85" s="6">
        <v>124.1</v>
      </c>
      <c r="V85" s="6">
        <v>119.2</v>
      </c>
      <c r="W85" s="6">
        <v>118.7</v>
      </c>
      <c r="X85" s="6">
        <v>119.7</v>
      </c>
      <c r="Y85" s="6">
        <v>117.1</v>
      </c>
      <c r="Z85" s="6">
        <v>110.1</v>
      </c>
      <c r="AA85" s="6">
        <v>115.9</v>
      </c>
      <c r="AB85" s="6">
        <v>121</v>
      </c>
      <c r="AC85" s="6">
        <v>111.7</v>
      </c>
      <c r="AD85" s="6">
        <v>115.1</v>
      </c>
      <c r="AE85" s="6">
        <v>120.7</v>
      </c>
      <c r="AF85" s="6" t="str">
        <f t="shared" si="3"/>
        <v>Pre Covid</v>
      </c>
      <c r="AG85" s="6"/>
    </row>
    <row r="86" spans="1:33">
      <c r="A86" s="4" t="s">
        <v>30</v>
      </c>
      <c r="B86" s="4">
        <v>2015</v>
      </c>
      <c r="C86" s="4" t="s">
        <v>37</v>
      </c>
      <c r="D86" s="4">
        <f t="shared" si="2"/>
        <v>5</v>
      </c>
      <c r="E86" s="4">
        <v>123.5</v>
      </c>
      <c r="F86" s="4">
        <v>127.1</v>
      </c>
      <c r="G86" s="4">
        <v>117.3</v>
      </c>
      <c r="H86" s="4">
        <v>127.7</v>
      </c>
      <c r="I86" s="4">
        <v>112.5</v>
      </c>
      <c r="J86" s="4">
        <v>134.1</v>
      </c>
      <c r="K86" s="4">
        <v>128.5</v>
      </c>
      <c r="L86" s="4">
        <v>124.3</v>
      </c>
      <c r="M86" s="4">
        <v>97.6</v>
      </c>
      <c r="N86" s="4">
        <v>120.7</v>
      </c>
      <c r="O86" s="4">
        <v>120.2</v>
      </c>
      <c r="P86" s="4">
        <v>129.80000000000001</v>
      </c>
      <c r="Q86" s="4">
        <v>124.4</v>
      </c>
      <c r="R86" s="4">
        <v>126.7</v>
      </c>
      <c r="S86" s="4">
        <v>127.3</v>
      </c>
      <c r="T86" s="4">
        <v>124.1</v>
      </c>
      <c r="U86" s="4">
        <v>126.8</v>
      </c>
      <c r="V86" s="4">
        <v>119.3</v>
      </c>
      <c r="W86" s="4">
        <v>121.9</v>
      </c>
      <c r="X86" s="4">
        <v>121.5</v>
      </c>
      <c r="Y86" s="4">
        <v>119.4</v>
      </c>
      <c r="Z86" s="4">
        <v>113.3</v>
      </c>
      <c r="AA86" s="4">
        <v>116.7</v>
      </c>
      <c r="AB86" s="4">
        <v>120.5</v>
      </c>
      <c r="AC86" s="4">
        <v>112.3</v>
      </c>
      <c r="AD86" s="4">
        <v>116.9</v>
      </c>
      <c r="AE86" s="4">
        <v>122.4</v>
      </c>
      <c r="AF86" s="4" t="str">
        <f t="shared" si="3"/>
        <v>Pre Covid</v>
      </c>
      <c r="AG86" s="4"/>
    </row>
    <row r="87" spans="1:33">
      <c r="A87" s="6" t="s">
        <v>32</v>
      </c>
      <c r="B87" s="6">
        <v>2015</v>
      </c>
      <c r="C87" s="6" t="s">
        <v>37</v>
      </c>
      <c r="D87" s="6">
        <f t="shared" si="2"/>
        <v>5</v>
      </c>
      <c r="E87" s="6">
        <v>123.8</v>
      </c>
      <c r="F87" s="6">
        <v>129.69999999999999</v>
      </c>
      <c r="G87" s="6">
        <v>111.3</v>
      </c>
      <c r="H87" s="6">
        <v>126.6</v>
      </c>
      <c r="I87" s="6">
        <v>105.2</v>
      </c>
      <c r="J87" s="6">
        <v>130.80000000000001</v>
      </c>
      <c r="K87" s="6">
        <v>135.6</v>
      </c>
      <c r="L87" s="6">
        <v>142.6</v>
      </c>
      <c r="M87" s="6">
        <v>90.8</v>
      </c>
      <c r="N87" s="6">
        <v>128.80000000000001</v>
      </c>
      <c r="O87" s="6">
        <v>117.7</v>
      </c>
      <c r="P87" s="6">
        <v>129.9</v>
      </c>
      <c r="Q87" s="6">
        <v>126.1</v>
      </c>
      <c r="R87" s="6">
        <v>131.30000000000001</v>
      </c>
      <c r="S87" s="6">
        <v>122.4</v>
      </c>
      <c r="T87" s="6">
        <v>117.4</v>
      </c>
      <c r="U87" s="6">
        <v>121.6</v>
      </c>
      <c r="V87" s="6">
        <v>119.6</v>
      </c>
      <c r="W87" s="6">
        <v>114.9</v>
      </c>
      <c r="X87" s="6">
        <v>118.7</v>
      </c>
      <c r="Y87" s="6">
        <v>114.9</v>
      </c>
      <c r="Z87" s="6">
        <v>110.8</v>
      </c>
      <c r="AA87" s="6">
        <v>116</v>
      </c>
      <c r="AB87" s="6">
        <v>122</v>
      </c>
      <c r="AC87" s="6">
        <v>112.4</v>
      </c>
      <c r="AD87" s="6">
        <v>115.2</v>
      </c>
      <c r="AE87" s="6">
        <v>120.7</v>
      </c>
      <c r="AF87" s="6" t="str">
        <f t="shared" si="3"/>
        <v>Pre Covid</v>
      </c>
      <c r="AG87" s="6"/>
    </row>
    <row r="88" spans="1:33">
      <c r="A88" s="4" t="s">
        <v>33</v>
      </c>
      <c r="B88" s="4">
        <v>2015</v>
      </c>
      <c r="C88" s="4" t="s">
        <v>37</v>
      </c>
      <c r="D88" s="4">
        <f t="shared" si="2"/>
        <v>5</v>
      </c>
      <c r="E88" s="4">
        <v>123.6</v>
      </c>
      <c r="F88" s="4">
        <v>128</v>
      </c>
      <c r="G88" s="4">
        <v>115</v>
      </c>
      <c r="H88" s="4">
        <v>127.3</v>
      </c>
      <c r="I88" s="4">
        <v>109.8</v>
      </c>
      <c r="J88" s="4">
        <v>132.6</v>
      </c>
      <c r="K88" s="4">
        <v>130.9</v>
      </c>
      <c r="L88" s="4">
        <v>130.5</v>
      </c>
      <c r="M88" s="4">
        <v>95.3</v>
      </c>
      <c r="N88" s="4">
        <v>123.4</v>
      </c>
      <c r="O88" s="4">
        <v>119.2</v>
      </c>
      <c r="P88" s="4">
        <v>129.80000000000001</v>
      </c>
      <c r="Q88" s="4">
        <v>125</v>
      </c>
      <c r="R88" s="4">
        <v>127.9</v>
      </c>
      <c r="S88" s="4">
        <v>125.4</v>
      </c>
      <c r="T88" s="4">
        <v>121.3</v>
      </c>
      <c r="U88" s="4">
        <v>124.7</v>
      </c>
      <c r="V88" s="4">
        <v>119.6</v>
      </c>
      <c r="W88" s="4">
        <v>119.2</v>
      </c>
      <c r="X88" s="4">
        <v>120.2</v>
      </c>
      <c r="Y88" s="4">
        <v>117.7</v>
      </c>
      <c r="Z88" s="4">
        <v>112</v>
      </c>
      <c r="AA88" s="4">
        <v>116.3</v>
      </c>
      <c r="AB88" s="4">
        <v>121.4</v>
      </c>
      <c r="AC88" s="4">
        <v>112.3</v>
      </c>
      <c r="AD88" s="4">
        <v>116.1</v>
      </c>
      <c r="AE88" s="4">
        <v>121.6</v>
      </c>
      <c r="AF88" s="4" t="str">
        <f t="shared" si="3"/>
        <v>Pre Covid</v>
      </c>
      <c r="AG88" s="4"/>
    </row>
    <row r="89" spans="1:33">
      <c r="A89" s="6" t="s">
        <v>30</v>
      </c>
      <c r="B89" s="6">
        <v>2015</v>
      </c>
      <c r="C89" s="6" t="s">
        <v>38</v>
      </c>
      <c r="D89" s="6">
        <f t="shared" si="2"/>
        <v>6</v>
      </c>
      <c r="E89" s="6">
        <v>124.1</v>
      </c>
      <c r="F89" s="6">
        <v>130.4</v>
      </c>
      <c r="G89" s="6">
        <v>122.1</v>
      </c>
      <c r="H89" s="6">
        <v>128.69999999999999</v>
      </c>
      <c r="I89" s="6">
        <v>114.1</v>
      </c>
      <c r="J89" s="6">
        <v>133.19999999999999</v>
      </c>
      <c r="K89" s="6">
        <v>135.19999999999999</v>
      </c>
      <c r="L89" s="6">
        <v>131.9</v>
      </c>
      <c r="M89" s="6">
        <v>96.3</v>
      </c>
      <c r="N89" s="6">
        <v>123</v>
      </c>
      <c r="O89" s="6">
        <v>121.1</v>
      </c>
      <c r="P89" s="6">
        <v>131.19999999999999</v>
      </c>
      <c r="Q89" s="6">
        <v>126.6</v>
      </c>
      <c r="R89" s="6">
        <v>128.19999999999999</v>
      </c>
      <c r="S89" s="6">
        <v>128.4</v>
      </c>
      <c r="T89" s="6">
        <v>125.1</v>
      </c>
      <c r="U89" s="6">
        <v>128</v>
      </c>
      <c r="V89" s="6">
        <v>119.3</v>
      </c>
      <c r="W89" s="6">
        <v>122.6</v>
      </c>
      <c r="X89" s="6">
        <v>122.8</v>
      </c>
      <c r="Y89" s="6">
        <v>120.4</v>
      </c>
      <c r="Z89" s="6">
        <v>114.2</v>
      </c>
      <c r="AA89" s="6">
        <v>117.9</v>
      </c>
      <c r="AB89" s="6">
        <v>122</v>
      </c>
      <c r="AC89" s="6">
        <v>113</v>
      </c>
      <c r="AD89" s="6">
        <v>117.9</v>
      </c>
      <c r="AE89" s="6">
        <v>124.1</v>
      </c>
      <c r="AF89" s="6" t="str">
        <f t="shared" si="3"/>
        <v>Pre Covid</v>
      </c>
      <c r="AG89" s="6"/>
    </row>
    <row r="90" spans="1:33">
      <c r="A90" s="4" t="s">
        <v>32</v>
      </c>
      <c r="B90" s="4">
        <v>2015</v>
      </c>
      <c r="C90" s="4" t="s">
        <v>38</v>
      </c>
      <c r="D90" s="4">
        <f t="shared" si="2"/>
        <v>6</v>
      </c>
      <c r="E90" s="4">
        <v>123.6</v>
      </c>
      <c r="F90" s="4">
        <v>134.4</v>
      </c>
      <c r="G90" s="4">
        <v>120.9</v>
      </c>
      <c r="H90" s="4">
        <v>127.3</v>
      </c>
      <c r="I90" s="4">
        <v>106</v>
      </c>
      <c r="J90" s="4">
        <v>132.30000000000001</v>
      </c>
      <c r="K90" s="4">
        <v>146.69999999999999</v>
      </c>
      <c r="L90" s="4">
        <v>148.1</v>
      </c>
      <c r="M90" s="4">
        <v>89.8</v>
      </c>
      <c r="N90" s="4">
        <v>130.5</v>
      </c>
      <c r="O90" s="4">
        <v>118</v>
      </c>
      <c r="P90" s="4">
        <v>130.5</v>
      </c>
      <c r="Q90" s="4">
        <v>128.5</v>
      </c>
      <c r="R90" s="4">
        <v>132.1</v>
      </c>
      <c r="S90" s="4">
        <v>123.2</v>
      </c>
      <c r="T90" s="4">
        <v>117.6</v>
      </c>
      <c r="U90" s="4">
        <v>122.3</v>
      </c>
      <c r="V90" s="4">
        <v>119</v>
      </c>
      <c r="W90" s="4">
        <v>115.1</v>
      </c>
      <c r="X90" s="4">
        <v>119.2</v>
      </c>
      <c r="Y90" s="4">
        <v>115.4</v>
      </c>
      <c r="Z90" s="4">
        <v>111.7</v>
      </c>
      <c r="AA90" s="4">
        <v>116.2</v>
      </c>
      <c r="AB90" s="4">
        <v>123.8</v>
      </c>
      <c r="AC90" s="4">
        <v>112.5</v>
      </c>
      <c r="AD90" s="4">
        <v>116</v>
      </c>
      <c r="AE90" s="4">
        <v>121.7</v>
      </c>
      <c r="AF90" s="4" t="str">
        <f t="shared" si="3"/>
        <v>Pre Covid</v>
      </c>
      <c r="AG90" s="4"/>
    </row>
    <row r="91" spans="1:33">
      <c r="A91" s="6" t="s">
        <v>33</v>
      </c>
      <c r="B91" s="6">
        <v>2015</v>
      </c>
      <c r="C91" s="6" t="s">
        <v>38</v>
      </c>
      <c r="D91" s="6">
        <f t="shared" si="2"/>
        <v>6</v>
      </c>
      <c r="E91" s="6">
        <v>123.9</v>
      </c>
      <c r="F91" s="6">
        <v>131.80000000000001</v>
      </c>
      <c r="G91" s="6">
        <v>121.6</v>
      </c>
      <c r="H91" s="6">
        <v>128.19999999999999</v>
      </c>
      <c r="I91" s="6">
        <v>111.1</v>
      </c>
      <c r="J91" s="6">
        <v>132.80000000000001</v>
      </c>
      <c r="K91" s="6">
        <v>139.1</v>
      </c>
      <c r="L91" s="6">
        <v>137.4</v>
      </c>
      <c r="M91" s="6">
        <v>94.1</v>
      </c>
      <c r="N91" s="6">
        <v>125.5</v>
      </c>
      <c r="O91" s="6">
        <v>119.8</v>
      </c>
      <c r="P91" s="6">
        <v>130.9</v>
      </c>
      <c r="Q91" s="6">
        <v>127.3</v>
      </c>
      <c r="R91" s="6">
        <v>129.19999999999999</v>
      </c>
      <c r="S91" s="6">
        <v>126.4</v>
      </c>
      <c r="T91" s="6">
        <v>122</v>
      </c>
      <c r="U91" s="6">
        <v>125.7</v>
      </c>
      <c r="V91" s="6">
        <v>119</v>
      </c>
      <c r="W91" s="6">
        <v>119.8</v>
      </c>
      <c r="X91" s="6">
        <v>121.1</v>
      </c>
      <c r="Y91" s="6">
        <v>118.5</v>
      </c>
      <c r="Z91" s="6">
        <v>112.9</v>
      </c>
      <c r="AA91" s="6">
        <v>116.9</v>
      </c>
      <c r="AB91" s="6">
        <v>123.1</v>
      </c>
      <c r="AC91" s="6">
        <v>112.8</v>
      </c>
      <c r="AD91" s="6">
        <v>117</v>
      </c>
      <c r="AE91" s="6">
        <v>123</v>
      </c>
      <c r="AF91" s="6" t="str">
        <f t="shared" si="3"/>
        <v>Pre Covid</v>
      </c>
      <c r="AG91" s="6"/>
    </row>
    <row r="92" spans="1:33">
      <c r="A92" s="4" t="s">
        <v>30</v>
      </c>
      <c r="B92" s="4">
        <v>2015</v>
      </c>
      <c r="C92" s="4" t="s">
        <v>39</v>
      </c>
      <c r="D92" s="4">
        <f t="shared" si="2"/>
        <v>7</v>
      </c>
      <c r="E92" s="4">
        <v>124</v>
      </c>
      <c r="F92" s="4">
        <v>131.5</v>
      </c>
      <c r="G92" s="4">
        <v>122</v>
      </c>
      <c r="H92" s="4">
        <v>128.69999999999999</v>
      </c>
      <c r="I92" s="4">
        <v>113.5</v>
      </c>
      <c r="J92" s="4">
        <v>133.30000000000001</v>
      </c>
      <c r="K92" s="4">
        <v>140.80000000000001</v>
      </c>
      <c r="L92" s="4">
        <v>133.80000000000001</v>
      </c>
      <c r="M92" s="4">
        <v>94.1</v>
      </c>
      <c r="N92" s="4">
        <v>123.4</v>
      </c>
      <c r="O92" s="4">
        <v>121</v>
      </c>
      <c r="P92" s="4">
        <v>131.69999999999999</v>
      </c>
      <c r="Q92" s="4">
        <v>127.5</v>
      </c>
      <c r="R92" s="4">
        <v>129.4</v>
      </c>
      <c r="S92" s="4">
        <v>128.80000000000001</v>
      </c>
      <c r="T92" s="4">
        <v>125.5</v>
      </c>
      <c r="U92" s="4">
        <v>128.30000000000001</v>
      </c>
      <c r="V92" s="4">
        <v>120.4</v>
      </c>
      <c r="W92" s="4">
        <v>123</v>
      </c>
      <c r="X92" s="4">
        <v>123</v>
      </c>
      <c r="Y92" s="4">
        <v>120.8</v>
      </c>
      <c r="Z92" s="4">
        <v>114.1</v>
      </c>
      <c r="AA92" s="4">
        <v>118</v>
      </c>
      <c r="AB92" s="4">
        <v>122.9</v>
      </c>
      <c r="AC92" s="4">
        <v>112.7</v>
      </c>
      <c r="AD92" s="4">
        <v>118.1</v>
      </c>
      <c r="AE92" s="4">
        <v>124.7</v>
      </c>
      <c r="AF92" s="4" t="str">
        <f t="shared" si="3"/>
        <v>Pre Covid</v>
      </c>
      <c r="AG92" s="4"/>
    </row>
    <row r="93" spans="1:33">
      <c r="A93" s="6" t="s">
        <v>32</v>
      </c>
      <c r="B93" s="6">
        <v>2015</v>
      </c>
      <c r="C93" s="6" t="s">
        <v>39</v>
      </c>
      <c r="D93" s="6">
        <f t="shared" si="2"/>
        <v>7</v>
      </c>
      <c r="E93" s="6">
        <v>123.2</v>
      </c>
      <c r="F93" s="6">
        <v>134.30000000000001</v>
      </c>
      <c r="G93" s="6">
        <v>119.5</v>
      </c>
      <c r="H93" s="6">
        <v>127.7</v>
      </c>
      <c r="I93" s="6">
        <v>106.3</v>
      </c>
      <c r="J93" s="6">
        <v>132.80000000000001</v>
      </c>
      <c r="K93" s="6">
        <v>153.5</v>
      </c>
      <c r="L93" s="6">
        <v>149.5</v>
      </c>
      <c r="M93" s="6">
        <v>85.7</v>
      </c>
      <c r="N93" s="6">
        <v>131.5</v>
      </c>
      <c r="O93" s="6">
        <v>118.3</v>
      </c>
      <c r="P93" s="6">
        <v>131.1</v>
      </c>
      <c r="Q93" s="6">
        <v>129.5</v>
      </c>
      <c r="R93" s="6">
        <v>133.1</v>
      </c>
      <c r="S93" s="6">
        <v>123.5</v>
      </c>
      <c r="T93" s="6">
        <v>117.9</v>
      </c>
      <c r="U93" s="6">
        <v>122.7</v>
      </c>
      <c r="V93" s="6">
        <v>119.9</v>
      </c>
      <c r="W93" s="6">
        <v>115.3</v>
      </c>
      <c r="X93" s="6">
        <v>119.5</v>
      </c>
      <c r="Y93" s="6">
        <v>116</v>
      </c>
      <c r="Z93" s="6">
        <v>111.5</v>
      </c>
      <c r="AA93" s="6">
        <v>116.6</v>
      </c>
      <c r="AB93" s="6">
        <v>125.4</v>
      </c>
      <c r="AC93" s="6">
        <v>111.7</v>
      </c>
      <c r="AD93" s="6">
        <v>116.3</v>
      </c>
      <c r="AE93" s="6">
        <v>122.4</v>
      </c>
      <c r="AF93" s="6" t="str">
        <f t="shared" si="3"/>
        <v>Pre Covid</v>
      </c>
      <c r="AG93" s="6"/>
    </row>
    <row r="94" spans="1:33">
      <c r="A94" s="4" t="s">
        <v>33</v>
      </c>
      <c r="B94" s="4">
        <v>2015</v>
      </c>
      <c r="C94" s="4" t="s">
        <v>39</v>
      </c>
      <c r="D94" s="4">
        <f t="shared" si="2"/>
        <v>7</v>
      </c>
      <c r="E94" s="4">
        <v>123.7</v>
      </c>
      <c r="F94" s="4">
        <v>132.5</v>
      </c>
      <c r="G94" s="4">
        <v>121</v>
      </c>
      <c r="H94" s="4">
        <v>128.30000000000001</v>
      </c>
      <c r="I94" s="4">
        <v>110.9</v>
      </c>
      <c r="J94" s="4">
        <v>133.1</v>
      </c>
      <c r="K94" s="4">
        <v>145.1</v>
      </c>
      <c r="L94" s="4">
        <v>139.1</v>
      </c>
      <c r="M94" s="4">
        <v>91.3</v>
      </c>
      <c r="N94" s="4">
        <v>126.1</v>
      </c>
      <c r="O94" s="4">
        <v>119.9</v>
      </c>
      <c r="P94" s="4">
        <v>131.4</v>
      </c>
      <c r="Q94" s="4">
        <v>128.19999999999999</v>
      </c>
      <c r="R94" s="4">
        <v>130.4</v>
      </c>
      <c r="S94" s="4">
        <v>126.7</v>
      </c>
      <c r="T94" s="4">
        <v>122.3</v>
      </c>
      <c r="U94" s="4">
        <v>126.1</v>
      </c>
      <c r="V94" s="4">
        <v>119.9</v>
      </c>
      <c r="W94" s="4">
        <v>120.1</v>
      </c>
      <c r="X94" s="4">
        <v>121.3</v>
      </c>
      <c r="Y94" s="4">
        <v>119</v>
      </c>
      <c r="Z94" s="4">
        <v>112.7</v>
      </c>
      <c r="AA94" s="4">
        <v>117.2</v>
      </c>
      <c r="AB94" s="4">
        <v>124.4</v>
      </c>
      <c r="AC94" s="4">
        <v>112.3</v>
      </c>
      <c r="AD94" s="4">
        <v>117.2</v>
      </c>
      <c r="AE94" s="4">
        <v>123.6</v>
      </c>
      <c r="AF94" s="4" t="str">
        <f t="shared" si="3"/>
        <v>Pre Covid</v>
      </c>
      <c r="AG94" s="4"/>
    </row>
    <row r="95" spans="1:33">
      <c r="A95" s="6" t="s">
        <v>30</v>
      </c>
      <c r="B95" s="6">
        <v>2015</v>
      </c>
      <c r="C95" s="6" t="s">
        <v>40</v>
      </c>
      <c r="D95" s="6">
        <f t="shared" si="2"/>
        <v>8</v>
      </c>
      <c r="E95" s="6">
        <v>124.7</v>
      </c>
      <c r="F95" s="6">
        <v>131.30000000000001</v>
      </c>
      <c r="G95" s="6">
        <v>121.3</v>
      </c>
      <c r="H95" s="6">
        <v>128.80000000000001</v>
      </c>
      <c r="I95" s="6">
        <v>114</v>
      </c>
      <c r="J95" s="6">
        <v>134.19999999999999</v>
      </c>
      <c r="K95" s="6">
        <v>153.6</v>
      </c>
      <c r="L95" s="6">
        <v>137.9</v>
      </c>
      <c r="M95" s="6">
        <v>93.1</v>
      </c>
      <c r="N95" s="6">
        <v>123.9</v>
      </c>
      <c r="O95" s="6">
        <v>121.5</v>
      </c>
      <c r="P95" s="6">
        <v>132.5</v>
      </c>
      <c r="Q95" s="6">
        <v>129.80000000000001</v>
      </c>
      <c r="R95" s="6">
        <v>130.1</v>
      </c>
      <c r="S95" s="6">
        <v>129.5</v>
      </c>
      <c r="T95" s="6">
        <v>126.3</v>
      </c>
      <c r="U95" s="6">
        <v>129</v>
      </c>
      <c r="V95" s="6">
        <v>120.4</v>
      </c>
      <c r="W95" s="6">
        <v>123.8</v>
      </c>
      <c r="X95" s="6">
        <v>123.7</v>
      </c>
      <c r="Y95" s="6">
        <v>121.1</v>
      </c>
      <c r="Z95" s="6">
        <v>113.6</v>
      </c>
      <c r="AA95" s="6">
        <v>118.5</v>
      </c>
      <c r="AB95" s="6">
        <v>123.6</v>
      </c>
      <c r="AC95" s="6">
        <v>112.5</v>
      </c>
      <c r="AD95" s="6">
        <v>118.2</v>
      </c>
      <c r="AE95" s="6">
        <v>126.1</v>
      </c>
      <c r="AF95" s="6" t="str">
        <f t="shared" si="3"/>
        <v>Pre Covid</v>
      </c>
      <c r="AG95" s="6"/>
    </row>
    <row r="96" spans="1:33">
      <c r="A96" s="4" t="s">
        <v>32</v>
      </c>
      <c r="B96" s="4">
        <v>2015</v>
      </c>
      <c r="C96" s="4" t="s">
        <v>40</v>
      </c>
      <c r="D96" s="4">
        <f t="shared" si="2"/>
        <v>8</v>
      </c>
      <c r="E96" s="4">
        <v>123.1</v>
      </c>
      <c r="F96" s="4">
        <v>131.69999999999999</v>
      </c>
      <c r="G96" s="4">
        <v>118.1</v>
      </c>
      <c r="H96" s="4">
        <v>128</v>
      </c>
      <c r="I96" s="4">
        <v>106.8</v>
      </c>
      <c r="J96" s="4">
        <v>130.1</v>
      </c>
      <c r="K96" s="4">
        <v>165.5</v>
      </c>
      <c r="L96" s="4">
        <v>156</v>
      </c>
      <c r="M96" s="4">
        <v>85.3</v>
      </c>
      <c r="N96" s="4">
        <v>132.69999999999999</v>
      </c>
      <c r="O96" s="4">
        <v>118.8</v>
      </c>
      <c r="P96" s="4">
        <v>131.69999999999999</v>
      </c>
      <c r="Q96" s="4">
        <v>131.1</v>
      </c>
      <c r="R96" s="4">
        <v>134.19999999999999</v>
      </c>
      <c r="S96" s="4">
        <v>123.7</v>
      </c>
      <c r="T96" s="4">
        <v>118.2</v>
      </c>
      <c r="U96" s="4">
        <v>122.9</v>
      </c>
      <c r="V96" s="4">
        <v>120.9</v>
      </c>
      <c r="W96" s="4">
        <v>115.3</v>
      </c>
      <c r="X96" s="4">
        <v>120</v>
      </c>
      <c r="Y96" s="4">
        <v>116.6</v>
      </c>
      <c r="Z96" s="4">
        <v>109.9</v>
      </c>
      <c r="AA96" s="4">
        <v>117.2</v>
      </c>
      <c r="AB96" s="4">
        <v>126.2</v>
      </c>
      <c r="AC96" s="4">
        <v>112</v>
      </c>
      <c r="AD96" s="4">
        <v>116.2</v>
      </c>
      <c r="AE96" s="4">
        <v>123.2</v>
      </c>
      <c r="AF96" s="4" t="str">
        <f t="shared" si="3"/>
        <v>Pre Covid</v>
      </c>
      <c r="AG96" s="4"/>
    </row>
    <row r="97" spans="1:33">
      <c r="A97" s="6" t="s">
        <v>33</v>
      </c>
      <c r="B97" s="6">
        <v>2015</v>
      </c>
      <c r="C97" s="6" t="s">
        <v>40</v>
      </c>
      <c r="D97" s="6">
        <f t="shared" si="2"/>
        <v>8</v>
      </c>
      <c r="E97" s="6">
        <v>124.2</v>
      </c>
      <c r="F97" s="6">
        <v>131.4</v>
      </c>
      <c r="G97" s="6">
        <v>120.1</v>
      </c>
      <c r="H97" s="6">
        <v>128.5</v>
      </c>
      <c r="I97" s="6">
        <v>111.4</v>
      </c>
      <c r="J97" s="6">
        <v>132.30000000000001</v>
      </c>
      <c r="K97" s="6">
        <v>157.6</v>
      </c>
      <c r="L97" s="6">
        <v>144</v>
      </c>
      <c r="M97" s="6">
        <v>90.5</v>
      </c>
      <c r="N97" s="6">
        <v>126.8</v>
      </c>
      <c r="O97" s="6">
        <v>120.4</v>
      </c>
      <c r="P97" s="6">
        <v>132.1</v>
      </c>
      <c r="Q97" s="6">
        <v>130.30000000000001</v>
      </c>
      <c r="R97" s="6">
        <v>131.19999999999999</v>
      </c>
      <c r="S97" s="6">
        <v>127.2</v>
      </c>
      <c r="T97" s="6">
        <v>122.9</v>
      </c>
      <c r="U97" s="6">
        <v>126.6</v>
      </c>
      <c r="V97" s="6">
        <v>120.9</v>
      </c>
      <c r="W97" s="6">
        <v>120.6</v>
      </c>
      <c r="X97" s="6">
        <v>122</v>
      </c>
      <c r="Y97" s="6">
        <v>119.4</v>
      </c>
      <c r="Z97" s="6">
        <v>111.7</v>
      </c>
      <c r="AA97" s="6">
        <v>117.8</v>
      </c>
      <c r="AB97" s="6">
        <v>125.1</v>
      </c>
      <c r="AC97" s="6">
        <v>112.3</v>
      </c>
      <c r="AD97" s="6">
        <v>117.2</v>
      </c>
      <c r="AE97" s="6">
        <v>124.8</v>
      </c>
      <c r="AF97" s="6" t="str">
        <f t="shared" si="3"/>
        <v>Pre Covid</v>
      </c>
      <c r="AG97" s="6"/>
    </row>
    <row r="98" spans="1:33">
      <c r="A98" s="4" t="s">
        <v>30</v>
      </c>
      <c r="B98" s="4">
        <v>2015</v>
      </c>
      <c r="C98" s="4" t="s">
        <v>41</v>
      </c>
      <c r="D98" s="4">
        <f t="shared" si="2"/>
        <v>9</v>
      </c>
      <c r="E98" s="4">
        <v>125.1</v>
      </c>
      <c r="F98" s="4">
        <v>131.1</v>
      </c>
      <c r="G98" s="4">
        <v>120.7</v>
      </c>
      <c r="H98" s="4">
        <v>129.19999999999999</v>
      </c>
      <c r="I98" s="4">
        <v>114.7</v>
      </c>
      <c r="J98" s="4">
        <v>132.30000000000001</v>
      </c>
      <c r="K98" s="4">
        <v>158.9</v>
      </c>
      <c r="L98" s="4">
        <v>142.1</v>
      </c>
      <c r="M98" s="4">
        <v>92.5</v>
      </c>
      <c r="N98" s="4">
        <v>125.4</v>
      </c>
      <c r="O98" s="4">
        <v>121.9</v>
      </c>
      <c r="P98" s="4">
        <v>132.69999999999999</v>
      </c>
      <c r="Q98" s="4">
        <v>131</v>
      </c>
      <c r="R98" s="4">
        <v>131</v>
      </c>
      <c r="S98" s="4">
        <v>130.4</v>
      </c>
      <c r="T98" s="4">
        <v>126.8</v>
      </c>
      <c r="U98" s="4">
        <v>129.9</v>
      </c>
      <c r="V98" s="4">
        <v>122</v>
      </c>
      <c r="W98" s="4">
        <v>123.7</v>
      </c>
      <c r="X98" s="4">
        <v>124.5</v>
      </c>
      <c r="Y98" s="4">
        <v>121.4</v>
      </c>
      <c r="Z98" s="4">
        <v>113.8</v>
      </c>
      <c r="AA98" s="4">
        <v>119.6</v>
      </c>
      <c r="AB98" s="4">
        <v>124.5</v>
      </c>
      <c r="AC98" s="4">
        <v>113.7</v>
      </c>
      <c r="AD98" s="4">
        <v>118.8</v>
      </c>
      <c r="AE98" s="4">
        <v>127</v>
      </c>
      <c r="AF98" s="4" t="str">
        <f t="shared" si="3"/>
        <v>Pre Covid</v>
      </c>
      <c r="AG98" s="4"/>
    </row>
    <row r="99" spans="1:33">
      <c r="A99" s="6" t="s">
        <v>32</v>
      </c>
      <c r="B99" s="6">
        <v>2015</v>
      </c>
      <c r="C99" s="6" t="s">
        <v>41</v>
      </c>
      <c r="D99" s="6">
        <f t="shared" si="2"/>
        <v>9</v>
      </c>
      <c r="E99" s="6">
        <v>123.4</v>
      </c>
      <c r="F99" s="6">
        <v>129</v>
      </c>
      <c r="G99" s="6">
        <v>115.6</v>
      </c>
      <c r="H99" s="6">
        <v>128.30000000000001</v>
      </c>
      <c r="I99" s="6">
        <v>107</v>
      </c>
      <c r="J99" s="6">
        <v>124</v>
      </c>
      <c r="K99" s="6">
        <v>168.5</v>
      </c>
      <c r="L99" s="6">
        <v>165.4</v>
      </c>
      <c r="M99" s="6">
        <v>86.3</v>
      </c>
      <c r="N99" s="6">
        <v>134.4</v>
      </c>
      <c r="O99" s="6">
        <v>119.1</v>
      </c>
      <c r="P99" s="6">
        <v>132.30000000000001</v>
      </c>
      <c r="Q99" s="6">
        <v>131.5</v>
      </c>
      <c r="R99" s="6">
        <v>134.69999999999999</v>
      </c>
      <c r="S99" s="6">
        <v>124</v>
      </c>
      <c r="T99" s="6">
        <v>118.6</v>
      </c>
      <c r="U99" s="6">
        <v>123.2</v>
      </c>
      <c r="V99" s="6">
        <v>121.6</v>
      </c>
      <c r="W99" s="6">
        <v>115.1</v>
      </c>
      <c r="X99" s="6">
        <v>120.4</v>
      </c>
      <c r="Y99" s="6">
        <v>117.1</v>
      </c>
      <c r="Z99" s="6">
        <v>109.1</v>
      </c>
      <c r="AA99" s="6">
        <v>117.3</v>
      </c>
      <c r="AB99" s="6">
        <v>126.5</v>
      </c>
      <c r="AC99" s="6">
        <v>112.9</v>
      </c>
      <c r="AD99" s="6">
        <v>116.2</v>
      </c>
      <c r="AE99" s="6">
        <v>123.5</v>
      </c>
      <c r="AF99" s="6" t="str">
        <f t="shared" si="3"/>
        <v>Pre Covid</v>
      </c>
      <c r="AG99" s="6"/>
    </row>
    <row r="100" spans="1:33">
      <c r="A100" s="4" t="s">
        <v>33</v>
      </c>
      <c r="B100" s="4">
        <v>2015</v>
      </c>
      <c r="C100" s="4" t="s">
        <v>41</v>
      </c>
      <c r="D100" s="4">
        <f t="shared" si="2"/>
        <v>9</v>
      </c>
      <c r="E100" s="4">
        <v>124.6</v>
      </c>
      <c r="F100" s="4">
        <v>130.4</v>
      </c>
      <c r="G100" s="4">
        <v>118.7</v>
      </c>
      <c r="H100" s="4">
        <v>128.9</v>
      </c>
      <c r="I100" s="4">
        <v>111.9</v>
      </c>
      <c r="J100" s="4">
        <v>128.4</v>
      </c>
      <c r="K100" s="4">
        <v>162.19999999999999</v>
      </c>
      <c r="L100" s="4">
        <v>150</v>
      </c>
      <c r="M100" s="4">
        <v>90.4</v>
      </c>
      <c r="N100" s="4">
        <v>128.4</v>
      </c>
      <c r="O100" s="4">
        <v>120.7</v>
      </c>
      <c r="P100" s="4">
        <v>132.5</v>
      </c>
      <c r="Q100" s="4">
        <v>131.19999999999999</v>
      </c>
      <c r="R100" s="4">
        <v>132</v>
      </c>
      <c r="S100" s="4">
        <v>127.9</v>
      </c>
      <c r="T100" s="4">
        <v>123.4</v>
      </c>
      <c r="U100" s="4">
        <v>127.2</v>
      </c>
      <c r="V100" s="4">
        <v>121.6</v>
      </c>
      <c r="W100" s="4">
        <v>120.4</v>
      </c>
      <c r="X100" s="4">
        <v>122.6</v>
      </c>
      <c r="Y100" s="4">
        <v>119.8</v>
      </c>
      <c r="Z100" s="4">
        <v>111.3</v>
      </c>
      <c r="AA100" s="4">
        <v>118.3</v>
      </c>
      <c r="AB100" s="4">
        <v>125.7</v>
      </c>
      <c r="AC100" s="4">
        <v>113.4</v>
      </c>
      <c r="AD100" s="4">
        <v>117.5</v>
      </c>
      <c r="AE100" s="4">
        <v>125.4</v>
      </c>
      <c r="AF100" s="4" t="str">
        <f t="shared" si="3"/>
        <v>Pre Covid</v>
      </c>
      <c r="AG100" s="4"/>
    </row>
    <row r="101" spans="1:33">
      <c r="A101" s="6" t="s">
        <v>30</v>
      </c>
      <c r="B101" s="6">
        <v>2015</v>
      </c>
      <c r="C101" s="6" t="s">
        <v>42</v>
      </c>
      <c r="D101" s="6">
        <f t="shared" si="2"/>
        <v>10</v>
      </c>
      <c r="E101" s="6">
        <v>125.6</v>
      </c>
      <c r="F101" s="6">
        <v>130.4</v>
      </c>
      <c r="G101" s="6">
        <v>120.8</v>
      </c>
      <c r="H101" s="6">
        <v>129.4</v>
      </c>
      <c r="I101" s="6">
        <v>115.8</v>
      </c>
      <c r="J101" s="6">
        <v>133.19999999999999</v>
      </c>
      <c r="K101" s="6">
        <v>157.69999999999999</v>
      </c>
      <c r="L101" s="6">
        <v>154.19999999999999</v>
      </c>
      <c r="M101" s="6">
        <v>93.7</v>
      </c>
      <c r="N101" s="6">
        <v>126.6</v>
      </c>
      <c r="O101" s="6">
        <v>122.3</v>
      </c>
      <c r="P101" s="6">
        <v>133.1</v>
      </c>
      <c r="Q101" s="6">
        <v>131.80000000000001</v>
      </c>
      <c r="R101" s="6">
        <v>131.5</v>
      </c>
      <c r="S101" s="6">
        <v>131.1</v>
      </c>
      <c r="T101" s="6">
        <v>127.3</v>
      </c>
      <c r="U101" s="6">
        <v>130.6</v>
      </c>
      <c r="V101" s="6">
        <v>122</v>
      </c>
      <c r="W101" s="6">
        <v>124.4</v>
      </c>
      <c r="X101" s="6">
        <v>125.1</v>
      </c>
      <c r="Y101" s="6">
        <v>122</v>
      </c>
      <c r="Z101" s="6">
        <v>113.8</v>
      </c>
      <c r="AA101" s="6">
        <v>120.1</v>
      </c>
      <c r="AB101" s="6">
        <v>125.1</v>
      </c>
      <c r="AC101" s="6">
        <v>114.2</v>
      </c>
      <c r="AD101" s="6">
        <v>119.2</v>
      </c>
      <c r="AE101" s="6">
        <v>127.7</v>
      </c>
      <c r="AF101" s="6" t="str">
        <f t="shared" si="3"/>
        <v>Pre Covid</v>
      </c>
      <c r="AG101" s="6"/>
    </row>
    <row r="102" spans="1:33">
      <c r="A102" s="4" t="s">
        <v>32</v>
      </c>
      <c r="B102" s="4">
        <v>2015</v>
      </c>
      <c r="C102" s="4" t="s">
        <v>42</v>
      </c>
      <c r="D102" s="4">
        <f t="shared" si="2"/>
        <v>10</v>
      </c>
      <c r="E102" s="4">
        <v>123.6</v>
      </c>
      <c r="F102" s="4">
        <v>128.6</v>
      </c>
      <c r="G102" s="4">
        <v>115.9</v>
      </c>
      <c r="H102" s="4">
        <v>128.5</v>
      </c>
      <c r="I102" s="4">
        <v>109</v>
      </c>
      <c r="J102" s="4">
        <v>124.1</v>
      </c>
      <c r="K102" s="4">
        <v>165.8</v>
      </c>
      <c r="L102" s="4">
        <v>187.2</v>
      </c>
      <c r="M102" s="4">
        <v>89.4</v>
      </c>
      <c r="N102" s="4">
        <v>135.80000000000001</v>
      </c>
      <c r="O102" s="4">
        <v>119.4</v>
      </c>
      <c r="P102" s="4">
        <v>132.9</v>
      </c>
      <c r="Q102" s="4">
        <v>132.6</v>
      </c>
      <c r="R102" s="4">
        <v>135.30000000000001</v>
      </c>
      <c r="S102" s="4">
        <v>124.4</v>
      </c>
      <c r="T102" s="4">
        <v>118.8</v>
      </c>
      <c r="U102" s="4">
        <v>123.6</v>
      </c>
      <c r="V102" s="4">
        <v>122.4</v>
      </c>
      <c r="W102" s="4">
        <v>114.9</v>
      </c>
      <c r="X102" s="4">
        <v>120.7</v>
      </c>
      <c r="Y102" s="4">
        <v>117.7</v>
      </c>
      <c r="Z102" s="4">
        <v>109.3</v>
      </c>
      <c r="AA102" s="4">
        <v>117.7</v>
      </c>
      <c r="AB102" s="4">
        <v>126.5</v>
      </c>
      <c r="AC102" s="4">
        <v>113.5</v>
      </c>
      <c r="AD102" s="4">
        <v>116.5</v>
      </c>
      <c r="AE102" s="4">
        <v>124.2</v>
      </c>
      <c r="AF102" s="4" t="str">
        <f t="shared" si="3"/>
        <v>Pre Covid</v>
      </c>
      <c r="AG102" s="4"/>
    </row>
    <row r="103" spans="1:33">
      <c r="A103" s="6" t="s">
        <v>33</v>
      </c>
      <c r="B103" s="6">
        <v>2015</v>
      </c>
      <c r="C103" s="6" t="s">
        <v>42</v>
      </c>
      <c r="D103" s="6">
        <f t="shared" si="2"/>
        <v>10</v>
      </c>
      <c r="E103" s="6">
        <v>125</v>
      </c>
      <c r="F103" s="6">
        <v>129.80000000000001</v>
      </c>
      <c r="G103" s="6">
        <v>118.9</v>
      </c>
      <c r="H103" s="6">
        <v>129.1</v>
      </c>
      <c r="I103" s="6">
        <v>113.3</v>
      </c>
      <c r="J103" s="6">
        <v>129</v>
      </c>
      <c r="K103" s="6">
        <v>160.4</v>
      </c>
      <c r="L103" s="6">
        <v>165.3</v>
      </c>
      <c r="M103" s="6">
        <v>92.3</v>
      </c>
      <c r="N103" s="6">
        <v>129.69999999999999</v>
      </c>
      <c r="O103" s="6">
        <v>121.1</v>
      </c>
      <c r="P103" s="6">
        <v>133</v>
      </c>
      <c r="Q103" s="6">
        <v>132.1</v>
      </c>
      <c r="R103" s="6">
        <v>132.5</v>
      </c>
      <c r="S103" s="6">
        <v>128.5</v>
      </c>
      <c r="T103" s="6">
        <v>123.8</v>
      </c>
      <c r="U103" s="6">
        <v>127.8</v>
      </c>
      <c r="V103" s="6">
        <v>122.4</v>
      </c>
      <c r="W103" s="6">
        <v>120.8</v>
      </c>
      <c r="X103" s="6">
        <v>123</v>
      </c>
      <c r="Y103" s="6">
        <v>120.4</v>
      </c>
      <c r="Z103" s="6">
        <v>111.4</v>
      </c>
      <c r="AA103" s="6">
        <v>118.7</v>
      </c>
      <c r="AB103" s="6">
        <v>125.9</v>
      </c>
      <c r="AC103" s="6">
        <v>113.9</v>
      </c>
      <c r="AD103" s="6">
        <v>117.9</v>
      </c>
      <c r="AE103" s="6">
        <v>126.1</v>
      </c>
      <c r="AF103" s="6" t="str">
        <f t="shared" si="3"/>
        <v>Pre Covid</v>
      </c>
      <c r="AG103" s="6"/>
    </row>
    <row r="104" spans="1:33">
      <c r="A104" s="4" t="s">
        <v>30</v>
      </c>
      <c r="B104" s="4">
        <v>2015</v>
      </c>
      <c r="C104" s="4" t="s">
        <v>43</v>
      </c>
      <c r="D104" s="4">
        <f t="shared" si="2"/>
        <v>11</v>
      </c>
      <c r="E104" s="4">
        <v>126.1</v>
      </c>
      <c r="F104" s="4">
        <v>130.6</v>
      </c>
      <c r="G104" s="4">
        <v>121.7</v>
      </c>
      <c r="H104" s="4">
        <v>129.5</v>
      </c>
      <c r="I104" s="4">
        <v>117.8</v>
      </c>
      <c r="J104" s="4">
        <v>132.1</v>
      </c>
      <c r="K104" s="4">
        <v>155.19999999999999</v>
      </c>
      <c r="L104" s="4">
        <v>160.80000000000001</v>
      </c>
      <c r="M104" s="4">
        <v>94.5</v>
      </c>
      <c r="N104" s="4">
        <v>128.30000000000001</v>
      </c>
      <c r="O104" s="4">
        <v>123.1</v>
      </c>
      <c r="P104" s="4">
        <v>134.19999999999999</v>
      </c>
      <c r="Q104" s="4">
        <v>132.4</v>
      </c>
      <c r="R104" s="4">
        <v>132.19999999999999</v>
      </c>
      <c r="S104" s="4">
        <v>132.1</v>
      </c>
      <c r="T104" s="4">
        <v>128.19999999999999</v>
      </c>
      <c r="U104" s="4">
        <v>131.5</v>
      </c>
      <c r="V104" s="4">
        <v>122.65</v>
      </c>
      <c r="W104" s="4">
        <v>125.6</v>
      </c>
      <c r="X104" s="4">
        <v>125.6</v>
      </c>
      <c r="Y104" s="4">
        <v>122.6</v>
      </c>
      <c r="Z104" s="4">
        <v>114</v>
      </c>
      <c r="AA104" s="4">
        <v>120.9</v>
      </c>
      <c r="AB104" s="4">
        <v>125.8</v>
      </c>
      <c r="AC104" s="4">
        <v>114.2</v>
      </c>
      <c r="AD104" s="4">
        <v>119.6</v>
      </c>
      <c r="AE104" s="4">
        <v>128.30000000000001</v>
      </c>
      <c r="AF104" s="4" t="str">
        <f t="shared" si="3"/>
        <v>Pre Covid</v>
      </c>
      <c r="AG104" s="4"/>
    </row>
    <row r="105" spans="1:33">
      <c r="A105" s="6" t="s">
        <v>32</v>
      </c>
      <c r="B105" s="6">
        <v>2015</v>
      </c>
      <c r="C105" s="6" t="s">
        <v>43</v>
      </c>
      <c r="D105" s="6">
        <f t="shared" si="2"/>
        <v>11</v>
      </c>
      <c r="E105" s="6">
        <v>124</v>
      </c>
      <c r="F105" s="6">
        <v>129.80000000000001</v>
      </c>
      <c r="G105" s="6">
        <v>121.5</v>
      </c>
      <c r="H105" s="6">
        <v>128.6</v>
      </c>
      <c r="I105" s="6">
        <v>110</v>
      </c>
      <c r="J105" s="6">
        <v>123.7</v>
      </c>
      <c r="K105" s="6">
        <v>164.6</v>
      </c>
      <c r="L105" s="6">
        <v>191.6</v>
      </c>
      <c r="M105" s="6">
        <v>90.8</v>
      </c>
      <c r="N105" s="6">
        <v>137.1</v>
      </c>
      <c r="O105" s="6">
        <v>119.8</v>
      </c>
      <c r="P105" s="6">
        <v>133.69999999999999</v>
      </c>
      <c r="Q105" s="6">
        <v>133.30000000000001</v>
      </c>
      <c r="R105" s="6">
        <v>137.6</v>
      </c>
      <c r="S105" s="6">
        <v>125</v>
      </c>
      <c r="T105" s="6">
        <v>119.3</v>
      </c>
      <c r="U105" s="6">
        <v>124.2</v>
      </c>
      <c r="V105" s="6">
        <v>122.9</v>
      </c>
      <c r="W105" s="6">
        <v>115.1</v>
      </c>
      <c r="X105" s="6">
        <v>121</v>
      </c>
      <c r="Y105" s="6">
        <v>118.1</v>
      </c>
      <c r="Z105" s="6">
        <v>109.3</v>
      </c>
      <c r="AA105" s="6">
        <v>117.9</v>
      </c>
      <c r="AB105" s="6">
        <v>126.6</v>
      </c>
      <c r="AC105" s="6">
        <v>113.3</v>
      </c>
      <c r="AD105" s="6">
        <v>116.6</v>
      </c>
      <c r="AE105" s="6">
        <v>124.6</v>
      </c>
      <c r="AF105" s="6" t="str">
        <f t="shared" si="3"/>
        <v>Pre Covid</v>
      </c>
      <c r="AG105" s="6"/>
    </row>
    <row r="106" spans="1:33">
      <c r="A106" s="4" t="s">
        <v>33</v>
      </c>
      <c r="B106" s="4">
        <v>2015</v>
      </c>
      <c r="C106" s="4" t="s">
        <v>43</v>
      </c>
      <c r="D106" s="4">
        <f t="shared" si="2"/>
        <v>11</v>
      </c>
      <c r="E106" s="4">
        <v>125.4</v>
      </c>
      <c r="F106" s="4">
        <v>130.30000000000001</v>
      </c>
      <c r="G106" s="4">
        <v>121.6</v>
      </c>
      <c r="H106" s="4">
        <v>129.19999999999999</v>
      </c>
      <c r="I106" s="4">
        <v>114.9</v>
      </c>
      <c r="J106" s="4">
        <v>128.19999999999999</v>
      </c>
      <c r="K106" s="4">
        <v>158.4</v>
      </c>
      <c r="L106" s="4">
        <v>171.2</v>
      </c>
      <c r="M106" s="4">
        <v>93.3</v>
      </c>
      <c r="N106" s="4">
        <v>131.19999999999999</v>
      </c>
      <c r="O106" s="4">
        <v>121.7</v>
      </c>
      <c r="P106" s="4">
        <v>134</v>
      </c>
      <c r="Q106" s="4">
        <v>132.69999999999999</v>
      </c>
      <c r="R106" s="4">
        <v>133.6</v>
      </c>
      <c r="S106" s="4">
        <v>129.30000000000001</v>
      </c>
      <c r="T106" s="4">
        <v>124.5</v>
      </c>
      <c r="U106" s="4">
        <v>128.6</v>
      </c>
      <c r="V106" s="4">
        <v>122.9</v>
      </c>
      <c r="W106" s="4">
        <v>121.6</v>
      </c>
      <c r="X106" s="4">
        <v>123.4</v>
      </c>
      <c r="Y106" s="4">
        <v>120.9</v>
      </c>
      <c r="Z106" s="4">
        <v>111.5</v>
      </c>
      <c r="AA106" s="4">
        <v>119.2</v>
      </c>
      <c r="AB106" s="4">
        <v>126.3</v>
      </c>
      <c r="AC106" s="4">
        <v>113.8</v>
      </c>
      <c r="AD106" s="4">
        <v>118.1</v>
      </c>
      <c r="AE106" s="4">
        <v>126.6</v>
      </c>
      <c r="AF106" s="4" t="str">
        <f t="shared" si="3"/>
        <v>Pre Covid</v>
      </c>
      <c r="AG106" s="4"/>
    </row>
    <row r="107" spans="1:33">
      <c r="A107" s="6" t="s">
        <v>30</v>
      </c>
      <c r="B107" s="6">
        <v>2015</v>
      </c>
      <c r="C107" s="6" t="s">
        <v>44</v>
      </c>
      <c r="D107" s="6">
        <f t="shared" si="2"/>
        <v>12</v>
      </c>
      <c r="E107" s="6">
        <v>126.3</v>
      </c>
      <c r="F107" s="6">
        <v>131.30000000000001</v>
      </c>
      <c r="G107" s="6">
        <v>123.3</v>
      </c>
      <c r="H107" s="6">
        <v>129.80000000000001</v>
      </c>
      <c r="I107" s="6">
        <v>118.3</v>
      </c>
      <c r="J107" s="6">
        <v>131.6</v>
      </c>
      <c r="K107" s="6">
        <v>145.5</v>
      </c>
      <c r="L107" s="6">
        <v>162.1</v>
      </c>
      <c r="M107" s="6">
        <v>95.4</v>
      </c>
      <c r="N107" s="6">
        <v>128.9</v>
      </c>
      <c r="O107" s="6">
        <v>123.3</v>
      </c>
      <c r="P107" s="6">
        <v>135.1</v>
      </c>
      <c r="Q107" s="6">
        <v>131.4</v>
      </c>
      <c r="R107" s="6">
        <v>133.1</v>
      </c>
      <c r="S107" s="6">
        <v>132.5</v>
      </c>
      <c r="T107" s="6">
        <v>128.5</v>
      </c>
      <c r="U107" s="6">
        <v>131.9</v>
      </c>
      <c r="V107" s="6">
        <v>122.65</v>
      </c>
      <c r="W107" s="6">
        <v>125.7</v>
      </c>
      <c r="X107" s="6">
        <v>126</v>
      </c>
      <c r="Y107" s="6">
        <v>123.1</v>
      </c>
      <c r="Z107" s="6">
        <v>114</v>
      </c>
      <c r="AA107" s="6">
        <v>121.6</v>
      </c>
      <c r="AB107" s="6">
        <v>125.6</v>
      </c>
      <c r="AC107" s="6">
        <v>114.1</v>
      </c>
      <c r="AD107" s="6">
        <v>119.8</v>
      </c>
      <c r="AE107" s="6">
        <v>127.9</v>
      </c>
      <c r="AF107" s="6" t="str">
        <f t="shared" si="3"/>
        <v>Pre Covid</v>
      </c>
      <c r="AG107" s="6"/>
    </row>
    <row r="108" spans="1:33">
      <c r="A108" s="4" t="s">
        <v>32</v>
      </c>
      <c r="B108" s="4">
        <v>2015</v>
      </c>
      <c r="C108" s="4" t="s">
        <v>44</v>
      </c>
      <c r="D108" s="4">
        <f t="shared" si="2"/>
        <v>12</v>
      </c>
      <c r="E108" s="4">
        <v>124.3</v>
      </c>
      <c r="F108" s="4">
        <v>131.69999999999999</v>
      </c>
      <c r="G108" s="4">
        <v>127.1</v>
      </c>
      <c r="H108" s="4">
        <v>128.6</v>
      </c>
      <c r="I108" s="4">
        <v>110</v>
      </c>
      <c r="J108" s="4">
        <v>120.8</v>
      </c>
      <c r="K108" s="4">
        <v>149</v>
      </c>
      <c r="L108" s="4">
        <v>190.1</v>
      </c>
      <c r="M108" s="4">
        <v>92.7</v>
      </c>
      <c r="N108" s="4">
        <v>138.6</v>
      </c>
      <c r="O108" s="4">
        <v>120.2</v>
      </c>
      <c r="P108" s="4">
        <v>134.19999999999999</v>
      </c>
      <c r="Q108" s="4">
        <v>131.5</v>
      </c>
      <c r="R108" s="4">
        <v>138.19999999999999</v>
      </c>
      <c r="S108" s="4">
        <v>125.4</v>
      </c>
      <c r="T108" s="4">
        <v>119.5</v>
      </c>
      <c r="U108" s="4">
        <v>124.5</v>
      </c>
      <c r="V108" s="4">
        <v>122.4</v>
      </c>
      <c r="W108" s="4">
        <v>116</v>
      </c>
      <c r="X108" s="4">
        <v>121</v>
      </c>
      <c r="Y108" s="4">
        <v>118.6</v>
      </c>
      <c r="Z108" s="4">
        <v>109.3</v>
      </c>
      <c r="AA108" s="4">
        <v>118.1</v>
      </c>
      <c r="AB108" s="4">
        <v>126.6</v>
      </c>
      <c r="AC108" s="4">
        <v>113.2</v>
      </c>
      <c r="AD108" s="4">
        <v>116.7</v>
      </c>
      <c r="AE108" s="4">
        <v>124</v>
      </c>
      <c r="AF108" s="4" t="str">
        <f t="shared" si="3"/>
        <v>Pre Covid</v>
      </c>
      <c r="AG108" s="4"/>
    </row>
    <row r="109" spans="1:33">
      <c r="A109" s="6" t="s">
        <v>33</v>
      </c>
      <c r="B109" s="6">
        <v>2015</v>
      </c>
      <c r="C109" s="6" t="s">
        <v>44</v>
      </c>
      <c r="D109" s="6">
        <f t="shared" si="2"/>
        <v>12</v>
      </c>
      <c r="E109" s="6">
        <v>125.7</v>
      </c>
      <c r="F109" s="6">
        <v>131.4</v>
      </c>
      <c r="G109" s="6">
        <v>124.8</v>
      </c>
      <c r="H109" s="6">
        <v>129.4</v>
      </c>
      <c r="I109" s="6">
        <v>115.3</v>
      </c>
      <c r="J109" s="6">
        <v>126.6</v>
      </c>
      <c r="K109" s="6">
        <v>146.69999999999999</v>
      </c>
      <c r="L109" s="6">
        <v>171.5</v>
      </c>
      <c r="M109" s="6">
        <v>94.5</v>
      </c>
      <c r="N109" s="6">
        <v>132.1</v>
      </c>
      <c r="O109" s="6">
        <v>122</v>
      </c>
      <c r="P109" s="6">
        <v>134.69999999999999</v>
      </c>
      <c r="Q109" s="6">
        <v>131.4</v>
      </c>
      <c r="R109" s="6">
        <v>134.5</v>
      </c>
      <c r="S109" s="6">
        <v>129.69999999999999</v>
      </c>
      <c r="T109" s="6">
        <v>124.8</v>
      </c>
      <c r="U109" s="6">
        <v>129</v>
      </c>
      <c r="V109" s="6">
        <v>122.4</v>
      </c>
      <c r="W109" s="6">
        <v>122</v>
      </c>
      <c r="X109" s="6">
        <v>123.6</v>
      </c>
      <c r="Y109" s="6">
        <v>121.4</v>
      </c>
      <c r="Z109" s="6">
        <v>111.5</v>
      </c>
      <c r="AA109" s="6">
        <v>119.6</v>
      </c>
      <c r="AB109" s="6">
        <v>126.2</v>
      </c>
      <c r="AC109" s="6">
        <v>113.7</v>
      </c>
      <c r="AD109" s="6">
        <v>118.3</v>
      </c>
      <c r="AE109" s="6">
        <v>126.1</v>
      </c>
      <c r="AF109" s="6" t="str">
        <f t="shared" si="3"/>
        <v>Pre Covid</v>
      </c>
      <c r="AG109" s="6"/>
    </row>
    <row r="110" spans="1:33">
      <c r="A110" s="4" t="s">
        <v>30</v>
      </c>
      <c r="B110" s="4">
        <v>2016</v>
      </c>
      <c r="C110" s="4" t="s">
        <v>31</v>
      </c>
      <c r="D110" s="4">
        <f t="shared" si="2"/>
        <v>1</v>
      </c>
      <c r="E110" s="4">
        <v>126.8</v>
      </c>
      <c r="F110" s="4">
        <v>133.19999999999999</v>
      </c>
      <c r="G110" s="4">
        <v>126.5</v>
      </c>
      <c r="H110" s="4">
        <v>130.30000000000001</v>
      </c>
      <c r="I110" s="4">
        <v>118.9</v>
      </c>
      <c r="J110" s="4">
        <v>131.6</v>
      </c>
      <c r="K110" s="4">
        <v>140.1</v>
      </c>
      <c r="L110" s="4">
        <v>163.80000000000001</v>
      </c>
      <c r="M110" s="4">
        <v>97.7</v>
      </c>
      <c r="N110" s="4">
        <v>129.6</v>
      </c>
      <c r="O110" s="4">
        <v>124.3</v>
      </c>
      <c r="P110" s="4">
        <v>135.9</v>
      </c>
      <c r="Q110" s="4">
        <v>131.4</v>
      </c>
      <c r="R110" s="4">
        <v>133.6</v>
      </c>
      <c r="S110" s="4">
        <v>133.19999999999999</v>
      </c>
      <c r="T110" s="4">
        <v>128.9</v>
      </c>
      <c r="U110" s="4">
        <v>132.6</v>
      </c>
      <c r="V110" s="4">
        <v>123.9</v>
      </c>
      <c r="W110" s="4">
        <v>126.2</v>
      </c>
      <c r="X110" s="4">
        <v>126.6</v>
      </c>
      <c r="Y110" s="4">
        <v>123.7</v>
      </c>
      <c r="Z110" s="4">
        <v>113.6</v>
      </c>
      <c r="AA110" s="4">
        <v>121.4</v>
      </c>
      <c r="AB110" s="4">
        <v>126.2</v>
      </c>
      <c r="AC110" s="4">
        <v>114.9</v>
      </c>
      <c r="AD110" s="4">
        <v>120.1</v>
      </c>
      <c r="AE110" s="4">
        <v>128.1</v>
      </c>
      <c r="AF110" s="4" t="str">
        <f t="shared" si="3"/>
        <v>Pre Covid</v>
      </c>
      <c r="AG110" s="4"/>
    </row>
    <row r="111" spans="1:33">
      <c r="A111" s="6" t="s">
        <v>32</v>
      </c>
      <c r="B111" s="6">
        <v>2016</v>
      </c>
      <c r="C111" s="6" t="s">
        <v>31</v>
      </c>
      <c r="D111" s="6">
        <f t="shared" si="2"/>
        <v>1</v>
      </c>
      <c r="E111" s="6">
        <v>124.7</v>
      </c>
      <c r="F111" s="6">
        <v>135.9</v>
      </c>
      <c r="G111" s="6">
        <v>132</v>
      </c>
      <c r="H111" s="6">
        <v>129.19999999999999</v>
      </c>
      <c r="I111" s="6">
        <v>109.7</v>
      </c>
      <c r="J111" s="6">
        <v>119</v>
      </c>
      <c r="K111" s="6">
        <v>144.1</v>
      </c>
      <c r="L111" s="6">
        <v>184.2</v>
      </c>
      <c r="M111" s="6">
        <v>96.7</v>
      </c>
      <c r="N111" s="6">
        <v>139.5</v>
      </c>
      <c r="O111" s="6">
        <v>120.5</v>
      </c>
      <c r="P111" s="6">
        <v>134.69999999999999</v>
      </c>
      <c r="Q111" s="6">
        <v>131.19999999999999</v>
      </c>
      <c r="R111" s="6">
        <v>139.5</v>
      </c>
      <c r="S111" s="6">
        <v>125.8</v>
      </c>
      <c r="T111" s="6">
        <v>119.8</v>
      </c>
      <c r="U111" s="6">
        <v>124.9</v>
      </c>
      <c r="V111" s="6">
        <v>123.4</v>
      </c>
      <c r="W111" s="6">
        <v>116.9</v>
      </c>
      <c r="X111" s="6">
        <v>121.6</v>
      </c>
      <c r="Y111" s="6">
        <v>119.1</v>
      </c>
      <c r="Z111" s="6">
        <v>108.9</v>
      </c>
      <c r="AA111" s="6">
        <v>118.5</v>
      </c>
      <c r="AB111" s="6">
        <v>126.4</v>
      </c>
      <c r="AC111" s="6">
        <v>114</v>
      </c>
      <c r="AD111" s="6">
        <v>116.8</v>
      </c>
      <c r="AE111" s="6">
        <v>124.2</v>
      </c>
      <c r="AF111" s="6" t="str">
        <f t="shared" si="3"/>
        <v>Pre Covid</v>
      </c>
      <c r="AG111" s="6"/>
    </row>
    <row r="112" spans="1:33">
      <c r="A112" s="4" t="s">
        <v>33</v>
      </c>
      <c r="B112" s="4">
        <v>2016</v>
      </c>
      <c r="C112" s="4" t="s">
        <v>31</v>
      </c>
      <c r="D112" s="4">
        <f t="shared" si="2"/>
        <v>1</v>
      </c>
      <c r="E112" s="4">
        <v>126.1</v>
      </c>
      <c r="F112" s="4">
        <v>134.1</v>
      </c>
      <c r="G112" s="4">
        <v>128.6</v>
      </c>
      <c r="H112" s="4">
        <v>129.9</v>
      </c>
      <c r="I112" s="4">
        <v>115.5</v>
      </c>
      <c r="J112" s="4">
        <v>125.7</v>
      </c>
      <c r="K112" s="4">
        <v>141.5</v>
      </c>
      <c r="L112" s="4">
        <v>170.7</v>
      </c>
      <c r="M112" s="4">
        <v>97.4</v>
      </c>
      <c r="N112" s="4">
        <v>132.9</v>
      </c>
      <c r="O112" s="4">
        <v>122.7</v>
      </c>
      <c r="P112" s="4">
        <v>135.30000000000001</v>
      </c>
      <c r="Q112" s="4">
        <v>131.30000000000001</v>
      </c>
      <c r="R112" s="4">
        <v>135.19999999999999</v>
      </c>
      <c r="S112" s="4">
        <v>130.30000000000001</v>
      </c>
      <c r="T112" s="4">
        <v>125.1</v>
      </c>
      <c r="U112" s="4">
        <v>129.5</v>
      </c>
      <c r="V112" s="4">
        <v>123.4</v>
      </c>
      <c r="W112" s="4">
        <v>122.7</v>
      </c>
      <c r="X112" s="4">
        <v>124.2</v>
      </c>
      <c r="Y112" s="4">
        <v>122</v>
      </c>
      <c r="Z112" s="4">
        <v>111.1</v>
      </c>
      <c r="AA112" s="4">
        <v>119.8</v>
      </c>
      <c r="AB112" s="4">
        <v>126.3</v>
      </c>
      <c r="AC112" s="4">
        <v>114.5</v>
      </c>
      <c r="AD112" s="4">
        <v>118.5</v>
      </c>
      <c r="AE112" s="4">
        <v>126.3</v>
      </c>
      <c r="AF112" s="4" t="str">
        <f t="shared" si="3"/>
        <v>Pre Covid</v>
      </c>
      <c r="AG112" s="4"/>
    </row>
    <row r="113" spans="1:33">
      <c r="A113" s="6" t="s">
        <v>30</v>
      </c>
      <c r="B113" s="6">
        <v>2016</v>
      </c>
      <c r="C113" s="6" t="s">
        <v>34</v>
      </c>
      <c r="D113" s="6">
        <f t="shared" si="2"/>
        <v>2</v>
      </c>
      <c r="E113" s="6">
        <v>127.1</v>
      </c>
      <c r="F113" s="6">
        <v>133.69999999999999</v>
      </c>
      <c r="G113" s="6">
        <v>127.7</v>
      </c>
      <c r="H113" s="6">
        <v>130.69999999999999</v>
      </c>
      <c r="I113" s="6">
        <v>118.5</v>
      </c>
      <c r="J113" s="6">
        <v>130.4</v>
      </c>
      <c r="K113" s="6">
        <v>130.9</v>
      </c>
      <c r="L113" s="6">
        <v>162.80000000000001</v>
      </c>
      <c r="M113" s="6">
        <v>98.7</v>
      </c>
      <c r="N113" s="6">
        <v>130.6</v>
      </c>
      <c r="O113" s="6">
        <v>124.8</v>
      </c>
      <c r="P113" s="6">
        <v>136.4</v>
      </c>
      <c r="Q113" s="6">
        <v>130.30000000000001</v>
      </c>
      <c r="R113" s="6">
        <v>134.4</v>
      </c>
      <c r="S113" s="6">
        <v>133.9</v>
      </c>
      <c r="T113" s="6">
        <v>129.80000000000001</v>
      </c>
      <c r="U113" s="6">
        <v>133.4</v>
      </c>
      <c r="V113" s="6">
        <v>123.9</v>
      </c>
      <c r="W113" s="6">
        <v>127.5</v>
      </c>
      <c r="X113" s="6">
        <v>127.1</v>
      </c>
      <c r="Y113" s="6">
        <v>124.3</v>
      </c>
      <c r="Z113" s="6">
        <v>113.9</v>
      </c>
      <c r="AA113" s="6">
        <v>122.3</v>
      </c>
      <c r="AB113" s="6">
        <v>127.1</v>
      </c>
      <c r="AC113" s="6">
        <v>116.8</v>
      </c>
      <c r="AD113" s="6">
        <v>120.9</v>
      </c>
      <c r="AE113" s="6">
        <v>127.9</v>
      </c>
      <c r="AF113" s="6" t="str">
        <f t="shared" si="3"/>
        <v>Pre Covid</v>
      </c>
      <c r="AG113" s="6"/>
    </row>
    <row r="114" spans="1:33">
      <c r="A114" s="4" t="s">
        <v>32</v>
      </c>
      <c r="B114" s="4">
        <v>2016</v>
      </c>
      <c r="C114" s="4" t="s">
        <v>34</v>
      </c>
      <c r="D114" s="4">
        <f t="shared" si="2"/>
        <v>2</v>
      </c>
      <c r="E114" s="4">
        <v>124.8</v>
      </c>
      <c r="F114" s="4">
        <v>135.1</v>
      </c>
      <c r="G114" s="4">
        <v>130.30000000000001</v>
      </c>
      <c r="H114" s="4">
        <v>129.6</v>
      </c>
      <c r="I114" s="4">
        <v>108.4</v>
      </c>
      <c r="J114" s="4">
        <v>118.6</v>
      </c>
      <c r="K114" s="4">
        <v>129.19999999999999</v>
      </c>
      <c r="L114" s="4">
        <v>176.4</v>
      </c>
      <c r="M114" s="4">
        <v>99.1</v>
      </c>
      <c r="N114" s="4">
        <v>139.69999999999999</v>
      </c>
      <c r="O114" s="4">
        <v>120.6</v>
      </c>
      <c r="P114" s="4">
        <v>135.19999999999999</v>
      </c>
      <c r="Q114" s="4">
        <v>129.1</v>
      </c>
      <c r="R114" s="4">
        <v>140</v>
      </c>
      <c r="S114" s="4">
        <v>126.2</v>
      </c>
      <c r="T114" s="4">
        <v>120.1</v>
      </c>
      <c r="U114" s="4">
        <v>125.3</v>
      </c>
      <c r="V114" s="4">
        <v>124.4</v>
      </c>
      <c r="W114" s="4">
        <v>116</v>
      </c>
      <c r="X114" s="4">
        <v>121.8</v>
      </c>
      <c r="Y114" s="4">
        <v>119.5</v>
      </c>
      <c r="Z114" s="4">
        <v>109.1</v>
      </c>
      <c r="AA114" s="4">
        <v>118.8</v>
      </c>
      <c r="AB114" s="4">
        <v>126.3</v>
      </c>
      <c r="AC114" s="4">
        <v>116.2</v>
      </c>
      <c r="AD114" s="4">
        <v>117.2</v>
      </c>
      <c r="AE114" s="4">
        <v>123.8</v>
      </c>
      <c r="AF114" s="4" t="str">
        <f t="shared" si="3"/>
        <v>Pre Covid</v>
      </c>
      <c r="AG114" s="4"/>
    </row>
    <row r="115" spans="1:33">
      <c r="A115" s="6" t="s">
        <v>33</v>
      </c>
      <c r="B115" s="6">
        <v>2016</v>
      </c>
      <c r="C115" s="6" t="s">
        <v>34</v>
      </c>
      <c r="D115" s="6">
        <f t="shared" si="2"/>
        <v>2</v>
      </c>
      <c r="E115" s="6">
        <v>126.4</v>
      </c>
      <c r="F115" s="6">
        <v>134.19999999999999</v>
      </c>
      <c r="G115" s="6">
        <v>128.69999999999999</v>
      </c>
      <c r="H115" s="6">
        <v>130.30000000000001</v>
      </c>
      <c r="I115" s="6">
        <v>114.8</v>
      </c>
      <c r="J115" s="6">
        <v>124.9</v>
      </c>
      <c r="K115" s="6">
        <v>130.30000000000001</v>
      </c>
      <c r="L115" s="6">
        <v>167.4</v>
      </c>
      <c r="M115" s="6">
        <v>98.8</v>
      </c>
      <c r="N115" s="6">
        <v>133.6</v>
      </c>
      <c r="O115" s="6">
        <v>123</v>
      </c>
      <c r="P115" s="6">
        <v>135.80000000000001</v>
      </c>
      <c r="Q115" s="6">
        <v>129.9</v>
      </c>
      <c r="R115" s="6">
        <v>135.9</v>
      </c>
      <c r="S115" s="6">
        <v>130.9</v>
      </c>
      <c r="T115" s="6">
        <v>125.8</v>
      </c>
      <c r="U115" s="6">
        <v>130.19999999999999</v>
      </c>
      <c r="V115" s="6">
        <v>124.4</v>
      </c>
      <c r="W115" s="6">
        <v>123.1</v>
      </c>
      <c r="X115" s="6">
        <v>124.6</v>
      </c>
      <c r="Y115" s="6">
        <v>122.5</v>
      </c>
      <c r="Z115" s="6">
        <v>111.4</v>
      </c>
      <c r="AA115" s="6">
        <v>120.3</v>
      </c>
      <c r="AB115" s="6">
        <v>126.6</v>
      </c>
      <c r="AC115" s="6">
        <v>116.6</v>
      </c>
      <c r="AD115" s="6">
        <v>119.1</v>
      </c>
      <c r="AE115" s="6">
        <v>126</v>
      </c>
      <c r="AF115" s="6" t="str">
        <f t="shared" si="3"/>
        <v>Pre Covid</v>
      </c>
      <c r="AG115" s="6"/>
    </row>
    <row r="116" spans="1:33">
      <c r="A116" s="4" t="s">
        <v>30</v>
      </c>
      <c r="B116" s="4">
        <v>2016</v>
      </c>
      <c r="C116" s="4" t="s">
        <v>35</v>
      </c>
      <c r="D116" s="4">
        <f t="shared" si="2"/>
        <v>3</v>
      </c>
      <c r="E116" s="4">
        <v>127.3</v>
      </c>
      <c r="F116" s="4">
        <v>134.4</v>
      </c>
      <c r="G116" s="4">
        <v>125.1</v>
      </c>
      <c r="H116" s="4">
        <v>130.5</v>
      </c>
      <c r="I116" s="4">
        <v>118.3</v>
      </c>
      <c r="J116" s="4">
        <v>131.69999999999999</v>
      </c>
      <c r="K116" s="4">
        <v>130.69999999999999</v>
      </c>
      <c r="L116" s="4">
        <v>161.19999999999999</v>
      </c>
      <c r="M116" s="4">
        <v>100.4</v>
      </c>
      <c r="N116" s="4">
        <v>130.80000000000001</v>
      </c>
      <c r="O116" s="4">
        <v>124.9</v>
      </c>
      <c r="P116" s="4">
        <v>137</v>
      </c>
      <c r="Q116" s="4">
        <v>130.4</v>
      </c>
      <c r="R116" s="4">
        <v>135</v>
      </c>
      <c r="S116" s="4">
        <v>134.4</v>
      </c>
      <c r="T116" s="4">
        <v>130.19999999999999</v>
      </c>
      <c r="U116" s="4">
        <v>133.80000000000001</v>
      </c>
      <c r="V116" s="4">
        <v>125.25</v>
      </c>
      <c r="W116" s="4">
        <v>127</v>
      </c>
      <c r="X116" s="4">
        <v>127.7</v>
      </c>
      <c r="Y116" s="4">
        <v>124.8</v>
      </c>
      <c r="Z116" s="4">
        <v>113.6</v>
      </c>
      <c r="AA116" s="4">
        <v>122.5</v>
      </c>
      <c r="AB116" s="4">
        <v>127.5</v>
      </c>
      <c r="AC116" s="4">
        <v>117.4</v>
      </c>
      <c r="AD116" s="4">
        <v>121.1</v>
      </c>
      <c r="AE116" s="4">
        <v>128</v>
      </c>
      <c r="AF116" s="4" t="str">
        <f t="shared" si="3"/>
        <v>Pre Covid</v>
      </c>
      <c r="AG116" s="4"/>
    </row>
    <row r="117" spans="1:33">
      <c r="A117" s="6" t="s">
        <v>32</v>
      </c>
      <c r="B117" s="6">
        <v>2016</v>
      </c>
      <c r="C117" s="6" t="s">
        <v>35</v>
      </c>
      <c r="D117" s="6">
        <f t="shared" si="2"/>
        <v>3</v>
      </c>
      <c r="E117" s="6">
        <v>124.8</v>
      </c>
      <c r="F117" s="6">
        <v>136.30000000000001</v>
      </c>
      <c r="G117" s="6">
        <v>123.7</v>
      </c>
      <c r="H117" s="6">
        <v>129.69999999999999</v>
      </c>
      <c r="I117" s="6">
        <v>107.9</v>
      </c>
      <c r="J117" s="6">
        <v>119.9</v>
      </c>
      <c r="K117" s="6">
        <v>128.1</v>
      </c>
      <c r="L117" s="6">
        <v>170.3</v>
      </c>
      <c r="M117" s="6">
        <v>101.8</v>
      </c>
      <c r="N117" s="6">
        <v>140.1</v>
      </c>
      <c r="O117" s="6">
        <v>120.7</v>
      </c>
      <c r="P117" s="6">
        <v>135.4</v>
      </c>
      <c r="Q117" s="6">
        <v>128.9</v>
      </c>
      <c r="R117" s="6">
        <v>140.6</v>
      </c>
      <c r="S117" s="6">
        <v>126.4</v>
      </c>
      <c r="T117" s="6">
        <v>120.3</v>
      </c>
      <c r="U117" s="6">
        <v>125.5</v>
      </c>
      <c r="V117" s="6">
        <v>124.9</v>
      </c>
      <c r="W117" s="6">
        <v>114.8</v>
      </c>
      <c r="X117" s="6">
        <v>122.3</v>
      </c>
      <c r="Y117" s="6">
        <v>119.7</v>
      </c>
      <c r="Z117" s="6">
        <v>108.5</v>
      </c>
      <c r="AA117" s="6">
        <v>119.1</v>
      </c>
      <c r="AB117" s="6">
        <v>126.4</v>
      </c>
      <c r="AC117" s="6">
        <v>117.1</v>
      </c>
      <c r="AD117" s="6">
        <v>117.3</v>
      </c>
      <c r="AE117" s="6">
        <v>123.8</v>
      </c>
      <c r="AF117" s="6" t="str">
        <f t="shared" si="3"/>
        <v>Pre Covid</v>
      </c>
      <c r="AG117" s="6"/>
    </row>
    <row r="118" spans="1:33">
      <c r="A118" s="4" t="s">
        <v>33</v>
      </c>
      <c r="B118" s="4">
        <v>2016</v>
      </c>
      <c r="C118" s="4" t="s">
        <v>35</v>
      </c>
      <c r="D118" s="4">
        <f t="shared" si="2"/>
        <v>3</v>
      </c>
      <c r="E118" s="4">
        <v>126.5</v>
      </c>
      <c r="F118" s="4">
        <v>135.1</v>
      </c>
      <c r="G118" s="4">
        <v>124.6</v>
      </c>
      <c r="H118" s="4">
        <v>130.19999999999999</v>
      </c>
      <c r="I118" s="4">
        <v>114.5</v>
      </c>
      <c r="J118" s="4">
        <v>126.2</v>
      </c>
      <c r="K118" s="4">
        <v>129.80000000000001</v>
      </c>
      <c r="L118" s="4">
        <v>164.3</v>
      </c>
      <c r="M118" s="4">
        <v>100.9</v>
      </c>
      <c r="N118" s="4">
        <v>133.9</v>
      </c>
      <c r="O118" s="4">
        <v>123.1</v>
      </c>
      <c r="P118" s="4">
        <v>136.30000000000001</v>
      </c>
      <c r="Q118" s="4">
        <v>129.80000000000001</v>
      </c>
      <c r="R118" s="4">
        <v>136.5</v>
      </c>
      <c r="S118" s="4">
        <v>131.30000000000001</v>
      </c>
      <c r="T118" s="4">
        <v>126.1</v>
      </c>
      <c r="U118" s="4">
        <v>130.5</v>
      </c>
      <c r="V118" s="4">
        <v>124.9</v>
      </c>
      <c r="W118" s="4">
        <v>122.4</v>
      </c>
      <c r="X118" s="4">
        <v>125.1</v>
      </c>
      <c r="Y118" s="4">
        <v>122.9</v>
      </c>
      <c r="Z118" s="4">
        <v>110.9</v>
      </c>
      <c r="AA118" s="4">
        <v>120.6</v>
      </c>
      <c r="AB118" s="4">
        <v>126.9</v>
      </c>
      <c r="AC118" s="4">
        <v>117.3</v>
      </c>
      <c r="AD118" s="4">
        <v>119.3</v>
      </c>
      <c r="AE118" s="4">
        <v>126</v>
      </c>
      <c r="AF118" s="4" t="str">
        <f t="shared" si="3"/>
        <v>Pre Covid</v>
      </c>
      <c r="AG118" s="4"/>
    </row>
    <row r="119" spans="1:33">
      <c r="A119" s="6" t="s">
        <v>30</v>
      </c>
      <c r="B119" s="6">
        <v>2016</v>
      </c>
      <c r="C119" s="6" t="s">
        <v>36</v>
      </c>
      <c r="D119" s="6">
        <f t="shared" si="2"/>
        <v>4</v>
      </c>
      <c r="E119" s="6">
        <v>127.4</v>
      </c>
      <c r="F119" s="6">
        <v>135.4</v>
      </c>
      <c r="G119" s="6">
        <v>123.4</v>
      </c>
      <c r="H119" s="6">
        <v>131.30000000000001</v>
      </c>
      <c r="I119" s="6">
        <v>118.2</v>
      </c>
      <c r="J119" s="6">
        <v>138.1</v>
      </c>
      <c r="K119" s="6">
        <v>134.1</v>
      </c>
      <c r="L119" s="6">
        <v>162.69999999999999</v>
      </c>
      <c r="M119" s="6">
        <v>105</v>
      </c>
      <c r="N119" s="6">
        <v>131.4</v>
      </c>
      <c r="O119" s="6">
        <v>125.4</v>
      </c>
      <c r="P119" s="6">
        <v>137.4</v>
      </c>
      <c r="Q119" s="6">
        <v>131.80000000000001</v>
      </c>
      <c r="R119" s="6">
        <v>135.5</v>
      </c>
      <c r="S119" s="6">
        <v>135</v>
      </c>
      <c r="T119" s="6">
        <v>130.6</v>
      </c>
      <c r="U119" s="6">
        <v>134.4</v>
      </c>
      <c r="V119" s="6">
        <v>125.5</v>
      </c>
      <c r="W119" s="6">
        <v>127</v>
      </c>
      <c r="X119" s="6">
        <v>128</v>
      </c>
      <c r="Y119" s="6">
        <v>125.2</v>
      </c>
      <c r="Z119" s="6">
        <v>114.4</v>
      </c>
      <c r="AA119" s="6">
        <v>123.2</v>
      </c>
      <c r="AB119" s="6">
        <v>127.9</v>
      </c>
      <c r="AC119" s="6">
        <v>118.4</v>
      </c>
      <c r="AD119" s="6">
        <v>121.7</v>
      </c>
      <c r="AE119" s="6">
        <v>129</v>
      </c>
      <c r="AF119" s="6" t="str">
        <f t="shared" si="3"/>
        <v>Pre Covid</v>
      </c>
      <c r="AG119" s="6"/>
    </row>
    <row r="120" spans="1:33">
      <c r="A120" s="4" t="s">
        <v>32</v>
      </c>
      <c r="B120" s="4">
        <v>2016</v>
      </c>
      <c r="C120" s="4" t="s">
        <v>36</v>
      </c>
      <c r="D120" s="4">
        <f t="shared" si="2"/>
        <v>4</v>
      </c>
      <c r="E120" s="4">
        <v>124.9</v>
      </c>
      <c r="F120" s="4">
        <v>139.30000000000001</v>
      </c>
      <c r="G120" s="4">
        <v>119.9</v>
      </c>
      <c r="H120" s="4">
        <v>130.19999999999999</v>
      </c>
      <c r="I120" s="4">
        <v>108.9</v>
      </c>
      <c r="J120" s="4">
        <v>131.1</v>
      </c>
      <c r="K120" s="4">
        <v>136.80000000000001</v>
      </c>
      <c r="L120" s="4">
        <v>176.9</v>
      </c>
      <c r="M120" s="4">
        <v>109.1</v>
      </c>
      <c r="N120" s="4">
        <v>140.4</v>
      </c>
      <c r="O120" s="4">
        <v>121.1</v>
      </c>
      <c r="P120" s="4">
        <v>135.9</v>
      </c>
      <c r="Q120" s="4">
        <v>131.80000000000001</v>
      </c>
      <c r="R120" s="4">
        <v>141.5</v>
      </c>
      <c r="S120" s="4">
        <v>126.8</v>
      </c>
      <c r="T120" s="4">
        <v>120.5</v>
      </c>
      <c r="U120" s="4">
        <v>125.8</v>
      </c>
      <c r="V120" s="4">
        <v>125.6</v>
      </c>
      <c r="W120" s="4">
        <v>114.6</v>
      </c>
      <c r="X120" s="4">
        <v>122.8</v>
      </c>
      <c r="Y120" s="4">
        <v>120</v>
      </c>
      <c r="Z120" s="4">
        <v>110</v>
      </c>
      <c r="AA120" s="4">
        <v>119.5</v>
      </c>
      <c r="AB120" s="4">
        <v>127.6</v>
      </c>
      <c r="AC120" s="4">
        <v>117.6</v>
      </c>
      <c r="AD120" s="4">
        <v>118.2</v>
      </c>
      <c r="AE120" s="4">
        <v>125.3</v>
      </c>
      <c r="AF120" s="4" t="str">
        <f t="shared" si="3"/>
        <v>Pre Covid</v>
      </c>
      <c r="AG120" s="4"/>
    </row>
    <row r="121" spans="1:33">
      <c r="A121" s="6" t="s">
        <v>33</v>
      </c>
      <c r="B121" s="6">
        <v>2016</v>
      </c>
      <c r="C121" s="6" t="s">
        <v>36</v>
      </c>
      <c r="D121" s="6">
        <f t="shared" si="2"/>
        <v>4</v>
      </c>
      <c r="E121" s="6">
        <v>126.6</v>
      </c>
      <c r="F121" s="6">
        <v>136.80000000000001</v>
      </c>
      <c r="G121" s="6">
        <v>122</v>
      </c>
      <c r="H121" s="6">
        <v>130.9</v>
      </c>
      <c r="I121" s="6">
        <v>114.8</v>
      </c>
      <c r="J121" s="6">
        <v>134.80000000000001</v>
      </c>
      <c r="K121" s="6">
        <v>135</v>
      </c>
      <c r="L121" s="6">
        <v>167.5</v>
      </c>
      <c r="M121" s="6">
        <v>106.4</v>
      </c>
      <c r="N121" s="6">
        <v>134.4</v>
      </c>
      <c r="O121" s="6">
        <v>123.6</v>
      </c>
      <c r="P121" s="6">
        <v>136.69999999999999</v>
      </c>
      <c r="Q121" s="6">
        <v>131.80000000000001</v>
      </c>
      <c r="R121" s="6">
        <v>137.1</v>
      </c>
      <c r="S121" s="6">
        <v>131.80000000000001</v>
      </c>
      <c r="T121" s="6">
        <v>126.4</v>
      </c>
      <c r="U121" s="6">
        <v>131</v>
      </c>
      <c r="V121" s="6">
        <v>125.6</v>
      </c>
      <c r="W121" s="6">
        <v>122.3</v>
      </c>
      <c r="X121" s="6">
        <v>125.5</v>
      </c>
      <c r="Y121" s="6">
        <v>123.2</v>
      </c>
      <c r="Z121" s="6">
        <v>112.1</v>
      </c>
      <c r="AA121" s="6">
        <v>121.1</v>
      </c>
      <c r="AB121" s="6">
        <v>127.7</v>
      </c>
      <c r="AC121" s="6">
        <v>118.1</v>
      </c>
      <c r="AD121" s="6">
        <v>120</v>
      </c>
      <c r="AE121" s="6">
        <v>127.3</v>
      </c>
      <c r="AF121" s="6" t="str">
        <f t="shared" si="3"/>
        <v>Pre Covid</v>
      </c>
      <c r="AG121" s="6"/>
    </row>
    <row r="122" spans="1:33">
      <c r="A122" s="4" t="s">
        <v>30</v>
      </c>
      <c r="B122" s="4">
        <v>2016</v>
      </c>
      <c r="C122" s="4" t="s">
        <v>37</v>
      </c>
      <c r="D122" s="4">
        <f t="shared" si="2"/>
        <v>5</v>
      </c>
      <c r="E122" s="4">
        <v>127.6</v>
      </c>
      <c r="F122" s="4">
        <v>137.5</v>
      </c>
      <c r="G122" s="4">
        <v>124.4</v>
      </c>
      <c r="H122" s="4">
        <v>132.4</v>
      </c>
      <c r="I122" s="4">
        <v>118.2</v>
      </c>
      <c r="J122" s="4">
        <v>138.1</v>
      </c>
      <c r="K122" s="4">
        <v>141.80000000000001</v>
      </c>
      <c r="L122" s="4">
        <v>166</v>
      </c>
      <c r="M122" s="4">
        <v>107.5</v>
      </c>
      <c r="N122" s="4">
        <v>132.19999999999999</v>
      </c>
      <c r="O122" s="4">
        <v>126.1</v>
      </c>
      <c r="P122" s="4">
        <v>138.30000000000001</v>
      </c>
      <c r="Q122" s="4">
        <v>133.6</v>
      </c>
      <c r="R122" s="4">
        <v>136</v>
      </c>
      <c r="S122" s="4">
        <v>135.4</v>
      </c>
      <c r="T122" s="4">
        <v>131.1</v>
      </c>
      <c r="U122" s="4">
        <v>134.80000000000001</v>
      </c>
      <c r="V122" s="4">
        <v>125.75</v>
      </c>
      <c r="W122" s="4">
        <v>127.4</v>
      </c>
      <c r="X122" s="4">
        <v>128.5</v>
      </c>
      <c r="Y122" s="4">
        <v>125.8</v>
      </c>
      <c r="Z122" s="4">
        <v>115.1</v>
      </c>
      <c r="AA122" s="4">
        <v>123.6</v>
      </c>
      <c r="AB122" s="4">
        <v>129.1</v>
      </c>
      <c r="AC122" s="4">
        <v>119.7</v>
      </c>
      <c r="AD122" s="4">
        <v>122.5</v>
      </c>
      <c r="AE122" s="4">
        <v>130.30000000000001</v>
      </c>
      <c r="AF122" s="4" t="str">
        <f t="shared" si="3"/>
        <v>Pre Covid</v>
      </c>
      <c r="AG122" s="4"/>
    </row>
    <row r="123" spans="1:33">
      <c r="A123" s="6" t="s">
        <v>32</v>
      </c>
      <c r="B123" s="6">
        <v>2016</v>
      </c>
      <c r="C123" s="6" t="s">
        <v>37</v>
      </c>
      <c r="D123" s="6">
        <f t="shared" si="2"/>
        <v>5</v>
      </c>
      <c r="E123" s="6">
        <v>125</v>
      </c>
      <c r="F123" s="6">
        <v>142.1</v>
      </c>
      <c r="G123" s="6">
        <v>127</v>
      </c>
      <c r="H123" s="6">
        <v>130.4</v>
      </c>
      <c r="I123" s="6">
        <v>109.6</v>
      </c>
      <c r="J123" s="6">
        <v>133.5</v>
      </c>
      <c r="K123" s="6">
        <v>151.4</v>
      </c>
      <c r="L123" s="6">
        <v>182.8</v>
      </c>
      <c r="M123" s="6">
        <v>111.1</v>
      </c>
      <c r="N123" s="6">
        <v>141.5</v>
      </c>
      <c r="O123" s="6">
        <v>121.5</v>
      </c>
      <c r="P123" s="6">
        <v>136.30000000000001</v>
      </c>
      <c r="Q123" s="6">
        <v>134.6</v>
      </c>
      <c r="R123" s="6">
        <v>142.19999999999999</v>
      </c>
      <c r="S123" s="6">
        <v>127.2</v>
      </c>
      <c r="T123" s="6">
        <v>120.7</v>
      </c>
      <c r="U123" s="6">
        <v>126.2</v>
      </c>
      <c r="V123" s="6">
        <v>126</v>
      </c>
      <c r="W123" s="6">
        <v>115</v>
      </c>
      <c r="X123" s="6">
        <v>123.2</v>
      </c>
      <c r="Y123" s="6">
        <v>120.3</v>
      </c>
      <c r="Z123" s="6">
        <v>110.7</v>
      </c>
      <c r="AA123" s="6">
        <v>119.8</v>
      </c>
      <c r="AB123" s="6">
        <v>128</v>
      </c>
      <c r="AC123" s="6">
        <v>118.5</v>
      </c>
      <c r="AD123" s="6">
        <v>118.7</v>
      </c>
      <c r="AE123" s="6">
        <v>126.6</v>
      </c>
      <c r="AF123" s="6" t="str">
        <f t="shared" si="3"/>
        <v>Pre Covid</v>
      </c>
      <c r="AG123" s="6"/>
    </row>
    <row r="124" spans="1:33">
      <c r="A124" s="4" t="s">
        <v>33</v>
      </c>
      <c r="B124" s="4">
        <v>2016</v>
      </c>
      <c r="C124" s="4" t="s">
        <v>37</v>
      </c>
      <c r="D124" s="4">
        <f t="shared" si="2"/>
        <v>5</v>
      </c>
      <c r="E124" s="4">
        <v>126.8</v>
      </c>
      <c r="F124" s="4">
        <v>139.1</v>
      </c>
      <c r="G124" s="4">
        <v>125.4</v>
      </c>
      <c r="H124" s="4">
        <v>131.69999999999999</v>
      </c>
      <c r="I124" s="4">
        <v>115</v>
      </c>
      <c r="J124" s="4">
        <v>136</v>
      </c>
      <c r="K124" s="4">
        <v>145.1</v>
      </c>
      <c r="L124" s="4">
        <v>171.7</v>
      </c>
      <c r="M124" s="4">
        <v>108.7</v>
      </c>
      <c r="N124" s="4">
        <v>135.30000000000001</v>
      </c>
      <c r="O124" s="4">
        <v>124.2</v>
      </c>
      <c r="P124" s="4">
        <v>137.4</v>
      </c>
      <c r="Q124" s="4">
        <v>134</v>
      </c>
      <c r="R124" s="4">
        <v>137.69999999999999</v>
      </c>
      <c r="S124" s="4">
        <v>132.19999999999999</v>
      </c>
      <c r="T124" s="4">
        <v>126.8</v>
      </c>
      <c r="U124" s="4">
        <v>131.4</v>
      </c>
      <c r="V124" s="4">
        <v>126</v>
      </c>
      <c r="W124" s="4">
        <v>122.7</v>
      </c>
      <c r="X124" s="4">
        <v>126</v>
      </c>
      <c r="Y124" s="4">
        <v>123.7</v>
      </c>
      <c r="Z124" s="4">
        <v>112.8</v>
      </c>
      <c r="AA124" s="4">
        <v>121.5</v>
      </c>
      <c r="AB124" s="4">
        <v>128.5</v>
      </c>
      <c r="AC124" s="4">
        <v>119.2</v>
      </c>
      <c r="AD124" s="4">
        <v>120.7</v>
      </c>
      <c r="AE124" s="4">
        <v>128.6</v>
      </c>
      <c r="AF124" s="4" t="str">
        <f t="shared" si="3"/>
        <v>Pre Covid</v>
      </c>
      <c r="AG124" s="4"/>
    </row>
    <row r="125" spans="1:33">
      <c r="A125" s="6" t="s">
        <v>30</v>
      </c>
      <c r="B125" s="6">
        <v>2016</v>
      </c>
      <c r="C125" s="6" t="s">
        <v>38</v>
      </c>
      <c r="D125" s="6">
        <f t="shared" si="2"/>
        <v>6</v>
      </c>
      <c r="E125" s="6">
        <v>128.6</v>
      </c>
      <c r="F125" s="6">
        <v>138.6</v>
      </c>
      <c r="G125" s="6">
        <v>126.6</v>
      </c>
      <c r="H125" s="6">
        <v>133.6</v>
      </c>
      <c r="I125" s="6">
        <v>118.6</v>
      </c>
      <c r="J125" s="6">
        <v>137.4</v>
      </c>
      <c r="K125" s="6">
        <v>152.5</v>
      </c>
      <c r="L125" s="6">
        <v>169.2</v>
      </c>
      <c r="M125" s="6">
        <v>108.8</v>
      </c>
      <c r="N125" s="6">
        <v>133.1</v>
      </c>
      <c r="O125" s="6">
        <v>126.4</v>
      </c>
      <c r="P125" s="6">
        <v>139.19999999999999</v>
      </c>
      <c r="Q125" s="6">
        <v>136</v>
      </c>
      <c r="R125" s="6">
        <v>137.19999999999999</v>
      </c>
      <c r="S125" s="6">
        <v>136.30000000000001</v>
      </c>
      <c r="T125" s="6">
        <v>131.6</v>
      </c>
      <c r="U125" s="6">
        <v>135.6</v>
      </c>
      <c r="V125" s="6">
        <v>125.75</v>
      </c>
      <c r="W125" s="6">
        <v>128</v>
      </c>
      <c r="X125" s="6">
        <v>129.30000000000001</v>
      </c>
      <c r="Y125" s="6">
        <v>126.2</v>
      </c>
      <c r="Z125" s="6">
        <v>116.3</v>
      </c>
      <c r="AA125" s="6">
        <v>124.1</v>
      </c>
      <c r="AB125" s="6">
        <v>130.19999999999999</v>
      </c>
      <c r="AC125" s="6">
        <v>119.9</v>
      </c>
      <c r="AD125" s="6">
        <v>123.3</v>
      </c>
      <c r="AE125" s="6">
        <v>131.9</v>
      </c>
      <c r="AF125" s="6" t="str">
        <f t="shared" si="3"/>
        <v>Pre Covid</v>
      </c>
      <c r="AG125" s="6"/>
    </row>
    <row r="126" spans="1:33">
      <c r="A126" s="4" t="s">
        <v>32</v>
      </c>
      <c r="B126" s="4">
        <v>2016</v>
      </c>
      <c r="C126" s="4" t="s">
        <v>38</v>
      </c>
      <c r="D126" s="4">
        <f t="shared" si="2"/>
        <v>6</v>
      </c>
      <c r="E126" s="4">
        <v>125.9</v>
      </c>
      <c r="F126" s="4">
        <v>143.9</v>
      </c>
      <c r="G126" s="4">
        <v>130.9</v>
      </c>
      <c r="H126" s="4">
        <v>131</v>
      </c>
      <c r="I126" s="4">
        <v>110.2</v>
      </c>
      <c r="J126" s="4">
        <v>135.5</v>
      </c>
      <c r="K126" s="4">
        <v>173.7</v>
      </c>
      <c r="L126" s="4">
        <v>184.4</v>
      </c>
      <c r="M126" s="4">
        <v>112</v>
      </c>
      <c r="N126" s="4">
        <v>142.80000000000001</v>
      </c>
      <c r="O126" s="4">
        <v>121.6</v>
      </c>
      <c r="P126" s="4">
        <v>136.9</v>
      </c>
      <c r="Q126" s="4">
        <v>138.19999999999999</v>
      </c>
      <c r="R126" s="4">
        <v>142.69999999999999</v>
      </c>
      <c r="S126" s="4">
        <v>127.6</v>
      </c>
      <c r="T126" s="4">
        <v>121.1</v>
      </c>
      <c r="U126" s="4">
        <v>126.6</v>
      </c>
      <c r="V126" s="4">
        <v>125.5</v>
      </c>
      <c r="W126" s="4">
        <v>115.5</v>
      </c>
      <c r="X126" s="4">
        <v>123.2</v>
      </c>
      <c r="Y126" s="4">
        <v>120.6</v>
      </c>
      <c r="Z126" s="4">
        <v>112.3</v>
      </c>
      <c r="AA126" s="4">
        <v>119.9</v>
      </c>
      <c r="AB126" s="4">
        <v>129.30000000000001</v>
      </c>
      <c r="AC126" s="4">
        <v>118.8</v>
      </c>
      <c r="AD126" s="4">
        <v>119.6</v>
      </c>
      <c r="AE126" s="4">
        <v>128.1</v>
      </c>
      <c r="AF126" s="4" t="str">
        <f t="shared" si="3"/>
        <v>Pre Covid</v>
      </c>
      <c r="AG126" s="4"/>
    </row>
    <row r="127" spans="1:33">
      <c r="A127" s="6" t="s">
        <v>33</v>
      </c>
      <c r="B127" s="6">
        <v>2016</v>
      </c>
      <c r="C127" s="6" t="s">
        <v>38</v>
      </c>
      <c r="D127" s="6">
        <f t="shared" si="2"/>
        <v>6</v>
      </c>
      <c r="E127" s="6">
        <v>127.7</v>
      </c>
      <c r="F127" s="6">
        <v>140.5</v>
      </c>
      <c r="G127" s="6">
        <v>128.30000000000001</v>
      </c>
      <c r="H127" s="6">
        <v>132.6</v>
      </c>
      <c r="I127" s="6">
        <v>115.5</v>
      </c>
      <c r="J127" s="6">
        <v>136.5</v>
      </c>
      <c r="K127" s="6">
        <v>159.69999999999999</v>
      </c>
      <c r="L127" s="6">
        <v>174.3</v>
      </c>
      <c r="M127" s="6">
        <v>109.9</v>
      </c>
      <c r="N127" s="6">
        <v>136.30000000000001</v>
      </c>
      <c r="O127" s="6">
        <v>124.4</v>
      </c>
      <c r="P127" s="6">
        <v>138.1</v>
      </c>
      <c r="Q127" s="6">
        <v>136.80000000000001</v>
      </c>
      <c r="R127" s="6">
        <v>138.69999999999999</v>
      </c>
      <c r="S127" s="6">
        <v>132.9</v>
      </c>
      <c r="T127" s="6">
        <v>127.2</v>
      </c>
      <c r="U127" s="6">
        <v>132</v>
      </c>
      <c r="V127" s="6">
        <v>125.5</v>
      </c>
      <c r="W127" s="6">
        <v>123.3</v>
      </c>
      <c r="X127" s="6">
        <v>126.4</v>
      </c>
      <c r="Y127" s="6">
        <v>124.1</v>
      </c>
      <c r="Z127" s="6">
        <v>114.2</v>
      </c>
      <c r="AA127" s="6">
        <v>121.7</v>
      </c>
      <c r="AB127" s="6">
        <v>129.69999999999999</v>
      </c>
      <c r="AC127" s="6">
        <v>119.4</v>
      </c>
      <c r="AD127" s="6">
        <v>121.5</v>
      </c>
      <c r="AE127" s="6">
        <v>130.1</v>
      </c>
      <c r="AF127" s="6" t="str">
        <f t="shared" si="3"/>
        <v>Pre Covid</v>
      </c>
      <c r="AG127" s="6"/>
    </row>
    <row r="128" spans="1:33">
      <c r="A128" s="4" t="s">
        <v>30</v>
      </c>
      <c r="B128" s="4">
        <v>2016</v>
      </c>
      <c r="C128" s="4" t="s">
        <v>39</v>
      </c>
      <c r="D128" s="4">
        <f t="shared" si="2"/>
        <v>7</v>
      </c>
      <c r="E128" s="4">
        <v>129.30000000000001</v>
      </c>
      <c r="F128" s="4">
        <v>139.5</v>
      </c>
      <c r="G128" s="4">
        <v>129.6</v>
      </c>
      <c r="H128" s="4">
        <v>134.5</v>
      </c>
      <c r="I128" s="4">
        <v>119.5</v>
      </c>
      <c r="J128" s="4">
        <v>138.5</v>
      </c>
      <c r="K128" s="4">
        <v>158.19999999999999</v>
      </c>
      <c r="L128" s="4">
        <v>171.8</v>
      </c>
      <c r="M128" s="4">
        <v>110.3</v>
      </c>
      <c r="N128" s="4">
        <v>134.30000000000001</v>
      </c>
      <c r="O128" s="4">
        <v>127.3</v>
      </c>
      <c r="P128" s="4">
        <v>139.9</v>
      </c>
      <c r="Q128" s="4">
        <v>137.6</v>
      </c>
      <c r="R128" s="4">
        <v>138</v>
      </c>
      <c r="S128" s="4">
        <v>137.19999999999999</v>
      </c>
      <c r="T128" s="4">
        <v>132.19999999999999</v>
      </c>
      <c r="U128" s="4">
        <v>136.5</v>
      </c>
      <c r="V128" s="4">
        <v>126.85000000000001</v>
      </c>
      <c r="W128" s="4">
        <v>128.19999999999999</v>
      </c>
      <c r="X128" s="4">
        <v>130</v>
      </c>
      <c r="Y128" s="4">
        <v>126.7</v>
      </c>
      <c r="Z128" s="4">
        <v>116.4</v>
      </c>
      <c r="AA128" s="4">
        <v>125.2</v>
      </c>
      <c r="AB128" s="4">
        <v>130.80000000000001</v>
      </c>
      <c r="AC128" s="4">
        <v>120.9</v>
      </c>
      <c r="AD128" s="4">
        <v>123.8</v>
      </c>
      <c r="AE128" s="4">
        <v>133</v>
      </c>
      <c r="AF128" s="4" t="str">
        <f t="shared" si="3"/>
        <v>Pre Covid</v>
      </c>
      <c r="AG128" s="4"/>
    </row>
    <row r="129" spans="1:33">
      <c r="A129" s="6" t="s">
        <v>32</v>
      </c>
      <c r="B129" s="6">
        <v>2016</v>
      </c>
      <c r="C129" s="6" t="s">
        <v>39</v>
      </c>
      <c r="D129" s="6">
        <f t="shared" si="2"/>
        <v>7</v>
      </c>
      <c r="E129" s="6">
        <v>126.8</v>
      </c>
      <c r="F129" s="6">
        <v>144.19999999999999</v>
      </c>
      <c r="G129" s="6">
        <v>136.6</v>
      </c>
      <c r="H129" s="6">
        <v>131.80000000000001</v>
      </c>
      <c r="I129" s="6">
        <v>111</v>
      </c>
      <c r="J129" s="6">
        <v>137</v>
      </c>
      <c r="K129" s="6">
        <v>179.5</v>
      </c>
      <c r="L129" s="6">
        <v>188.4</v>
      </c>
      <c r="M129" s="6">
        <v>113.3</v>
      </c>
      <c r="N129" s="6">
        <v>143.9</v>
      </c>
      <c r="O129" s="6">
        <v>121.7</v>
      </c>
      <c r="P129" s="6">
        <v>137.5</v>
      </c>
      <c r="Q129" s="6">
        <v>139.80000000000001</v>
      </c>
      <c r="R129" s="6">
        <v>142.9</v>
      </c>
      <c r="S129" s="6">
        <v>127.9</v>
      </c>
      <c r="T129" s="6">
        <v>121.1</v>
      </c>
      <c r="U129" s="6">
        <v>126.9</v>
      </c>
      <c r="V129" s="6">
        <v>126.4</v>
      </c>
      <c r="W129" s="6">
        <v>115.5</v>
      </c>
      <c r="X129" s="6">
        <v>123.5</v>
      </c>
      <c r="Y129" s="6">
        <v>120.9</v>
      </c>
      <c r="Z129" s="6">
        <v>111.7</v>
      </c>
      <c r="AA129" s="6">
        <v>120.3</v>
      </c>
      <c r="AB129" s="6">
        <v>130.80000000000001</v>
      </c>
      <c r="AC129" s="6">
        <v>120</v>
      </c>
      <c r="AD129" s="6">
        <v>119.9</v>
      </c>
      <c r="AE129" s="6">
        <v>129</v>
      </c>
      <c r="AF129" s="6" t="str">
        <f t="shared" si="3"/>
        <v>Pre Covid</v>
      </c>
      <c r="AG129" s="6"/>
    </row>
    <row r="130" spans="1:33">
      <c r="A130" s="4" t="s">
        <v>33</v>
      </c>
      <c r="B130" s="4">
        <v>2016</v>
      </c>
      <c r="C130" s="4" t="s">
        <v>39</v>
      </c>
      <c r="D130" s="4">
        <f t="shared" si="2"/>
        <v>7</v>
      </c>
      <c r="E130" s="4">
        <v>128.5</v>
      </c>
      <c r="F130" s="4">
        <v>141.19999999999999</v>
      </c>
      <c r="G130" s="4">
        <v>132.30000000000001</v>
      </c>
      <c r="H130" s="4">
        <v>133.5</v>
      </c>
      <c r="I130" s="4">
        <v>116.4</v>
      </c>
      <c r="J130" s="4">
        <v>137.80000000000001</v>
      </c>
      <c r="K130" s="4">
        <v>165.4</v>
      </c>
      <c r="L130" s="4">
        <v>177.4</v>
      </c>
      <c r="M130" s="4">
        <v>111.3</v>
      </c>
      <c r="N130" s="4">
        <v>137.5</v>
      </c>
      <c r="O130" s="4">
        <v>125</v>
      </c>
      <c r="P130" s="4">
        <v>138.80000000000001</v>
      </c>
      <c r="Q130" s="4">
        <v>138.4</v>
      </c>
      <c r="R130" s="4">
        <v>139.30000000000001</v>
      </c>
      <c r="S130" s="4">
        <v>133.5</v>
      </c>
      <c r="T130" s="4">
        <v>127.6</v>
      </c>
      <c r="U130" s="4">
        <v>132.69999999999999</v>
      </c>
      <c r="V130" s="4">
        <v>126.4</v>
      </c>
      <c r="W130" s="4">
        <v>123.4</v>
      </c>
      <c r="X130" s="4">
        <v>126.9</v>
      </c>
      <c r="Y130" s="4">
        <v>124.5</v>
      </c>
      <c r="Z130" s="4">
        <v>113.9</v>
      </c>
      <c r="AA130" s="4">
        <v>122.4</v>
      </c>
      <c r="AB130" s="4">
        <v>130.80000000000001</v>
      </c>
      <c r="AC130" s="4">
        <v>120.5</v>
      </c>
      <c r="AD130" s="4">
        <v>121.9</v>
      </c>
      <c r="AE130" s="4">
        <v>131.1</v>
      </c>
      <c r="AF130" s="4" t="str">
        <f t="shared" si="3"/>
        <v>Pre Covid</v>
      </c>
      <c r="AG130" s="4"/>
    </row>
    <row r="131" spans="1:33">
      <c r="A131" s="6" t="s">
        <v>30</v>
      </c>
      <c r="B131" s="6">
        <v>2016</v>
      </c>
      <c r="C131" s="6" t="s">
        <v>40</v>
      </c>
      <c r="D131" s="6">
        <f t="shared" ref="D131:D194" si="4">MONTH(DATEVALUE(C131 &amp; " 1"))</f>
        <v>8</v>
      </c>
      <c r="E131" s="6">
        <v>130.1</v>
      </c>
      <c r="F131" s="6">
        <v>138.80000000000001</v>
      </c>
      <c r="G131" s="6">
        <v>130.30000000000001</v>
      </c>
      <c r="H131" s="6">
        <v>135.30000000000001</v>
      </c>
      <c r="I131" s="6">
        <v>119.9</v>
      </c>
      <c r="J131" s="6">
        <v>140.19999999999999</v>
      </c>
      <c r="K131" s="6">
        <v>156.9</v>
      </c>
      <c r="L131" s="6">
        <v>172.2</v>
      </c>
      <c r="M131" s="6">
        <v>112.1</v>
      </c>
      <c r="N131" s="6">
        <v>134.9</v>
      </c>
      <c r="O131" s="6">
        <v>128.1</v>
      </c>
      <c r="P131" s="6">
        <v>140.69999999999999</v>
      </c>
      <c r="Q131" s="6">
        <v>138</v>
      </c>
      <c r="R131" s="6">
        <v>138.9</v>
      </c>
      <c r="S131" s="6">
        <v>137.80000000000001</v>
      </c>
      <c r="T131" s="6">
        <v>133</v>
      </c>
      <c r="U131" s="6">
        <v>137.1</v>
      </c>
      <c r="V131" s="6">
        <v>126.85</v>
      </c>
      <c r="W131" s="6">
        <v>129.1</v>
      </c>
      <c r="X131" s="6">
        <v>130.6</v>
      </c>
      <c r="Y131" s="6">
        <v>127</v>
      </c>
      <c r="Z131" s="6">
        <v>116</v>
      </c>
      <c r="AA131" s="6">
        <v>125.5</v>
      </c>
      <c r="AB131" s="6">
        <v>131.9</v>
      </c>
      <c r="AC131" s="6">
        <v>122</v>
      </c>
      <c r="AD131" s="6">
        <v>124.2</v>
      </c>
      <c r="AE131" s="6">
        <v>133.5</v>
      </c>
      <c r="AF131" s="6" t="str">
        <f t="shared" ref="AF131:AF194" si="5">IF(AND(B131=2020,D131&lt;4),"Pre Covid",IF(B131&lt;2020,"Pre Covid","Post Covid"))</f>
        <v>Pre Covid</v>
      </c>
      <c r="AG131" s="6"/>
    </row>
    <row r="132" spans="1:33">
      <c r="A132" s="4" t="s">
        <v>32</v>
      </c>
      <c r="B132" s="4">
        <v>2016</v>
      </c>
      <c r="C132" s="4" t="s">
        <v>40</v>
      </c>
      <c r="D132" s="4">
        <f t="shared" si="4"/>
        <v>8</v>
      </c>
      <c r="E132" s="4">
        <v>127.6</v>
      </c>
      <c r="F132" s="4">
        <v>140.30000000000001</v>
      </c>
      <c r="G132" s="4">
        <v>133.69999999999999</v>
      </c>
      <c r="H132" s="4">
        <v>132.19999999999999</v>
      </c>
      <c r="I132" s="4">
        <v>111.8</v>
      </c>
      <c r="J132" s="4">
        <v>135.80000000000001</v>
      </c>
      <c r="K132" s="4">
        <v>163.5</v>
      </c>
      <c r="L132" s="4">
        <v>182.3</v>
      </c>
      <c r="M132" s="4">
        <v>114.6</v>
      </c>
      <c r="N132" s="4">
        <v>144.6</v>
      </c>
      <c r="O132" s="4">
        <v>121.9</v>
      </c>
      <c r="P132" s="4">
        <v>138.1</v>
      </c>
      <c r="Q132" s="4">
        <v>137.6</v>
      </c>
      <c r="R132" s="4">
        <v>143.6</v>
      </c>
      <c r="S132" s="4">
        <v>128.30000000000001</v>
      </c>
      <c r="T132" s="4">
        <v>121.4</v>
      </c>
      <c r="U132" s="4">
        <v>127.3</v>
      </c>
      <c r="V132" s="4">
        <v>127.3</v>
      </c>
      <c r="W132" s="4">
        <v>114.7</v>
      </c>
      <c r="X132" s="4">
        <v>123.9</v>
      </c>
      <c r="Y132" s="4">
        <v>121.2</v>
      </c>
      <c r="Z132" s="4">
        <v>110.4</v>
      </c>
      <c r="AA132" s="4">
        <v>120.6</v>
      </c>
      <c r="AB132" s="4">
        <v>131.5</v>
      </c>
      <c r="AC132" s="4">
        <v>120.9</v>
      </c>
      <c r="AD132" s="4">
        <v>119.9</v>
      </c>
      <c r="AE132" s="4">
        <v>128.4</v>
      </c>
      <c r="AF132" s="4" t="str">
        <f t="shared" si="5"/>
        <v>Pre Covid</v>
      </c>
      <c r="AG132" s="4"/>
    </row>
    <row r="133" spans="1:33">
      <c r="A133" s="6" t="s">
        <v>33</v>
      </c>
      <c r="B133" s="6">
        <v>2016</v>
      </c>
      <c r="C133" s="6" t="s">
        <v>40</v>
      </c>
      <c r="D133" s="6">
        <f t="shared" si="4"/>
        <v>8</v>
      </c>
      <c r="E133" s="6">
        <v>129.30000000000001</v>
      </c>
      <c r="F133" s="6">
        <v>139.30000000000001</v>
      </c>
      <c r="G133" s="6">
        <v>131.6</v>
      </c>
      <c r="H133" s="6">
        <v>134.1</v>
      </c>
      <c r="I133" s="6">
        <v>116.9</v>
      </c>
      <c r="J133" s="6">
        <v>138.1</v>
      </c>
      <c r="K133" s="6">
        <v>159.1</v>
      </c>
      <c r="L133" s="6">
        <v>175.6</v>
      </c>
      <c r="M133" s="6">
        <v>112.9</v>
      </c>
      <c r="N133" s="6">
        <v>138.1</v>
      </c>
      <c r="O133" s="6">
        <v>125.5</v>
      </c>
      <c r="P133" s="6">
        <v>139.5</v>
      </c>
      <c r="Q133" s="6">
        <v>137.9</v>
      </c>
      <c r="R133" s="6">
        <v>140.19999999999999</v>
      </c>
      <c r="S133" s="6">
        <v>134.1</v>
      </c>
      <c r="T133" s="6">
        <v>128.19999999999999</v>
      </c>
      <c r="U133" s="6">
        <v>133.19999999999999</v>
      </c>
      <c r="V133" s="6">
        <v>127.3</v>
      </c>
      <c r="W133" s="6">
        <v>123.6</v>
      </c>
      <c r="X133" s="6">
        <v>127.4</v>
      </c>
      <c r="Y133" s="6">
        <v>124.8</v>
      </c>
      <c r="Z133" s="6">
        <v>113.1</v>
      </c>
      <c r="AA133" s="6">
        <v>122.7</v>
      </c>
      <c r="AB133" s="6">
        <v>131.69999999999999</v>
      </c>
      <c r="AC133" s="6">
        <v>121.5</v>
      </c>
      <c r="AD133" s="6">
        <v>122.1</v>
      </c>
      <c r="AE133" s="6">
        <v>131.1</v>
      </c>
      <c r="AF133" s="6" t="str">
        <f t="shared" si="5"/>
        <v>Pre Covid</v>
      </c>
      <c r="AG133" s="6"/>
    </row>
    <row r="134" spans="1:33">
      <c r="A134" s="4" t="s">
        <v>30</v>
      </c>
      <c r="B134" s="4">
        <v>2016</v>
      </c>
      <c r="C134" s="4" t="s">
        <v>41</v>
      </c>
      <c r="D134" s="4">
        <f t="shared" si="4"/>
        <v>9</v>
      </c>
      <c r="E134" s="4">
        <v>130.80000000000001</v>
      </c>
      <c r="F134" s="4">
        <v>138.19999999999999</v>
      </c>
      <c r="G134" s="4">
        <v>130.5</v>
      </c>
      <c r="H134" s="4">
        <v>135.5</v>
      </c>
      <c r="I134" s="4">
        <v>120.2</v>
      </c>
      <c r="J134" s="4">
        <v>139.19999999999999</v>
      </c>
      <c r="K134" s="4">
        <v>149.5</v>
      </c>
      <c r="L134" s="4">
        <v>170.4</v>
      </c>
      <c r="M134" s="4">
        <v>113.1</v>
      </c>
      <c r="N134" s="4">
        <v>135.80000000000001</v>
      </c>
      <c r="O134" s="4">
        <v>128.80000000000001</v>
      </c>
      <c r="P134" s="4">
        <v>141.5</v>
      </c>
      <c r="Q134" s="4">
        <v>137.19999999999999</v>
      </c>
      <c r="R134" s="4">
        <v>139.9</v>
      </c>
      <c r="S134" s="4">
        <v>138.5</v>
      </c>
      <c r="T134" s="4">
        <v>133.5</v>
      </c>
      <c r="U134" s="4">
        <v>137.80000000000001</v>
      </c>
      <c r="V134" s="4">
        <v>128.30000000000001</v>
      </c>
      <c r="W134" s="4">
        <v>129.69999999999999</v>
      </c>
      <c r="X134" s="4">
        <v>131.1</v>
      </c>
      <c r="Y134" s="4">
        <v>127.8</v>
      </c>
      <c r="Z134" s="4">
        <v>117</v>
      </c>
      <c r="AA134" s="4">
        <v>125.7</v>
      </c>
      <c r="AB134" s="4">
        <v>132.19999999999999</v>
      </c>
      <c r="AC134" s="4">
        <v>122.8</v>
      </c>
      <c r="AD134" s="4">
        <v>124.9</v>
      </c>
      <c r="AE134" s="4">
        <v>133.4</v>
      </c>
      <c r="AF134" s="4" t="str">
        <f t="shared" si="5"/>
        <v>Pre Covid</v>
      </c>
      <c r="AG134" s="4"/>
    </row>
    <row r="135" spans="1:33">
      <c r="A135" s="6" t="s">
        <v>32</v>
      </c>
      <c r="B135" s="6">
        <v>2016</v>
      </c>
      <c r="C135" s="6" t="s">
        <v>41</v>
      </c>
      <c r="D135" s="6">
        <f t="shared" si="4"/>
        <v>9</v>
      </c>
      <c r="E135" s="6">
        <v>128.1</v>
      </c>
      <c r="F135" s="6">
        <v>137.69999999999999</v>
      </c>
      <c r="G135" s="6">
        <v>130.6</v>
      </c>
      <c r="H135" s="6">
        <v>132.6</v>
      </c>
      <c r="I135" s="6">
        <v>111.9</v>
      </c>
      <c r="J135" s="6">
        <v>132.5</v>
      </c>
      <c r="K135" s="6">
        <v>152.9</v>
      </c>
      <c r="L135" s="6">
        <v>173.6</v>
      </c>
      <c r="M135" s="6">
        <v>115.1</v>
      </c>
      <c r="N135" s="6">
        <v>144.80000000000001</v>
      </c>
      <c r="O135" s="6">
        <v>122.1</v>
      </c>
      <c r="P135" s="6">
        <v>138.80000000000001</v>
      </c>
      <c r="Q135" s="6">
        <v>135.69999999999999</v>
      </c>
      <c r="R135" s="6">
        <v>143.9</v>
      </c>
      <c r="S135" s="6">
        <v>128.69999999999999</v>
      </c>
      <c r="T135" s="6">
        <v>121.6</v>
      </c>
      <c r="U135" s="6">
        <v>127.7</v>
      </c>
      <c r="V135" s="6">
        <v>127.9</v>
      </c>
      <c r="W135" s="6">
        <v>114.8</v>
      </c>
      <c r="X135" s="6">
        <v>124.3</v>
      </c>
      <c r="Y135" s="6">
        <v>121.4</v>
      </c>
      <c r="Z135" s="6">
        <v>111.8</v>
      </c>
      <c r="AA135" s="6">
        <v>120.8</v>
      </c>
      <c r="AB135" s="6">
        <v>131.6</v>
      </c>
      <c r="AC135" s="6">
        <v>121.2</v>
      </c>
      <c r="AD135" s="6">
        <v>120.5</v>
      </c>
      <c r="AE135" s="6">
        <v>128</v>
      </c>
      <c r="AF135" s="6" t="str">
        <f t="shared" si="5"/>
        <v>Pre Covid</v>
      </c>
      <c r="AG135" s="6"/>
    </row>
    <row r="136" spans="1:33">
      <c r="A136" s="4" t="s">
        <v>33</v>
      </c>
      <c r="B136" s="4">
        <v>2016</v>
      </c>
      <c r="C136" s="4" t="s">
        <v>41</v>
      </c>
      <c r="D136" s="4">
        <f t="shared" si="4"/>
        <v>9</v>
      </c>
      <c r="E136" s="4">
        <v>129.9</v>
      </c>
      <c r="F136" s="4">
        <v>138</v>
      </c>
      <c r="G136" s="4">
        <v>130.5</v>
      </c>
      <c r="H136" s="4">
        <v>134.4</v>
      </c>
      <c r="I136" s="4">
        <v>117.2</v>
      </c>
      <c r="J136" s="4">
        <v>136.1</v>
      </c>
      <c r="K136" s="4">
        <v>150.69999999999999</v>
      </c>
      <c r="L136" s="4">
        <v>171.5</v>
      </c>
      <c r="M136" s="4">
        <v>113.8</v>
      </c>
      <c r="N136" s="4">
        <v>138.80000000000001</v>
      </c>
      <c r="O136" s="4">
        <v>126</v>
      </c>
      <c r="P136" s="4">
        <v>140.19999999999999</v>
      </c>
      <c r="Q136" s="4">
        <v>136.6</v>
      </c>
      <c r="R136" s="4">
        <v>141</v>
      </c>
      <c r="S136" s="4">
        <v>134.6</v>
      </c>
      <c r="T136" s="4">
        <v>128.6</v>
      </c>
      <c r="U136" s="4">
        <v>133.80000000000001</v>
      </c>
      <c r="V136" s="4">
        <v>127.9</v>
      </c>
      <c r="W136" s="4">
        <v>124.1</v>
      </c>
      <c r="X136" s="4">
        <v>127.9</v>
      </c>
      <c r="Y136" s="4">
        <v>125.4</v>
      </c>
      <c r="Z136" s="4">
        <v>114.3</v>
      </c>
      <c r="AA136" s="4">
        <v>122.9</v>
      </c>
      <c r="AB136" s="4">
        <v>131.80000000000001</v>
      </c>
      <c r="AC136" s="4">
        <v>122.1</v>
      </c>
      <c r="AD136" s="4">
        <v>122.8</v>
      </c>
      <c r="AE136" s="4">
        <v>130.9</v>
      </c>
      <c r="AF136" s="4" t="str">
        <f t="shared" si="5"/>
        <v>Pre Covid</v>
      </c>
      <c r="AG136" s="4"/>
    </row>
    <row r="137" spans="1:33">
      <c r="A137" s="6" t="s">
        <v>30</v>
      </c>
      <c r="B137" s="6">
        <v>2016</v>
      </c>
      <c r="C137" s="6" t="s">
        <v>42</v>
      </c>
      <c r="D137" s="6">
        <f t="shared" si="4"/>
        <v>10</v>
      </c>
      <c r="E137" s="6">
        <v>131.30000000000001</v>
      </c>
      <c r="F137" s="6">
        <v>137.6</v>
      </c>
      <c r="G137" s="6">
        <v>130.1</v>
      </c>
      <c r="H137" s="6">
        <v>136</v>
      </c>
      <c r="I137" s="6">
        <v>120.8</v>
      </c>
      <c r="J137" s="6">
        <v>138.4</v>
      </c>
      <c r="K137" s="6">
        <v>149.19999999999999</v>
      </c>
      <c r="L137" s="6">
        <v>170.2</v>
      </c>
      <c r="M137" s="6">
        <v>113.4</v>
      </c>
      <c r="N137" s="6">
        <v>136.30000000000001</v>
      </c>
      <c r="O137" s="6">
        <v>128.69999999999999</v>
      </c>
      <c r="P137" s="6">
        <v>142.4</v>
      </c>
      <c r="Q137" s="6">
        <v>137.4</v>
      </c>
      <c r="R137" s="6">
        <v>140.9</v>
      </c>
      <c r="S137" s="6">
        <v>139.6</v>
      </c>
      <c r="T137" s="6">
        <v>134.30000000000001</v>
      </c>
      <c r="U137" s="6">
        <v>138.80000000000001</v>
      </c>
      <c r="V137" s="6">
        <v>128.30000000000001</v>
      </c>
      <c r="W137" s="6">
        <v>129.80000000000001</v>
      </c>
      <c r="X137" s="6">
        <v>131.80000000000001</v>
      </c>
      <c r="Y137" s="6">
        <v>128.69999999999999</v>
      </c>
      <c r="Z137" s="6">
        <v>117.8</v>
      </c>
      <c r="AA137" s="6">
        <v>126.5</v>
      </c>
      <c r="AB137" s="6">
        <v>133</v>
      </c>
      <c r="AC137" s="6">
        <v>123</v>
      </c>
      <c r="AD137" s="6">
        <v>125.7</v>
      </c>
      <c r="AE137" s="6">
        <v>133.80000000000001</v>
      </c>
      <c r="AF137" s="6" t="str">
        <f t="shared" si="5"/>
        <v>Pre Covid</v>
      </c>
      <c r="AG137" s="6"/>
    </row>
    <row r="138" spans="1:33">
      <c r="A138" s="4" t="s">
        <v>32</v>
      </c>
      <c r="B138" s="4">
        <v>2016</v>
      </c>
      <c r="C138" s="4" t="s">
        <v>42</v>
      </c>
      <c r="D138" s="4">
        <f t="shared" si="4"/>
        <v>10</v>
      </c>
      <c r="E138" s="4">
        <v>128.69999999999999</v>
      </c>
      <c r="F138" s="4">
        <v>138.4</v>
      </c>
      <c r="G138" s="4">
        <v>130.30000000000001</v>
      </c>
      <c r="H138" s="4">
        <v>132.69999999999999</v>
      </c>
      <c r="I138" s="4">
        <v>112.5</v>
      </c>
      <c r="J138" s="4">
        <v>130.4</v>
      </c>
      <c r="K138" s="4">
        <v>155.1</v>
      </c>
      <c r="L138" s="4">
        <v>175.7</v>
      </c>
      <c r="M138" s="4">
        <v>115.4</v>
      </c>
      <c r="N138" s="4">
        <v>145.30000000000001</v>
      </c>
      <c r="O138" s="4">
        <v>122.5</v>
      </c>
      <c r="P138" s="4">
        <v>139.6</v>
      </c>
      <c r="Q138" s="4">
        <v>136.30000000000001</v>
      </c>
      <c r="R138" s="4">
        <v>144.30000000000001</v>
      </c>
      <c r="S138" s="4">
        <v>129.1</v>
      </c>
      <c r="T138" s="4">
        <v>121.9</v>
      </c>
      <c r="U138" s="4">
        <v>128</v>
      </c>
      <c r="V138" s="4">
        <v>128.69999999999999</v>
      </c>
      <c r="W138" s="4">
        <v>115.2</v>
      </c>
      <c r="X138" s="4">
        <v>124.5</v>
      </c>
      <c r="Y138" s="4">
        <v>121.8</v>
      </c>
      <c r="Z138" s="4">
        <v>112.8</v>
      </c>
      <c r="AA138" s="4">
        <v>121.2</v>
      </c>
      <c r="AB138" s="4">
        <v>131.9</v>
      </c>
      <c r="AC138" s="4">
        <v>120.8</v>
      </c>
      <c r="AD138" s="4">
        <v>120.9</v>
      </c>
      <c r="AE138" s="4">
        <v>128.6</v>
      </c>
      <c r="AF138" s="4" t="str">
        <f t="shared" si="5"/>
        <v>Pre Covid</v>
      </c>
      <c r="AG138" s="4"/>
    </row>
    <row r="139" spans="1:33">
      <c r="A139" s="6" t="s">
        <v>33</v>
      </c>
      <c r="B139" s="6">
        <v>2016</v>
      </c>
      <c r="C139" s="6" t="s">
        <v>42</v>
      </c>
      <c r="D139" s="6">
        <f t="shared" si="4"/>
        <v>10</v>
      </c>
      <c r="E139" s="6">
        <v>130.5</v>
      </c>
      <c r="F139" s="6">
        <v>137.9</v>
      </c>
      <c r="G139" s="6">
        <v>130.19999999999999</v>
      </c>
      <c r="H139" s="6">
        <v>134.80000000000001</v>
      </c>
      <c r="I139" s="6">
        <v>117.8</v>
      </c>
      <c r="J139" s="6">
        <v>134.69999999999999</v>
      </c>
      <c r="K139" s="6">
        <v>151.19999999999999</v>
      </c>
      <c r="L139" s="6">
        <v>172.1</v>
      </c>
      <c r="M139" s="6">
        <v>114.1</v>
      </c>
      <c r="N139" s="6">
        <v>139.30000000000001</v>
      </c>
      <c r="O139" s="6">
        <v>126.1</v>
      </c>
      <c r="P139" s="6">
        <v>141.1</v>
      </c>
      <c r="Q139" s="6">
        <v>137</v>
      </c>
      <c r="R139" s="6">
        <v>141.80000000000001</v>
      </c>
      <c r="S139" s="6">
        <v>135.5</v>
      </c>
      <c r="T139" s="6">
        <v>129.1</v>
      </c>
      <c r="U139" s="6">
        <v>134.5</v>
      </c>
      <c r="V139" s="6">
        <v>128.69999999999999</v>
      </c>
      <c r="W139" s="6">
        <v>124.3</v>
      </c>
      <c r="X139" s="6">
        <v>128.4</v>
      </c>
      <c r="Y139" s="6">
        <v>126.1</v>
      </c>
      <c r="Z139" s="6">
        <v>115.2</v>
      </c>
      <c r="AA139" s="6">
        <v>123.5</v>
      </c>
      <c r="AB139" s="6">
        <v>132.4</v>
      </c>
      <c r="AC139" s="6">
        <v>122.1</v>
      </c>
      <c r="AD139" s="6">
        <v>123.4</v>
      </c>
      <c r="AE139" s="6">
        <v>131.4</v>
      </c>
      <c r="AF139" s="6" t="str">
        <f t="shared" si="5"/>
        <v>Pre Covid</v>
      </c>
      <c r="AG139" s="6"/>
    </row>
    <row r="140" spans="1:33">
      <c r="A140" s="4" t="s">
        <v>30</v>
      </c>
      <c r="B140" s="4">
        <v>2016</v>
      </c>
      <c r="C140" s="4" t="s">
        <v>43</v>
      </c>
      <c r="D140" s="4">
        <f t="shared" si="4"/>
        <v>11</v>
      </c>
      <c r="E140" s="4">
        <v>132</v>
      </c>
      <c r="F140" s="4">
        <v>137.4</v>
      </c>
      <c r="G140" s="4">
        <v>130.6</v>
      </c>
      <c r="H140" s="4">
        <v>136.19999999999999</v>
      </c>
      <c r="I140" s="4">
        <v>121.1</v>
      </c>
      <c r="J140" s="4">
        <v>136.9</v>
      </c>
      <c r="K140" s="4">
        <v>141.80000000000001</v>
      </c>
      <c r="L140" s="4">
        <v>170</v>
      </c>
      <c r="M140" s="4">
        <v>113.4</v>
      </c>
      <c r="N140" s="4">
        <v>136.80000000000001</v>
      </c>
      <c r="O140" s="4">
        <v>128.69999999999999</v>
      </c>
      <c r="P140" s="4">
        <v>143.1</v>
      </c>
      <c r="Q140" s="4">
        <v>136.6</v>
      </c>
      <c r="R140" s="4">
        <v>141.19999999999999</v>
      </c>
      <c r="S140" s="4">
        <v>139.9</v>
      </c>
      <c r="T140" s="4">
        <v>134.5</v>
      </c>
      <c r="U140" s="4">
        <v>139.19999999999999</v>
      </c>
      <c r="V140" s="4">
        <v>128.80000000000001</v>
      </c>
      <c r="W140" s="4">
        <v>130.30000000000001</v>
      </c>
      <c r="X140" s="4">
        <v>132.1</v>
      </c>
      <c r="Y140" s="4">
        <v>129.1</v>
      </c>
      <c r="Z140" s="4">
        <v>118.2</v>
      </c>
      <c r="AA140" s="4">
        <v>126.9</v>
      </c>
      <c r="AB140" s="4">
        <v>133.69999999999999</v>
      </c>
      <c r="AC140" s="4">
        <v>123.5</v>
      </c>
      <c r="AD140" s="4">
        <v>126.1</v>
      </c>
      <c r="AE140" s="4">
        <v>133.6</v>
      </c>
      <c r="AF140" s="4" t="str">
        <f t="shared" si="5"/>
        <v>Pre Covid</v>
      </c>
      <c r="AG140" s="4"/>
    </row>
    <row r="141" spans="1:33">
      <c r="A141" s="6" t="s">
        <v>32</v>
      </c>
      <c r="B141" s="6">
        <v>2016</v>
      </c>
      <c r="C141" s="6" t="s">
        <v>43</v>
      </c>
      <c r="D141" s="6">
        <f t="shared" si="4"/>
        <v>11</v>
      </c>
      <c r="E141" s="6">
        <v>130.19999999999999</v>
      </c>
      <c r="F141" s="6">
        <v>138.5</v>
      </c>
      <c r="G141" s="6">
        <v>134.1</v>
      </c>
      <c r="H141" s="6">
        <v>132.9</v>
      </c>
      <c r="I141" s="6">
        <v>112.6</v>
      </c>
      <c r="J141" s="6">
        <v>130.80000000000001</v>
      </c>
      <c r="K141" s="6">
        <v>142</v>
      </c>
      <c r="L141" s="6">
        <v>174.9</v>
      </c>
      <c r="M141" s="6">
        <v>115.6</v>
      </c>
      <c r="N141" s="6">
        <v>145.4</v>
      </c>
      <c r="O141" s="6">
        <v>122.7</v>
      </c>
      <c r="P141" s="6">
        <v>140.30000000000001</v>
      </c>
      <c r="Q141" s="6">
        <v>135.19999999999999</v>
      </c>
      <c r="R141" s="6">
        <v>144.30000000000001</v>
      </c>
      <c r="S141" s="6">
        <v>129.6</v>
      </c>
      <c r="T141" s="6">
        <v>122.1</v>
      </c>
      <c r="U141" s="6">
        <v>128.5</v>
      </c>
      <c r="V141" s="6">
        <v>129.1</v>
      </c>
      <c r="W141" s="6">
        <v>116.2</v>
      </c>
      <c r="X141" s="6">
        <v>124.7</v>
      </c>
      <c r="Y141" s="6">
        <v>122.1</v>
      </c>
      <c r="Z141" s="6">
        <v>113.4</v>
      </c>
      <c r="AA141" s="6">
        <v>121.7</v>
      </c>
      <c r="AB141" s="6">
        <v>132.1</v>
      </c>
      <c r="AC141" s="6">
        <v>121.3</v>
      </c>
      <c r="AD141" s="6">
        <v>121.3</v>
      </c>
      <c r="AE141" s="6">
        <v>128.5</v>
      </c>
      <c r="AF141" s="6" t="str">
        <f t="shared" si="5"/>
        <v>Pre Covid</v>
      </c>
      <c r="AG141" s="6"/>
    </row>
    <row r="142" spans="1:33">
      <c r="A142" s="4" t="s">
        <v>33</v>
      </c>
      <c r="B142" s="4">
        <v>2016</v>
      </c>
      <c r="C142" s="4" t="s">
        <v>43</v>
      </c>
      <c r="D142" s="4">
        <f t="shared" si="4"/>
        <v>11</v>
      </c>
      <c r="E142" s="4">
        <v>131.4</v>
      </c>
      <c r="F142" s="4">
        <v>137.80000000000001</v>
      </c>
      <c r="G142" s="4">
        <v>132</v>
      </c>
      <c r="H142" s="4">
        <v>135</v>
      </c>
      <c r="I142" s="4">
        <v>118</v>
      </c>
      <c r="J142" s="4">
        <v>134.1</v>
      </c>
      <c r="K142" s="4">
        <v>141.9</v>
      </c>
      <c r="L142" s="4">
        <v>171.7</v>
      </c>
      <c r="M142" s="4">
        <v>114.1</v>
      </c>
      <c r="N142" s="4">
        <v>139.69999999999999</v>
      </c>
      <c r="O142" s="4">
        <v>126.2</v>
      </c>
      <c r="P142" s="4">
        <v>141.80000000000001</v>
      </c>
      <c r="Q142" s="4">
        <v>136.1</v>
      </c>
      <c r="R142" s="4">
        <v>142</v>
      </c>
      <c r="S142" s="4">
        <v>135.80000000000001</v>
      </c>
      <c r="T142" s="4">
        <v>129.30000000000001</v>
      </c>
      <c r="U142" s="4">
        <v>135</v>
      </c>
      <c r="V142" s="4">
        <v>129.1</v>
      </c>
      <c r="W142" s="4">
        <v>125</v>
      </c>
      <c r="X142" s="4">
        <v>128.6</v>
      </c>
      <c r="Y142" s="4">
        <v>126.4</v>
      </c>
      <c r="Z142" s="4">
        <v>115.7</v>
      </c>
      <c r="AA142" s="4">
        <v>124</v>
      </c>
      <c r="AB142" s="4">
        <v>132.80000000000001</v>
      </c>
      <c r="AC142" s="4">
        <v>122.6</v>
      </c>
      <c r="AD142" s="4">
        <v>123.8</v>
      </c>
      <c r="AE142" s="4">
        <v>131.19999999999999</v>
      </c>
      <c r="AF142" s="4" t="str">
        <f t="shared" si="5"/>
        <v>Pre Covid</v>
      </c>
      <c r="AG142" s="4"/>
    </row>
    <row r="143" spans="1:33">
      <c r="A143" s="6" t="s">
        <v>30</v>
      </c>
      <c r="B143" s="6">
        <v>2016</v>
      </c>
      <c r="C143" s="6" t="s">
        <v>44</v>
      </c>
      <c r="D143" s="6">
        <f t="shared" si="4"/>
        <v>12</v>
      </c>
      <c r="E143" s="6">
        <v>132.6</v>
      </c>
      <c r="F143" s="6">
        <v>137.30000000000001</v>
      </c>
      <c r="G143" s="6">
        <v>131.6</v>
      </c>
      <c r="H143" s="6">
        <v>136.30000000000001</v>
      </c>
      <c r="I143" s="6">
        <v>121.6</v>
      </c>
      <c r="J143" s="6">
        <v>135.6</v>
      </c>
      <c r="K143" s="6">
        <v>127.5</v>
      </c>
      <c r="L143" s="6">
        <v>167.9</v>
      </c>
      <c r="M143" s="6">
        <v>113.8</v>
      </c>
      <c r="N143" s="6">
        <v>137.5</v>
      </c>
      <c r="O143" s="6">
        <v>129.1</v>
      </c>
      <c r="P143" s="6">
        <v>143.6</v>
      </c>
      <c r="Q143" s="6">
        <v>134.69999999999999</v>
      </c>
      <c r="R143" s="6">
        <v>142.4</v>
      </c>
      <c r="S143" s="6">
        <v>140.4</v>
      </c>
      <c r="T143" s="6">
        <v>135.19999999999999</v>
      </c>
      <c r="U143" s="6">
        <v>139.69999999999999</v>
      </c>
      <c r="V143" s="6">
        <v>128.80000000000001</v>
      </c>
      <c r="W143" s="6">
        <v>132</v>
      </c>
      <c r="X143" s="6">
        <v>132.9</v>
      </c>
      <c r="Y143" s="6">
        <v>129.69999999999999</v>
      </c>
      <c r="Z143" s="6">
        <v>118.6</v>
      </c>
      <c r="AA143" s="6">
        <v>127.3</v>
      </c>
      <c r="AB143" s="6">
        <v>134.19999999999999</v>
      </c>
      <c r="AC143" s="6">
        <v>121.9</v>
      </c>
      <c r="AD143" s="6">
        <v>126.3</v>
      </c>
      <c r="AE143" s="6">
        <v>132.80000000000001</v>
      </c>
      <c r="AF143" s="6" t="str">
        <f t="shared" si="5"/>
        <v>Pre Covid</v>
      </c>
      <c r="AG143" s="6"/>
    </row>
    <row r="144" spans="1:33">
      <c r="A144" s="4" t="s">
        <v>32</v>
      </c>
      <c r="B144" s="4">
        <v>2016</v>
      </c>
      <c r="C144" s="4" t="s">
        <v>44</v>
      </c>
      <c r="D144" s="4">
        <f t="shared" si="4"/>
        <v>12</v>
      </c>
      <c r="E144" s="4">
        <v>131.6</v>
      </c>
      <c r="F144" s="4">
        <v>138.19999999999999</v>
      </c>
      <c r="G144" s="4">
        <v>134.9</v>
      </c>
      <c r="H144" s="4">
        <v>133.1</v>
      </c>
      <c r="I144" s="4">
        <v>113.5</v>
      </c>
      <c r="J144" s="4">
        <v>129.30000000000001</v>
      </c>
      <c r="K144" s="4">
        <v>121.1</v>
      </c>
      <c r="L144" s="4">
        <v>170.3</v>
      </c>
      <c r="M144" s="4">
        <v>115.5</v>
      </c>
      <c r="N144" s="4">
        <v>145.5</v>
      </c>
      <c r="O144" s="4">
        <v>123.1</v>
      </c>
      <c r="P144" s="4">
        <v>140.9</v>
      </c>
      <c r="Q144" s="4">
        <v>132.80000000000001</v>
      </c>
      <c r="R144" s="4">
        <v>145</v>
      </c>
      <c r="S144" s="4">
        <v>130</v>
      </c>
      <c r="T144" s="4">
        <v>122.2</v>
      </c>
      <c r="U144" s="4">
        <v>128.80000000000001</v>
      </c>
      <c r="V144" s="4">
        <v>128.5</v>
      </c>
      <c r="W144" s="4">
        <v>117.8</v>
      </c>
      <c r="X144" s="4">
        <v>125</v>
      </c>
      <c r="Y144" s="4">
        <v>122.3</v>
      </c>
      <c r="Z144" s="4">
        <v>113.7</v>
      </c>
      <c r="AA144" s="4">
        <v>121.8</v>
      </c>
      <c r="AB144" s="4">
        <v>132.30000000000001</v>
      </c>
      <c r="AC144" s="4">
        <v>119.9</v>
      </c>
      <c r="AD144" s="4">
        <v>121.4</v>
      </c>
      <c r="AE144" s="4">
        <v>127.6</v>
      </c>
      <c r="AF144" s="4" t="str">
        <f t="shared" si="5"/>
        <v>Pre Covid</v>
      </c>
      <c r="AG144" s="4"/>
    </row>
    <row r="145" spans="1:33">
      <c r="A145" s="6" t="s">
        <v>33</v>
      </c>
      <c r="B145" s="6">
        <v>2016</v>
      </c>
      <c r="C145" s="6" t="s">
        <v>44</v>
      </c>
      <c r="D145" s="6">
        <f t="shared" si="4"/>
        <v>12</v>
      </c>
      <c r="E145" s="6">
        <v>132.30000000000001</v>
      </c>
      <c r="F145" s="6">
        <v>137.6</v>
      </c>
      <c r="G145" s="6">
        <v>132.9</v>
      </c>
      <c r="H145" s="6">
        <v>135.1</v>
      </c>
      <c r="I145" s="6">
        <v>118.6</v>
      </c>
      <c r="J145" s="6">
        <v>132.69999999999999</v>
      </c>
      <c r="K145" s="6">
        <v>125.3</v>
      </c>
      <c r="L145" s="6">
        <v>168.7</v>
      </c>
      <c r="M145" s="6">
        <v>114.4</v>
      </c>
      <c r="N145" s="6">
        <v>140.19999999999999</v>
      </c>
      <c r="O145" s="6">
        <v>126.6</v>
      </c>
      <c r="P145" s="6">
        <v>142.30000000000001</v>
      </c>
      <c r="Q145" s="6">
        <v>134</v>
      </c>
      <c r="R145" s="6">
        <v>143.1</v>
      </c>
      <c r="S145" s="6">
        <v>136.30000000000001</v>
      </c>
      <c r="T145" s="6">
        <v>129.80000000000001</v>
      </c>
      <c r="U145" s="6">
        <v>135.4</v>
      </c>
      <c r="V145" s="6">
        <v>128.5</v>
      </c>
      <c r="W145" s="6">
        <v>126.6</v>
      </c>
      <c r="X145" s="6">
        <v>129.19999999999999</v>
      </c>
      <c r="Y145" s="6">
        <v>126.9</v>
      </c>
      <c r="Z145" s="6">
        <v>116</v>
      </c>
      <c r="AA145" s="6">
        <v>124.2</v>
      </c>
      <c r="AB145" s="6">
        <v>133.1</v>
      </c>
      <c r="AC145" s="6">
        <v>121.1</v>
      </c>
      <c r="AD145" s="6">
        <v>123.9</v>
      </c>
      <c r="AE145" s="6">
        <v>130.4</v>
      </c>
      <c r="AF145" s="6" t="str">
        <f t="shared" si="5"/>
        <v>Pre Covid</v>
      </c>
      <c r="AG145" s="6"/>
    </row>
    <row r="146" spans="1:33">
      <c r="A146" s="4" t="s">
        <v>30</v>
      </c>
      <c r="B146" s="4">
        <v>2017</v>
      </c>
      <c r="C146" s="4" t="s">
        <v>31</v>
      </c>
      <c r="D146" s="4">
        <f t="shared" si="4"/>
        <v>1</v>
      </c>
      <c r="E146" s="4">
        <v>133.1</v>
      </c>
      <c r="F146" s="4">
        <v>137.80000000000001</v>
      </c>
      <c r="G146" s="4">
        <v>131.9</v>
      </c>
      <c r="H146" s="4">
        <v>136.69999999999999</v>
      </c>
      <c r="I146" s="4">
        <v>122</v>
      </c>
      <c r="J146" s="4">
        <v>136</v>
      </c>
      <c r="K146" s="4">
        <v>119.8</v>
      </c>
      <c r="L146" s="4">
        <v>161.69999999999999</v>
      </c>
      <c r="M146" s="4">
        <v>114.8</v>
      </c>
      <c r="N146" s="4">
        <v>136.9</v>
      </c>
      <c r="O146" s="4">
        <v>129</v>
      </c>
      <c r="P146" s="4">
        <v>143.9</v>
      </c>
      <c r="Q146" s="4">
        <v>133.69999999999999</v>
      </c>
      <c r="R146" s="4">
        <v>143.1</v>
      </c>
      <c r="S146" s="4">
        <v>140.69999999999999</v>
      </c>
      <c r="T146" s="4">
        <v>135.80000000000001</v>
      </c>
      <c r="U146" s="4">
        <v>140</v>
      </c>
      <c r="V146" s="4">
        <v>130.05000000000001</v>
      </c>
      <c r="W146" s="4">
        <v>132.1</v>
      </c>
      <c r="X146" s="4">
        <v>133.19999999999999</v>
      </c>
      <c r="Y146" s="4">
        <v>129.9</v>
      </c>
      <c r="Z146" s="4">
        <v>119.1</v>
      </c>
      <c r="AA146" s="4">
        <v>127</v>
      </c>
      <c r="AB146" s="4">
        <v>134.6</v>
      </c>
      <c r="AC146" s="4">
        <v>122.3</v>
      </c>
      <c r="AD146" s="4">
        <v>126.6</v>
      </c>
      <c r="AE146" s="4">
        <v>132.4</v>
      </c>
      <c r="AF146" s="4" t="str">
        <f t="shared" si="5"/>
        <v>Pre Covid</v>
      </c>
      <c r="AG146" s="4"/>
    </row>
    <row r="147" spans="1:33">
      <c r="A147" s="6" t="s">
        <v>32</v>
      </c>
      <c r="B147" s="6">
        <v>2017</v>
      </c>
      <c r="C147" s="6" t="s">
        <v>31</v>
      </c>
      <c r="D147" s="6">
        <f t="shared" si="4"/>
        <v>1</v>
      </c>
      <c r="E147" s="6">
        <v>132.19999999999999</v>
      </c>
      <c r="F147" s="6">
        <v>138.9</v>
      </c>
      <c r="G147" s="6">
        <v>132.6</v>
      </c>
      <c r="H147" s="6">
        <v>133.1</v>
      </c>
      <c r="I147" s="6">
        <v>114</v>
      </c>
      <c r="J147" s="6">
        <v>129.6</v>
      </c>
      <c r="K147" s="6">
        <v>118.7</v>
      </c>
      <c r="L147" s="6">
        <v>155.1</v>
      </c>
      <c r="M147" s="6">
        <v>117.3</v>
      </c>
      <c r="N147" s="6">
        <v>144.9</v>
      </c>
      <c r="O147" s="6">
        <v>123.2</v>
      </c>
      <c r="P147" s="6">
        <v>141.6</v>
      </c>
      <c r="Q147" s="6">
        <v>132</v>
      </c>
      <c r="R147" s="6">
        <v>145.6</v>
      </c>
      <c r="S147" s="6">
        <v>130.19999999999999</v>
      </c>
      <c r="T147" s="6">
        <v>122.3</v>
      </c>
      <c r="U147" s="6">
        <v>129</v>
      </c>
      <c r="V147" s="6">
        <v>129.6</v>
      </c>
      <c r="W147" s="6">
        <v>118</v>
      </c>
      <c r="X147" s="6">
        <v>125.1</v>
      </c>
      <c r="Y147" s="6">
        <v>122.6</v>
      </c>
      <c r="Z147" s="6">
        <v>115.2</v>
      </c>
      <c r="AA147" s="6">
        <v>122</v>
      </c>
      <c r="AB147" s="6">
        <v>132.4</v>
      </c>
      <c r="AC147" s="6">
        <v>120.9</v>
      </c>
      <c r="AD147" s="6">
        <v>122.1</v>
      </c>
      <c r="AE147" s="6">
        <v>127.8</v>
      </c>
      <c r="AF147" s="6" t="str">
        <f t="shared" si="5"/>
        <v>Pre Covid</v>
      </c>
      <c r="AG147" s="6"/>
    </row>
    <row r="148" spans="1:33">
      <c r="A148" s="4" t="s">
        <v>33</v>
      </c>
      <c r="B148" s="4">
        <v>2017</v>
      </c>
      <c r="C148" s="4" t="s">
        <v>31</v>
      </c>
      <c r="D148" s="4">
        <f t="shared" si="4"/>
        <v>1</v>
      </c>
      <c r="E148" s="4">
        <v>132.80000000000001</v>
      </c>
      <c r="F148" s="4">
        <v>138.19999999999999</v>
      </c>
      <c r="G148" s="4">
        <v>132.19999999999999</v>
      </c>
      <c r="H148" s="4">
        <v>135.4</v>
      </c>
      <c r="I148" s="4">
        <v>119.1</v>
      </c>
      <c r="J148" s="4">
        <v>133</v>
      </c>
      <c r="K148" s="4">
        <v>119.4</v>
      </c>
      <c r="L148" s="4">
        <v>159.5</v>
      </c>
      <c r="M148" s="4">
        <v>115.6</v>
      </c>
      <c r="N148" s="4">
        <v>139.6</v>
      </c>
      <c r="O148" s="4">
        <v>126.6</v>
      </c>
      <c r="P148" s="4">
        <v>142.80000000000001</v>
      </c>
      <c r="Q148" s="4">
        <v>133.1</v>
      </c>
      <c r="R148" s="4">
        <v>143.80000000000001</v>
      </c>
      <c r="S148" s="4">
        <v>136.6</v>
      </c>
      <c r="T148" s="4">
        <v>130.19999999999999</v>
      </c>
      <c r="U148" s="4">
        <v>135.6</v>
      </c>
      <c r="V148" s="4">
        <v>129.6</v>
      </c>
      <c r="W148" s="4">
        <v>126.8</v>
      </c>
      <c r="X148" s="4">
        <v>129.4</v>
      </c>
      <c r="Y148" s="4">
        <v>127.1</v>
      </c>
      <c r="Z148" s="4">
        <v>117</v>
      </c>
      <c r="AA148" s="4">
        <v>124.2</v>
      </c>
      <c r="AB148" s="4">
        <v>133.30000000000001</v>
      </c>
      <c r="AC148" s="4">
        <v>121.7</v>
      </c>
      <c r="AD148" s="4">
        <v>124.4</v>
      </c>
      <c r="AE148" s="4">
        <v>130.30000000000001</v>
      </c>
      <c r="AF148" s="4" t="str">
        <f t="shared" si="5"/>
        <v>Pre Covid</v>
      </c>
      <c r="AG148" s="4"/>
    </row>
    <row r="149" spans="1:33">
      <c r="A149" s="6" t="s">
        <v>30</v>
      </c>
      <c r="B149" s="6">
        <v>2017</v>
      </c>
      <c r="C149" s="6" t="s">
        <v>34</v>
      </c>
      <c r="D149" s="6">
        <f t="shared" si="4"/>
        <v>2</v>
      </c>
      <c r="E149" s="6">
        <v>133.30000000000001</v>
      </c>
      <c r="F149" s="6">
        <v>138.30000000000001</v>
      </c>
      <c r="G149" s="6">
        <v>129.30000000000001</v>
      </c>
      <c r="H149" s="6">
        <v>137.19999999999999</v>
      </c>
      <c r="I149" s="6">
        <v>122.1</v>
      </c>
      <c r="J149" s="6">
        <v>138.69999999999999</v>
      </c>
      <c r="K149" s="6">
        <v>119.1</v>
      </c>
      <c r="L149" s="6">
        <v>156.9</v>
      </c>
      <c r="M149" s="6">
        <v>116.2</v>
      </c>
      <c r="N149" s="6">
        <v>136</v>
      </c>
      <c r="O149" s="6">
        <v>129.4</v>
      </c>
      <c r="P149" s="6">
        <v>144.4</v>
      </c>
      <c r="Q149" s="6">
        <v>133.6</v>
      </c>
      <c r="R149" s="6">
        <v>143.69999999999999</v>
      </c>
      <c r="S149" s="6">
        <v>140.9</v>
      </c>
      <c r="T149" s="6">
        <v>135.80000000000001</v>
      </c>
      <c r="U149" s="6">
        <v>140.19999999999999</v>
      </c>
      <c r="V149" s="6">
        <v>130.05000000000001</v>
      </c>
      <c r="W149" s="6">
        <v>133.19999999999999</v>
      </c>
      <c r="X149" s="6">
        <v>133.6</v>
      </c>
      <c r="Y149" s="6">
        <v>130.1</v>
      </c>
      <c r="Z149" s="6">
        <v>119.5</v>
      </c>
      <c r="AA149" s="6">
        <v>127.7</v>
      </c>
      <c r="AB149" s="6">
        <v>134.9</v>
      </c>
      <c r="AC149" s="6">
        <v>123.2</v>
      </c>
      <c r="AD149" s="6">
        <v>127</v>
      </c>
      <c r="AE149" s="6">
        <v>132.6</v>
      </c>
      <c r="AF149" s="6" t="str">
        <f t="shared" si="5"/>
        <v>Pre Covid</v>
      </c>
      <c r="AG149" s="6"/>
    </row>
    <row r="150" spans="1:33">
      <c r="A150" s="4" t="s">
        <v>32</v>
      </c>
      <c r="B150" s="4">
        <v>2017</v>
      </c>
      <c r="C150" s="4" t="s">
        <v>34</v>
      </c>
      <c r="D150" s="4">
        <f t="shared" si="4"/>
        <v>2</v>
      </c>
      <c r="E150" s="4">
        <v>132.80000000000001</v>
      </c>
      <c r="F150" s="4">
        <v>139.80000000000001</v>
      </c>
      <c r="G150" s="4">
        <v>129.30000000000001</v>
      </c>
      <c r="H150" s="4">
        <v>133.5</v>
      </c>
      <c r="I150" s="4">
        <v>114.3</v>
      </c>
      <c r="J150" s="4">
        <v>131.4</v>
      </c>
      <c r="K150" s="4">
        <v>120.2</v>
      </c>
      <c r="L150" s="4">
        <v>143.1</v>
      </c>
      <c r="M150" s="4">
        <v>119.5</v>
      </c>
      <c r="N150" s="4">
        <v>144</v>
      </c>
      <c r="O150" s="4">
        <v>123.4</v>
      </c>
      <c r="P150" s="4">
        <v>141.9</v>
      </c>
      <c r="Q150" s="4">
        <v>132.1</v>
      </c>
      <c r="R150" s="4">
        <v>146.30000000000001</v>
      </c>
      <c r="S150" s="4">
        <v>130.5</v>
      </c>
      <c r="T150" s="4">
        <v>122.5</v>
      </c>
      <c r="U150" s="4">
        <v>129.30000000000001</v>
      </c>
      <c r="V150" s="4">
        <v>130.5</v>
      </c>
      <c r="W150" s="4">
        <v>119.2</v>
      </c>
      <c r="X150" s="4">
        <v>125.3</v>
      </c>
      <c r="Y150" s="4">
        <v>122.9</v>
      </c>
      <c r="Z150" s="4">
        <v>115.5</v>
      </c>
      <c r="AA150" s="4">
        <v>122.2</v>
      </c>
      <c r="AB150" s="4">
        <v>132.4</v>
      </c>
      <c r="AC150" s="4">
        <v>121.7</v>
      </c>
      <c r="AD150" s="4">
        <v>122.4</v>
      </c>
      <c r="AE150" s="4">
        <v>128.19999999999999</v>
      </c>
      <c r="AF150" s="4" t="str">
        <f t="shared" si="5"/>
        <v>Pre Covid</v>
      </c>
      <c r="AG150" s="4"/>
    </row>
    <row r="151" spans="1:33">
      <c r="A151" s="6" t="s">
        <v>33</v>
      </c>
      <c r="B151" s="6">
        <v>2017</v>
      </c>
      <c r="C151" s="6" t="s">
        <v>34</v>
      </c>
      <c r="D151" s="6">
        <f t="shared" si="4"/>
        <v>2</v>
      </c>
      <c r="E151" s="6">
        <v>133.1</v>
      </c>
      <c r="F151" s="6">
        <v>138.80000000000001</v>
      </c>
      <c r="G151" s="6">
        <v>129.30000000000001</v>
      </c>
      <c r="H151" s="6">
        <v>135.80000000000001</v>
      </c>
      <c r="I151" s="6">
        <v>119.2</v>
      </c>
      <c r="J151" s="6">
        <v>135.30000000000001</v>
      </c>
      <c r="K151" s="6">
        <v>119.5</v>
      </c>
      <c r="L151" s="6">
        <v>152.19999999999999</v>
      </c>
      <c r="M151" s="6">
        <v>117.3</v>
      </c>
      <c r="N151" s="6">
        <v>138.69999999999999</v>
      </c>
      <c r="O151" s="6">
        <v>126.9</v>
      </c>
      <c r="P151" s="6">
        <v>143.19999999999999</v>
      </c>
      <c r="Q151" s="6">
        <v>133</v>
      </c>
      <c r="R151" s="6">
        <v>144.4</v>
      </c>
      <c r="S151" s="6">
        <v>136.80000000000001</v>
      </c>
      <c r="T151" s="6">
        <v>130.30000000000001</v>
      </c>
      <c r="U151" s="6">
        <v>135.9</v>
      </c>
      <c r="V151" s="6">
        <v>130.5</v>
      </c>
      <c r="W151" s="6">
        <v>127.9</v>
      </c>
      <c r="X151" s="6">
        <v>129.69999999999999</v>
      </c>
      <c r="Y151" s="6">
        <v>127.4</v>
      </c>
      <c r="Z151" s="6">
        <v>117.4</v>
      </c>
      <c r="AA151" s="6">
        <v>124.6</v>
      </c>
      <c r="AB151" s="6">
        <v>133.4</v>
      </c>
      <c r="AC151" s="6">
        <v>122.6</v>
      </c>
      <c r="AD151" s="6">
        <v>124.8</v>
      </c>
      <c r="AE151" s="6">
        <v>130.6</v>
      </c>
      <c r="AF151" s="6" t="str">
        <f t="shared" si="5"/>
        <v>Pre Covid</v>
      </c>
      <c r="AG151" s="6"/>
    </row>
    <row r="152" spans="1:33">
      <c r="A152" s="4" t="s">
        <v>30</v>
      </c>
      <c r="B152" s="4">
        <v>2017</v>
      </c>
      <c r="C152" s="4" t="s">
        <v>35</v>
      </c>
      <c r="D152" s="4">
        <f t="shared" si="4"/>
        <v>3</v>
      </c>
      <c r="E152" s="4">
        <v>133.6</v>
      </c>
      <c r="F152" s="4">
        <v>138.80000000000001</v>
      </c>
      <c r="G152" s="4">
        <v>128.80000000000001</v>
      </c>
      <c r="H152" s="4">
        <v>137.19999999999999</v>
      </c>
      <c r="I152" s="4">
        <v>121.6</v>
      </c>
      <c r="J152" s="4">
        <v>139.69999999999999</v>
      </c>
      <c r="K152" s="4">
        <v>119.7</v>
      </c>
      <c r="L152" s="4">
        <v>148</v>
      </c>
      <c r="M152" s="4">
        <v>116.9</v>
      </c>
      <c r="N152" s="4">
        <v>135.6</v>
      </c>
      <c r="O152" s="4">
        <v>129.80000000000001</v>
      </c>
      <c r="P152" s="4">
        <v>145.4</v>
      </c>
      <c r="Q152" s="4">
        <v>133.4</v>
      </c>
      <c r="R152" s="4">
        <v>144.19999999999999</v>
      </c>
      <c r="S152" s="4">
        <v>141.6</v>
      </c>
      <c r="T152" s="4">
        <v>136.19999999999999</v>
      </c>
      <c r="U152" s="4">
        <v>140.80000000000001</v>
      </c>
      <c r="V152" s="4">
        <v>131.4</v>
      </c>
      <c r="W152" s="4">
        <v>134.19999999999999</v>
      </c>
      <c r="X152" s="4">
        <v>134.1</v>
      </c>
      <c r="Y152" s="4">
        <v>130.6</v>
      </c>
      <c r="Z152" s="4">
        <v>119.8</v>
      </c>
      <c r="AA152" s="4">
        <v>128.30000000000001</v>
      </c>
      <c r="AB152" s="4">
        <v>135.19999999999999</v>
      </c>
      <c r="AC152" s="4">
        <v>123.3</v>
      </c>
      <c r="AD152" s="4">
        <v>127.4</v>
      </c>
      <c r="AE152" s="4">
        <v>132.80000000000001</v>
      </c>
      <c r="AF152" s="4" t="str">
        <f t="shared" si="5"/>
        <v>Pre Covid</v>
      </c>
      <c r="AG152" s="4"/>
    </row>
    <row r="153" spans="1:33">
      <c r="A153" s="6" t="s">
        <v>32</v>
      </c>
      <c r="B153" s="6">
        <v>2017</v>
      </c>
      <c r="C153" s="6" t="s">
        <v>35</v>
      </c>
      <c r="D153" s="6">
        <f t="shared" si="4"/>
        <v>3</v>
      </c>
      <c r="E153" s="6">
        <v>132.69999999999999</v>
      </c>
      <c r="F153" s="6">
        <v>139.4</v>
      </c>
      <c r="G153" s="6">
        <v>128.4</v>
      </c>
      <c r="H153" s="6">
        <v>134.9</v>
      </c>
      <c r="I153" s="6">
        <v>114</v>
      </c>
      <c r="J153" s="6">
        <v>136.80000000000001</v>
      </c>
      <c r="K153" s="6">
        <v>122.2</v>
      </c>
      <c r="L153" s="6">
        <v>135.80000000000001</v>
      </c>
      <c r="M153" s="6">
        <v>120.3</v>
      </c>
      <c r="N153" s="6">
        <v>142.6</v>
      </c>
      <c r="O153" s="6">
        <v>123.6</v>
      </c>
      <c r="P153" s="6">
        <v>142.4</v>
      </c>
      <c r="Q153" s="6">
        <v>132.6</v>
      </c>
      <c r="R153" s="6">
        <v>147.5</v>
      </c>
      <c r="S153" s="6">
        <v>130.80000000000001</v>
      </c>
      <c r="T153" s="6">
        <v>122.8</v>
      </c>
      <c r="U153" s="6">
        <v>129.6</v>
      </c>
      <c r="V153" s="6">
        <v>131.1</v>
      </c>
      <c r="W153" s="6">
        <v>120.8</v>
      </c>
      <c r="X153" s="6">
        <v>125.6</v>
      </c>
      <c r="Y153" s="6">
        <v>123.1</v>
      </c>
      <c r="Z153" s="6">
        <v>115.6</v>
      </c>
      <c r="AA153" s="6">
        <v>122.4</v>
      </c>
      <c r="AB153" s="6">
        <v>132.80000000000001</v>
      </c>
      <c r="AC153" s="6">
        <v>121.7</v>
      </c>
      <c r="AD153" s="6">
        <v>122.6</v>
      </c>
      <c r="AE153" s="6">
        <v>128.69999999999999</v>
      </c>
      <c r="AF153" s="6" t="str">
        <f t="shared" si="5"/>
        <v>Pre Covid</v>
      </c>
      <c r="AG153" s="6"/>
    </row>
    <row r="154" spans="1:33">
      <c r="A154" s="4" t="s">
        <v>33</v>
      </c>
      <c r="B154" s="4">
        <v>2017</v>
      </c>
      <c r="C154" s="4" t="s">
        <v>35</v>
      </c>
      <c r="D154" s="4">
        <f t="shared" si="4"/>
        <v>3</v>
      </c>
      <c r="E154" s="4">
        <v>133.30000000000001</v>
      </c>
      <c r="F154" s="4">
        <v>139</v>
      </c>
      <c r="G154" s="4">
        <v>128.6</v>
      </c>
      <c r="H154" s="4">
        <v>136.30000000000001</v>
      </c>
      <c r="I154" s="4">
        <v>118.8</v>
      </c>
      <c r="J154" s="4">
        <v>138.30000000000001</v>
      </c>
      <c r="K154" s="4">
        <v>120.5</v>
      </c>
      <c r="L154" s="4">
        <v>143.9</v>
      </c>
      <c r="M154" s="4">
        <v>118</v>
      </c>
      <c r="N154" s="4">
        <v>137.9</v>
      </c>
      <c r="O154" s="4">
        <v>127.2</v>
      </c>
      <c r="P154" s="4">
        <v>144</v>
      </c>
      <c r="Q154" s="4">
        <v>133.1</v>
      </c>
      <c r="R154" s="4">
        <v>145.1</v>
      </c>
      <c r="S154" s="4">
        <v>137.30000000000001</v>
      </c>
      <c r="T154" s="4">
        <v>130.6</v>
      </c>
      <c r="U154" s="4">
        <v>136.4</v>
      </c>
      <c r="V154" s="4">
        <v>131.1</v>
      </c>
      <c r="W154" s="4">
        <v>129.1</v>
      </c>
      <c r="X154" s="4">
        <v>130.1</v>
      </c>
      <c r="Y154" s="4">
        <v>127.8</v>
      </c>
      <c r="Z154" s="4">
        <v>117.6</v>
      </c>
      <c r="AA154" s="4">
        <v>125</v>
      </c>
      <c r="AB154" s="4">
        <v>133.80000000000001</v>
      </c>
      <c r="AC154" s="4">
        <v>122.6</v>
      </c>
      <c r="AD154" s="4">
        <v>125.1</v>
      </c>
      <c r="AE154" s="4">
        <v>130.9</v>
      </c>
      <c r="AF154" s="4" t="str">
        <f t="shared" si="5"/>
        <v>Pre Covid</v>
      </c>
      <c r="AG154" s="4"/>
    </row>
    <row r="155" spans="1:33">
      <c r="A155" s="6" t="s">
        <v>30</v>
      </c>
      <c r="B155" s="6">
        <v>2017</v>
      </c>
      <c r="C155" s="6" t="s">
        <v>36</v>
      </c>
      <c r="D155" s="6">
        <f t="shared" si="4"/>
        <v>4</v>
      </c>
      <c r="E155" s="6">
        <v>133.19999999999999</v>
      </c>
      <c r="F155" s="6">
        <v>138.69999999999999</v>
      </c>
      <c r="G155" s="6">
        <v>127.1</v>
      </c>
      <c r="H155" s="6">
        <v>137.69999999999999</v>
      </c>
      <c r="I155" s="6">
        <v>121.3</v>
      </c>
      <c r="J155" s="6">
        <v>141.80000000000001</v>
      </c>
      <c r="K155" s="6">
        <v>121.5</v>
      </c>
      <c r="L155" s="6">
        <v>144.5</v>
      </c>
      <c r="M155" s="6">
        <v>117.4</v>
      </c>
      <c r="N155" s="6">
        <v>134.1</v>
      </c>
      <c r="O155" s="6">
        <v>130</v>
      </c>
      <c r="P155" s="6">
        <v>145.5</v>
      </c>
      <c r="Q155" s="6">
        <v>133.5</v>
      </c>
      <c r="R155" s="6">
        <v>144.4</v>
      </c>
      <c r="S155" s="6">
        <v>142.4</v>
      </c>
      <c r="T155" s="6">
        <v>136.80000000000001</v>
      </c>
      <c r="U155" s="6">
        <v>141.6</v>
      </c>
      <c r="V155" s="6">
        <v>131.4</v>
      </c>
      <c r="W155" s="6">
        <v>135</v>
      </c>
      <c r="X155" s="6">
        <v>134.30000000000001</v>
      </c>
      <c r="Y155" s="6">
        <v>131</v>
      </c>
      <c r="Z155" s="6">
        <v>119.2</v>
      </c>
      <c r="AA155" s="6">
        <v>128.30000000000001</v>
      </c>
      <c r="AB155" s="6">
        <v>135.69999999999999</v>
      </c>
      <c r="AC155" s="6">
        <v>123.7</v>
      </c>
      <c r="AD155" s="6">
        <v>127.5</v>
      </c>
      <c r="AE155" s="6">
        <v>132.9</v>
      </c>
      <c r="AF155" s="6" t="str">
        <f t="shared" si="5"/>
        <v>Pre Covid</v>
      </c>
      <c r="AG155" s="6"/>
    </row>
    <row r="156" spans="1:33">
      <c r="A156" s="4" t="s">
        <v>32</v>
      </c>
      <c r="B156" s="4">
        <v>2017</v>
      </c>
      <c r="C156" s="4" t="s">
        <v>36</v>
      </c>
      <c r="D156" s="4">
        <f t="shared" si="4"/>
        <v>4</v>
      </c>
      <c r="E156" s="4">
        <v>132.69999999999999</v>
      </c>
      <c r="F156" s="4">
        <v>140.6</v>
      </c>
      <c r="G156" s="4">
        <v>124.5</v>
      </c>
      <c r="H156" s="4">
        <v>136.30000000000001</v>
      </c>
      <c r="I156" s="4">
        <v>113.5</v>
      </c>
      <c r="J156" s="4">
        <v>137.69999999999999</v>
      </c>
      <c r="K156" s="4">
        <v>127.1</v>
      </c>
      <c r="L156" s="4">
        <v>133.80000000000001</v>
      </c>
      <c r="M156" s="4">
        <v>120.8</v>
      </c>
      <c r="N156" s="4">
        <v>141.30000000000001</v>
      </c>
      <c r="O156" s="4">
        <v>123.8</v>
      </c>
      <c r="P156" s="4">
        <v>142.6</v>
      </c>
      <c r="Q156" s="4">
        <v>133.4</v>
      </c>
      <c r="R156" s="4">
        <v>148</v>
      </c>
      <c r="S156" s="4">
        <v>131.19999999999999</v>
      </c>
      <c r="T156" s="4">
        <v>123</v>
      </c>
      <c r="U156" s="4">
        <v>130</v>
      </c>
      <c r="V156" s="4">
        <v>131.69999999999999</v>
      </c>
      <c r="W156" s="4">
        <v>121.4</v>
      </c>
      <c r="X156" s="4">
        <v>126</v>
      </c>
      <c r="Y156" s="4">
        <v>123.4</v>
      </c>
      <c r="Z156" s="4">
        <v>114.3</v>
      </c>
      <c r="AA156" s="4">
        <v>122.6</v>
      </c>
      <c r="AB156" s="4">
        <v>133.6</v>
      </c>
      <c r="AC156" s="4">
        <v>122.2</v>
      </c>
      <c r="AD156" s="4">
        <v>122.5</v>
      </c>
      <c r="AE156" s="4">
        <v>129.1</v>
      </c>
      <c r="AF156" s="4" t="str">
        <f t="shared" si="5"/>
        <v>Pre Covid</v>
      </c>
      <c r="AG156" s="4"/>
    </row>
    <row r="157" spans="1:33">
      <c r="A157" s="6" t="s">
        <v>33</v>
      </c>
      <c r="B157" s="6">
        <v>2017</v>
      </c>
      <c r="C157" s="6" t="s">
        <v>36</v>
      </c>
      <c r="D157" s="6">
        <f t="shared" si="4"/>
        <v>4</v>
      </c>
      <c r="E157" s="6">
        <v>133</v>
      </c>
      <c r="F157" s="6">
        <v>139.4</v>
      </c>
      <c r="G157" s="6">
        <v>126.1</v>
      </c>
      <c r="H157" s="6">
        <v>137.19999999999999</v>
      </c>
      <c r="I157" s="6">
        <v>118.4</v>
      </c>
      <c r="J157" s="6">
        <v>139.9</v>
      </c>
      <c r="K157" s="6">
        <v>123.4</v>
      </c>
      <c r="L157" s="6">
        <v>140.9</v>
      </c>
      <c r="M157" s="6">
        <v>118.5</v>
      </c>
      <c r="N157" s="6">
        <v>136.5</v>
      </c>
      <c r="O157" s="6">
        <v>127.4</v>
      </c>
      <c r="P157" s="6">
        <v>144.19999999999999</v>
      </c>
      <c r="Q157" s="6">
        <v>133.5</v>
      </c>
      <c r="R157" s="6">
        <v>145.4</v>
      </c>
      <c r="S157" s="6">
        <v>138</v>
      </c>
      <c r="T157" s="6">
        <v>131.1</v>
      </c>
      <c r="U157" s="6">
        <v>137</v>
      </c>
      <c r="V157" s="6">
        <v>131.69999999999999</v>
      </c>
      <c r="W157" s="6">
        <v>129.80000000000001</v>
      </c>
      <c r="X157" s="6">
        <v>130.4</v>
      </c>
      <c r="Y157" s="6">
        <v>128.1</v>
      </c>
      <c r="Z157" s="6">
        <v>116.6</v>
      </c>
      <c r="AA157" s="6">
        <v>125.1</v>
      </c>
      <c r="AB157" s="6">
        <v>134.5</v>
      </c>
      <c r="AC157" s="6">
        <v>123.1</v>
      </c>
      <c r="AD157" s="6">
        <v>125.1</v>
      </c>
      <c r="AE157" s="6">
        <v>131.1</v>
      </c>
      <c r="AF157" s="6" t="str">
        <f t="shared" si="5"/>
        <v>Pre Covid</v>
      </c>
      <c r="AG157" s="6"/>
    </row>
    <row r="158" spans="1:33">
      <c r="A158" s="4" t="s">
        <v>30</v>
      </c>
      <c r="B158" s="4">
        <v>2017</v>
      </c>
      <c r="C158" s="4" t="s">
        <v>37</v>
      </c>
      <c r="D158" s="4">
        <f t="shared" si="4"/>
        <v>5</v>
      </c>
      <c r="E158" s="4">
        <v>133.1</v>
      </c>
      <c r="F158" s="4">
        <v>140.30000000000001</v>
      </c>
      <c r="G158" s="4">
        <v>126.8</v>
      </c>
      <c r="H158" s="4">
        <v>138.19999999999999</v>
      </c>
      <c r="I158" s="4">
        <v>120.8</v>
      </c>
      <c r="J158" s="4">
        <v>140.19999999999999</v>
      </c>
      <c r="K158" s="4">
        <v>123.8</v>
      </c>
      <c r="L158" s="4">
        <v>141.80000000000001</v>
      </c>
      <c r="M158" s="4">
        <v>118.6</v>
      </c>
      <c r="N158" s="4">
        <v>134</v>
      </c>
      <c r="O158" s="4">
        <v>130.30000000000001</v>
      </c>
      <c r="P158" s="4">
        <v>145.80000000000001</v>
      </c>
      <c r="Q158" s="4">
        <v>133.80000000000001</v>
      </c>
      <c r="R158" s="4">
        <v>145.5</v>
      </c>
      <c r="S158" s="4">
        <v>142.5</v>
      </c>
      <c r="T158" s="4">
        <v>137.30000000000001</v>
      </c>
      <c r="U158" s="4">
        <v>141.80000000000001</v>
      </c>
      <c r="V158" s="4">
        <v>131.75</v>
      </c>
      <c r="W158" s="4">
        <v>135</v>
      </c>
      <c r="X158" s="4">
        <v>134.9</v>
      </c>
      <c r="Y158" s="4">
        <v>131.4</v>
      </c>
      <c r="Z158" s="4">
        <v>119.4</v>
      </c>
      <c r="AA158" s="4">
        <v>129.4</v>
      </c>
      <c r="AB158" s="4">
        <v>136.30000000000001</v>
      </c>
      <c r="AC158" s="4">
        <v>123.7</v>
      </c>
      <c r="AD158" s="4">
        <v>127.9</v>
      </c>
      <c r="AE158" s="4">
        <v>133.30000000000001</v>
      </c>
      <c r="AF158" s="4" t="str">
        <f t="shared" si="5"/>
        <v>Pre Covid</v>
      </c>
      <c r="AG158" s="4"/>
    </row>
    <row r="159" spans="1:33">
      <c r="A159" s="6" t="s">
        <v>32</v>
      </c>
      <c r="B159" s="6">
        <v>2017</v>
      </c>
      <c r="C159" s="6" t="s">
        <v>37</v>
      </c>
      <c r="D159" s="6">
        <f t="shared" si="4"/>
        <v>5</v>
      </c>
      <c r="E159" s="6">
        <v>132.6</v>
      </c>
      <c r="F159" s="6">
        <v>144.1</v>
      </c>
      <c r="G159" s="6">
        <v>125.6</v>
      </c>
      <c r="H159" s="6">
        <v>136.80000000000001</v>
      </c>
      <c r="I159" s="6">
        <v>113.4</v>
      </c>
      <c r="J159" s="6">
        <v>135.19999999999999</v>
      </c>
      <c r="K159" s="6">
        <v>129.19999999999999</v>
      </c>
      <c r="L159" s="6">
        <v>131.5</v>
      </c>
      <c r="M159" s="6">
        <v>121</v>
      </c>
      <c r="N159" s="6">
        <v>139.9</v>
      </c>
      <c r="O159" s="6">
        <v>123.8</v>
      </c>
      <c r="P159" s="6">
        <v>142.9</v>
      </c>
      <c r="Q159" s="6">
        <v>133.6</v>
      </c>
      <c r="R159" s="6">
        <v>148.30000000000001</v>
      </c>
      <c r="S159" s="6">
        <v>131.5</v>
      </c>
      <c r="T159" s="6">
        <v>123.2</v>
      </c>
      <c r="U159" s="6">
        <v>130.19999999999999</v>
      </c>
      <c r="V159" s="6">
        <v>132.1</v>
      </c>
      <c r="W159" s="6">
        <v>120.1</v>
      </c>
      <c r="X159" s="6">
        <v>126.5</v>
      </c>
      <c r="Y159" s="6">
        <v>123.6</v>
      </c>
      <c r="Z159" s="6">
        <v>114.3</v>
      </c>
      <c r="AA159" s="6">
        <v>122.8</v>
      </c>
      <c r="AB159" s="6">
        <v>133.80000000000001</v>
      </c>
      <c r="AC159" s="6">
        <v>122</v>
      </c>
      <c r="AD159" s="6">
        <v>122.6</v>
      </c>
      <c r="AE159" s="6">
        <v>129.30000000000001</v>
      </c>
      <c r="AF159" s="6" t="str">
        <f t="shared" si="5"/>
        <v>Pre Covid</v>
      </c>
      <c r="AG159" s="6"/>
    </row>
    <row r="160" spans="1:33">
      <c r="A160" s="4" t="s">
        <v>33</v>
      </c>
      <c r="B160" s="4">
        <v>2017</v>
      </c>
      <c r="C160" s="4" t="s">
        <v>37</v>
      </c>
      <c r="D160" s="4">
        <f t="shared" si="4"/>
        <v>5</v>
      </c>
      <c r="E160" s="4">
        <v>132.9</v>
      </c>
      <c r="F160" s="4">
        <v>141.6</v>
      </c>
      <c r="G160" s="4">
        <v>126.3</v>
      </c>
      <c r="H160" s="4">
        <v>137.69999999999999</v>
      </c>
      <c r="I160" s="4">
        <v>118.1</v>
      </c>
      <c r="J160" s="4">
        <v>137.9</v>
      </c>
      <c r="K160" s="4">
        <v>125.6</v>
      </c>
      <c r="L160" s="4">
        <v>138.30000000000001</v>
      </c>
      <c r="M160" s="4">
        <v>119.4</v>
      </c>
      <c r="N160" s="4">
        <v>136</v>
      </c>
      <c r="O160" s="4">
        <v>127.6</v>
      </c>
      <c r="P160" s="4">
        <v>144.5</v>
      </c>
      <c r="Q160" s="4">
        <v>133.69999999999999</v>
      </c>
      <c r="R160" s="4">
        <v>146.19999999999999</v>
      </c>
      <c r="S160" s="4">
        <v>138.19999999999999</v>
      </c>
      <c r="T160" s="4">
        <v>131.4</v>
      </c>
      <c r="U160" s="4">
        <v>137.19999999999999</v>
      </c>
      <c r="V160" s="4">
        <v>132.1</v>
      </c>
      <c r="W160" s="4">
        <v>129.4</v>
      </c>
      <c r="X160" s="4">
        <v>130.9</v>
      </c>
      <c r="Y160" s="4">
        <v>128.4</v>
      </c>
      <c r="Z160" s="4">
        <v>116.7</v>
      </c>
      <c r="AA160" s="4">
        <v>125.7</v>
      </c>
      <c r="AB160" s="4">
        <v>134.80000000000001</v>
      </c>
      <c r="AC160" s="4">
        <v>123</v>
      </c>
      <c r="AD160" s="4">
        <v>125.3</v>
      </c>
      <c r="AE160" s="4">
        <v>131.4</v>
      </c>
      <c r="AF160" s="4" t="str">
        <f t="shared" si="5"/>
        <v>Pre Covid</v>
      </c>
      <c r="AG160" s="4"/>
    </row>
    <row r="161" spans="1:33">
      <c r="A161" s="6" t="s">
        <v>30</v>
      </c>
      <c r="B161" s="6">
        <v>2017</v>
      </c>
      <c r="C161" s="6" t="s">
        <v>38</v>
      </c>
      <c r="D161" s="6">
        <f t="shared" si="4"/>
        <v>6</v>
      </c>
      <c r="E161" s="6">
        <v>133.5</v>
      </c>
      <c r="F161" s="6">
        <v>143.69999999999999</v>
      </c>
      <c r="G161" s="6">
        <v>128</v>
      </c>
      <c r="H161" s="6">
        <v>138.6</v>
      </c>
      <c r="I161" s="6">
        <v>120.9</v>
      </c>
      <c r="J161" s="6">
        <v>140.9</v>
      </c>
      <c r="K161" s="6">
        <v>128.80000000000001</v>
      </c>
      <c r="L161" s="6">
        <v>140.19999999999999</v>
      </c>
      <c r="M161" s="6">
        <v>118.9</v>
      </c>
      <c r="N161" s="6">
        <v>133.5</v>
      </c>
      <c r="O161" s="6">
        <v>130.4</v>
      </c>
      <c r="P161" s="6">
        <v>146.5</v>
      </c>
      <c r="Q161" s="6">
        <v>134.9</v>
      </c>
      <c r="R161" s="6">
        <v>145.80000000000001</v>
      </c>
      <c r="S161" s="6">
        <v>143.1</v>
      </c>
      <c r="T161" s="6">
        <v>137.69999999999999</v>
      </c>
      <c r="U161" s="6">
        <v>142.30000000000001</v>
      </c>
      <c r="V161" s="6">
        <v>131.75</v>
      </c>
      <c r="W161" s="6">
        <v>134.80000000000001</v>
      </c>
      <c r="X161" s="6">
        <v>135.19999999999999</v>
      </c>
      <c r="Y161" s="6">
        <v>131.30000000000001</v>
      </c>
      <c r="Z161" s="6">
        <v>119.4</v>
      </c>
      <c r="AA161" s="6">
        <v>129.80000000000001</v>
      </c>
      <c r="AB161" s="6">
        <v>136.9</v>
      </c>
      <c r="AC161" s="6">
        <v>124.1</v>
      </c>
      <c r="AD161" s="6">
        <v>128.1</v>
      </c>
      <c r="AE161" s="6">
        <v>133.9</v>
      </c>
      <c r="AF161" s="6" t="str">
        <f t="shared" si="5"/>
        <v>Pre Covid</v>
      </c>
      <c r="AG161" s="6"/>
    </row>
    <row r="162" spans="1:33">
      <c r="A162" s="4" t="s">
        <v>32</v>
      </c>
      <c r="B162" s="4">
        <v>2017</v>
      </c>
      <c r="C162" s="4" t="s">
        <v>38</v>
      </c>
      <c r="D162" s="4">
        <f t="shared" si="4"/>
        <v>6</v>
      </c>
      <c r="E162" s="4">
        <v>132.9</v>
      </c>
      <c r="F162" s="4">
        <v>148.69999999999999</v>
      </c>
      <c r="G162" s="4">
        <v>128.30000000000001</v>
      </c>
      <c r="H162" s="4">
        <v>137.30000000000001</v>
      </c>
      <c r="I162" s="4">
        <v>113.5</v>
      </c>
      <c r="J162" s="4">
        <v>137.19999999999999</v>
      </c>
      <c r="K162" s="4">
        <v>142.19999999999999</v>
      </c>
      <c r="L162" s="4">
        <v>128.19999999999999</v>
      </c>
      <c r="M162" s="4">
        <v>120.9</v>
      </c>
      <c r="N162" s="4">
        <v>138.80000000000001</v>
      </c>
      <c r="O162" s="4">
        <v>124.2</v>
      </c>
      <c r="P162" s="4">
        <v>143.1</v>
      </c>
      <c r="Q162" s="4">
        <v>135.69999999999999</v>
      </c>
      <c r="R162" s="4">
        <v>148.6</v>
      </c>
      <c r="S162" s="4">
        <v>131.5</v>
      </c>
      <c r="T162" s="4">
        <v>123.2</v>
      </c>
      <c r="U162" s="4">
        <v>130.19999999999999</v>
      </c>
      <c r="V162" s="4">
        <v>131.4</v>
      </c>
      <c r="W162" s="4">
        <v>119</v>
      </c>
      <c r="X162" s="4">
        <v>126.8</v>
      </c>
      <c r="Y162" s="4">
        <v>123.8</v>
      </c>
      <c r="Z162" s="4">
        <v>113.9</v>
      </c>
      <c r="AA162" s="4">
        <v>122.9</v>
      </c>
      <c r="AB162" s="4">
        <v>134.30000000000001</v>
      </c>
      <c r="AC162" s="4">
        <v>122.5</v>
      </c>
      <c r="AD162" s="4">
        <v>122.7</v>
      </c>
      <c r="AE162" s="4">
        <v>129.9</v>
      </c>
      <c r="AF162" s="4" t="str">
        <f t="shared" si="5"/>
        <v>Pre Covid</v>
      </c>
      <c r="AG162" s="4"/>
    </row>
    <row r="163" spans="1:33">
      <c r="A163" s="6" t="s">
        <v>33</v>
      </c>
      <c r="B163" s="6">
        <v>2017</v>
      </c>
      <c r="C163" s="6" t="s">
        <v>38</v>
      </c>
      <c r="D163" s="6">
        <f t="shared" si="4"/>
        <v>6</v>
      </c>
      <c r="E163" s="6">
        <v>133.30000000000001</v>
      </c>
      <c r="F163" s="6">
        <v>145.5</v>
      </c>
      <c r="G163" s="6">
        <v>128.1</v>
      </c>
      <c r="H163" s="6">
        <v>138.1</v>
      </c>
      <c r="I163" s="6">
        <v>118.2</v>
      </c>
      <c r="J163" s="6">
        <v>139.19999999999999</v>
      </c>
      <c r="K163" s="6">
        <v>133.30000000000001</v>
      </c>
      <c r="L163" s="6">
        <v>136.19999999999999</v>
      </c>
      <c r="M163" s="6">
        <v>119.6</v>
      </c>
      <c r="N163" s="6">
        <v>135.30000000000001</v>
      </c>
      <c r="O163" s="6">
        <v>127.8</v>
      </c>
      <c r="P163" s="6">
        <v>144.9</v>
      </c>
      <c r="Q163" s="6">
        <v>135.19999999999999</v>
      </c>
      <c r="R163" s="6">
        <v>146.5</v>
      </c>
      <c r="S163" s="6">
        <v>138.5</v>
      </c>
      <c r="T163" s="6">
        <v>131.69999999999999</v>
      </c>
      <c r="U163" s="6">
        <v>137.5</v>
      </c>
      <c r="V163" s="6">
        <v>131.4</v>
      </c>
      <c r="W163" s="6">
        <v>128.80000000000001</v>
      </c>
      <c r="X163" s="6">
        <v>131.19999999999999</v>
      </c>
      <c r="Y163" s="6">
        <v>128.5</v>
      </c>
      <c r="Z163" s="6">
        <v>116.5</v>
      </c>
      <c r="AA163" s="6">
        <v>125.9</v>
      </c>
      <c r="AB163" s="6">
        <v>135.4</v>
      </c>
      <c r="AC163" s="6">
        <v>123.4</v>
      </c>
      <c r="AD163" s="6">
        <v>125.5</v>
      </c>
      <c r="AE163" s="6">
        <v>132</v>
      </c>
      <c r="AF163" s="6" t="str">
        <f t="shared" si="5"/>
        <v>Pre Covid</v>
      </c>
      <c r="AG163" s="6"/>
    </row>
    <row r="164" spans="1:33">
      <c r="A164" s="4" t="s">
        <v>30</v>
      </c>
      <c r="B164" s="4">
        <v>2017</v>
      </c>
      <c r="C164" s="4" t="s">
        <v>39</v>
      </c>
      <c r="D164" s="4">
        <f t="shared" si="4"/>
        <v>7</v>
      </c>
      <c r="E164" s="4">
        <v>134</v>
      </c>
      <c r="F164" s="4">
        <v>144.19999999999999</v>
      </c>
      <c r="G164" s="4">
        <v>129.80000000000001</v>
      </c>
      <c r="H164" s="4">
        <v>139</v>
      </c>
      <c r="I164" s="4">
        <v>120.9</v>
      </c>
      <c r="J164" s="4">
        <v>143.9</v>
      </c>
      <c r="K164" s="4">
        <v>151.5</v>
      </c>
      <c r="L164" s="4">
        <v>138.1</v>
      </c>
      <c r="M164" s="4">
        <v>120</v>
      </c>
      <c r="N164" s="4">
        <v>133.9</v>
      </c>
      <c r="O164" s="4">
        <v>131.4</v>
      </c>
      <c r="P164" s="4">
        <v>147.69999999999999</v>
      </c>
      <c r="Q164" s="4">
        <v>138.5</v>
      </c>
      <c r="R164" s="4">
        <v>147.4</v>
      </c>
      <c r="S164" s="4">
        <v>144.30000000000001</v>
      </c>
      <c r="T164" s="4">
        <v>138.1</v>
      </c>
      <c r="U164" s="4">
        <v>143.5</v>
      </c>
      <c r="V164" s="4">
        <v>133.5</v>
      </c>
      <c r="W164" s="4">
        <v>135.30000000000001</v>
      </c>
      <c r="X164" s="4">
        <v>136.1</v>
      </c>
      <c r="Y164" s="4">
        <v>132.1</v>
      </c>
      <c r="Z164" s="4">
        <v>119.1</v>
      </c>
      <c r="AA164" s="4">
        <v>130.6</v>
      </c>
      <c r="AB164" s="4">
        <v>138.6</v>
      </c>
      <c r="AC164" s="4">
        <v>124.4</v>
      </c>
      <c r="AD164" s="4">
        <v>128.6</v>
      </c>
      <c r="AE164" s="4">
        <v>136.19999999999999</v>
      </c>
      <c r="AF164" s="4" t="str">
        <f t="shared" si="5"/>
        <v>Pre Covid</v>
      </c>
      <c r="AG164" s="4"/>
    </row>
    <row r="165" spans="1:33">
      <c r="A165" s="6" t="s">
        <v>32</v>
      </c>
      <c r="B165" s="6">
        <v>2017</v>
      </c>
      <c r="C165" s="6" t="s">
        <v>39</v>
      </c>
      <c r="D165" s="6">
        <f t="shared" si="4"/>
        <v>7</v>
      </c>
      <c r="E165" s="6">
        <v>132.80000000000001</v>
      </c>
      <c r="F165" s="6">
        <v>148.4</v>
      </c>
      <c r="G165" s="6">
        <v>129.4</v>
      </c>
      <c r="H165" s="6">
        <v>137.69999999999999</v>
      </c>
      <c r="I165" s="6">
        <v>113.4</v>
      </c>
      <c r="J165" s="6">
        <v>139.4</v>
      </c>
      <c r="K165" s="6">
        <v>175.1</v>
      </c>
      <c r="L165" s="6">
        <v>124.7</v>
      </c>
      <c r="M165" s="6">
        <v>121.5</v>
      </c>
      <c r="N165" s="6">
        <v>137.80000000000001</v>
      </c>
      <c r="O165" s="6">
        <v>124.4</v>
      </c>
      <c r="P165" s="6">
        <v>143.69999999999999</v>
      </c>
      <c r="Q165" s="6">
        <v>139.80000000000001</v>
      </c>
      <c r="R165" s="6">
        <v>150.5</v>
      </c>
      <c r="S165" s="6">
        <v>131.6</v>
      </c>
      <c r="T165" s="6">
        <v>123.7</v>
      </c>
      <c r="U165" s="6">
        <v>130.4</v>
      </c>
      <c r="V165" s="6">
        <v>132.6</v>
      </c>
      <c r="W165" s="6">
        <v>119.7</v>
      </c>
      <c r="X165" s="6">
        <v>127.2</v>
      </c>
      <c r="Y165" s="6">
        <v>125</v>
      </c>
      <c r="Z165" s="6">
        <v>113.2</v>
      </c>
      <c r="AA165" s="6">
        <v>123.5</v>
      </c>
      <c r="AB165" s="6">
        <v>135.5</v>
      </c>
      <c r="AC165" s="6">
        <v>122.4</v>
      </c>
      <c r="AD165" s="6">
        <v>123</v>
      </c>
      <c r="AE165" s="6">
        <v>131.80000000000001</v>
      </c>
      <c r="AF165" s="6" t="str">
        <f t="shared" si="5"/>
        <v>Pre Covid</v>
      </c>
      <c r="AG165" s="6"/>
    </row>
    <row r="166" spans="1:33">
      <c r="A166" s="4" t="s">
        <v>33</v>
      </c>
      <c r="B166" s="4">
        <v>2017</v>
      </c>
      <c r="C166" s="4" t="s">
        <v>39</v>
      </c>
      <c r="D166" s="4">
        <f t="shared" si="4"/>
        <v>7</v>
      </c>
      <c r="E166" s="4">
        <v>133.6</v>
      </c>
      <c r="F166" s="4">
        <v>145.69999999999999</v>
      </c>
      <c r="G166" s="4">
        <v>129.6</v>
      </c>
      <c r="H166" s="4">
        <v>138.5</v>
      </c>
      <c r="I166" s="4">
        <v>118.1</v>
      </c>
      <c r="J166" s="4">
        <v>141.80000000000001</v>
      </c>
      <c r="K166" s="4">
        <v>159.5</v>
      </c>
      <c r="L166" s="4">
        <v>133.6</v>
      </c>
      <c r="M166" s="4">
        <v>120.5</v>
      </c>
      <c r="N166" s="4">
        <v>135.19999999999999</v>
      </c>
      <c r="O166" s="4">
        <v>128.5</v>
      </c>
      <c r="P166" s="4">
        <v>145.80000000000001</v>
      </c>
      <c r="Q166" s="4">
        <v>139</v>
      </c>
      <c r="R166" s="4">
        <v>148.19999999999999</v>
      </c>
      <c r="S166" s="4">
        <v>139.30000000000001</v>
      </c>
      <c r="T166" s="4">
        <v>132.1</v>
      </c>
      <c r="U166" s="4">
        <v>138.30000000000001</v>
      </c>
      <c r="V166" s="4">
        <v>132.6</v>
      </c>
      <c r="W166" s="4">
        <v>129.4</v>
      </c>
      <c r="X166" s="4">
        <v>131.9</v>
      </c>
      <c r="Y166" s="4">
        <v>129.4</v>
      </c>
      <c r="Z166" s="4">
        <v>116</v>
      </c>
      <c r="AA166" s="4">
        <v>126.6</v>
      </c>
      <c r="AB166" s="4">
        <v>136.80000000000001</v>
      </c>
      <c r="AC166" s="4">
        <v>123.6</v>
      </c>
      <c r="AD166" s="4">
        <v>125.9</v>
      </c>
      <c r="AE166" s="4">
        <v>134.19999999999999</v>
      </c>
      <c r="AF166" s="4" t="str">
        <f t="shared" si="5"/>
        <v>Pre Covid</v>
      </c>
      <c r="AG166" s="4"/>
    </row>
    <row r="167" spans="1:33">
      <c r="A167" s="6" t="s">
        <v>30</v>
      </c>
      <c r="B167" s="6">
        <v>2017</v>
      </c>
      <c r="C167" s="6" t="s">
        <v>40</v>
      </c>
      <c r="D167" s="6">
        <f t="shared" si="4"/>
        <v>8</v>
      </c>
      <c r="E167" s="6">
        <v>134.80000000000001</v>
      </c>
      <c r="F167" s="6">
        <v>143.1</v>
      </c>
      <c r="G167" s="6">
        <v>130</v>
      </c>
      <c r="H167" s="6">
        <v>139.4</v>
      </c>
      <c r="I167" s="6">
        <v>120.5</v>
      </c>
      <c r="J167" s="6">
        <v>148</v>
      </c>
      <c r="K167" s="6">
        <v>162.9</v>
      </c>
      <c r="L167" s="6">
        <v>137.4</v>
      </c>
      <c r="M167" s="6">
        <v>120.8</v>
      </c>
      <c r="N167" s="6">
        <v>134.69999999999999</v>
      </c>
      <c r="O167" s="6">
        <v>131.6</v>
      </c>
      <c r="P167" s="6">
        <v>148.69999999999999</v>
      </c>
      <c r="Q167" s="6">
        <v>140.6</v>
      </c>
      <c r="R167" s="6">
        <v>149</v>
      </c>
      <c r="S167" s="6">
        <v>145.30000000000001</v>
      </c>
      <c r="T167" s="6">
        <v>139.19999999999999</v>
      </c>
      <c r="U167" s="6">
        <v>144.5</v>
      </c>
      <c r="V167" s="6">
        <v>133.5</v>
      </c>
      <c r="W167" s="6">
        <v>136.4</v>
      </c>
      <c r="X167" s="6">
        <v>137.30000000000001</v>
      </c>
      <c r="Y167" s="6">
        <v>133</v>
      </c>
      <c r="Z167" s="6">
        <v>120.3</v>
      </c>
      <c r="AA167" s="6">
        <v>131.5</v>
      </c>
      <c r="AB167" s="6">
        <v>140.19999999999999</v>
      </c>
      <c r="AC167" s="6">
        <v>125.4</v>
      </c>
      <c r="AD167" s="6">
        <v>129.69999999999999</v>
      </c>
      <c r="AE167" s="6">
        <v>137.80000000000001</v>
      </c>
      <c r="AF167" s="6" t="str">
        <f t="shared" si="5"/>
        <v>Pre Covid</v>
      </c>
      <c r="AG167" s="6"/>
    </row>
    <row r="168" spans="1:33">
      <c r="A168" s="4" t="s">
        <v>32</v>
      </c>
      <c r="B168" s="4">
        <v>2017</v>
      </c>
      <c r="C168" s="4" t="s">
        <v>40</v>
      </c>
      <c r="D168" s="4">
        <f t="shared" si="4"/>
        <v>8</v>
      </c>
      <c r="E168" s="4">
        <v>133.19999999999999</v>
      </c>
      <c r="F168" s="4">
        <v>143.9</v>
      </c>
      <c r="G168" s="4">
        <v>128.30000000000001</v>
      </c>
      <c r="H168" s="4">
        <v>138.30000000000001</v>
      </c>
      <c r="I168" s="4">
        <v>114.1</v>
      </c>
      <c r="J168" s="4">
        <v>142.69999999999999</v>
      </c>
      <c r="K168" s="4">
        <v>179.8</v>
      </c>
      <c r="L168" s="4">
        <v>123.5</v>
      </c>
      <c r="M168" s="4">
        <v>122.1</v>
      </c>
      <c r="N168" s="4">
        <v>137.5</v>
      </c>
      <c r="O168" s="4">
        <v>124.6</v>
      </c>
      <c r="P168" s="4">
        <v>144.5</v>
      </c>
      <c r="Q168" s="4">
        <v>140.5</v>
      </c>
      <c r="R168" s="4">
        <v>152.1</v>
      </c>
      <c r="S168" s="4">
        <v>132.69999999999999</v>
      </c>
      <c r="T168" s="4">
        <v>124.3</v>
      </c>
      <c r="U168" s="4">
        <v>131.4</v>
      </c>
      <c r="V168" s="4">
        <v>134.4</v>
      </c>
      <c r="W168" s="4">
        <v>118.9</v>
      </c>
      <c r="X168" s="4">
        <v>127.7</v>
      </c>
      <c r="Y168" s="4">
        <v>125.7</v>
      </c>
      <c r="Z168" s="4">
        <v>114.6</v>
      </c>
      <c r="AA168" s="4">
        <v>124.1</v>
      </c>
      <c r="AB168" s="4">
        <v>135.69999999999999</v>
      </c>
      <c r="AC168" s="4">
        <v>123.3</v>
      </c>
      <c r="AD168" s="4">
        <v>123.8</v>
      </c>
      <c r="AE168" s="4">
        <v>132.69999999999999</v>
      </c>
      <c r="AF168" s="4" t="str">
        <f t="shared" si="5"/>
        <v>Pre Covid</v>
      </c>
      <c r="AG168" s="4"/>
    </row>
    <row r="169" spans="1:33">
      <c r="A169" s="6" t="s">
        <v>33</v>
      </c>
      <c r="B169" s="6">
        <v>2017</v>
      </c>
      <c r="C169" s="6" t="s">
        <v>40</v>
      </c>
      <c r="D169" s="6">
        <f t="shared" si="4"/>
        <v>8</v>
      </c>
      <c r="E169" s="6">
        <v>134.30000000000001</v>
      </c>
      <c r="F169" s="6">
        <v>143.4</v>
      </c>
      <c r="G169" s="6">
        <v>129.30000000000001</v>
      </c>
      <c r="H169" s="6">
        <v>139</v>
      </c>
      <c r="I169" s="6">
        <v>118.1</v>
      </c>
      <c r="J169" s="6">
        <v>145.5</v>
      </c>
      <c r="K169" s="6">
        <v>168.6</v>
      </c>
      <c r="L169" s="6">
        <v>132.69999999999999</v>
      </c>
      <c r="M169" s="6">
        <v>121.2</v>
      </c>
      <c r="N169" s="6">
        <v>135.6</v>
      </c>
      <c r="O169" s="6">
        <v>128.69999999999999</v>
      </c>
      <c r="P169" s="6">
        <v>146.80000000000001</v>
      </c>
      <c r="Q169" s="6">
        <v>140.6</v>
      </c>
      <c r="R169" s="6">
        <v>149.80000000000001</v>
      </c>
      <c r="S169" s="6">
        <v>140.30000000000001</v>
      </c>
      <c r="T169" s="6">
        <v>133</v>
      </c>
      <c r="U169" s="6">
        <v>139.30000000000001</v>
      </c>
      <c r="V169" s="6">
        <v>134.4</v>
      </c>
      <c r="W169" s="6">
        <v>129.80000000000001</v>
      </c>
      <c r="X169" s="6">
        <v>132.80000000000001</v>
      </c>
      <c r="Y169" s="6">
        <v>130.19999999999999</v>
      </c>
      <c r="Z169" s="6">
        <v>117.3</v>
      </c>
      <c r="AA169" s="6">
        <v>127.3</v>
      </c>
      <c r="AB169" s="6">
        <v>137.6</v>
      </c>
      <c r="AC169" s="6">
        <v>124.5</v>
      </c>
      <c r="AD169" s="6">
        <v>126.8</v>
      </c>
      <c r="AE169" s="6">
        <v>135.4</v>
      </c>
      <c r="AF169" s="6" t="str">
        <f t="shared" si="5"/>
        <v>Pre Covid</v>
      </c>
      <c r="AG169" s="6"/>
    </row>
    <row r="170" spans="1:33">
      <c r="A170" s="4" t="s">
        <v>30</v>
      </c>
      <c r="B170" s="4">
        <v>2017</v>
      </c>
      <c r="C170" s="4" t="s">
        <v>41</v>
      </c>
      <c r="D170" s="4">
        <f t="shared" si="4"/>
        <v>9</v>
      </c>
      <c r="E170" s="4">
        <v>135.19999999999999</v>
      </c>
      <c r="F170" s="4">
        <v>142</v>
      </c>
      <c r="G170" s="4">
        <v>130.5</v>
      </c>
      <c r="H170" s="4">
        <v>140.19999999999999</v>
      </c>
      <c r="I170" s="4">
        <v>120.7</v>
      </c>
      <c r="J170" s="4">
        <v>147.80000000000001</v>
      </c>
      <c r="K170" s="4">
        <v>154.5</v>
      </c>
      <c r="L170" s="4">
        <v>137.1</v>
      </c>
      <c r="M170" s="4">
        <v>121</v>
      </c>
      <c r="N170" s="4">
        <v>134.69999999999999</v>
      </c>
      <c r="O170" s="4">
        <v>131.69999999999999</v>
      </c>
      <c r="P170" s="4">
        <v>149.30000000000001</v>
      </c>
      <c r="Q170" s="4">
        <v>139.6</v>
      </c>
      <c r="R170" s="4">
        <v>149.80000000000001</v>
      </c>
      <c r="S170" s="4">
        <v>146.1</v>
      </c>
      <c r="T170" s="4">
        <v>139.69999999999999</v>
      </c>
      <c r="U170" s="4">
        <v>145.19999999999999</v>
      </c>
      <c r="V170" s="4">
        <v>136.5</v>
      </c>
      <c r="W170" s="4">
        <v>137.4</v>
      </c>
      <c r="X170" s="4">
        <v>137.9</v>
      </c>
      <c r="Y170" s="4">
        <v>133.4</v>
      </c>
      <c r="Z170" s="4">
        <v>121.2</v>
      </c>
      <c r="AA170" s="4">
        <v>132.30000000000001</v>
      </c>
      <c r="AB170" s="4">
        <v>139.6</v>
      </c>
      <c r="AC170" s="4">
        <v>126.7</v>
      </c>
      <c r="AD170" s="4">
        <v>130.30000000000001</v>
      </c>
      <c r="AE170" s="4">
        <v>137.6</v>
      </c>
      <c r="AF170" s="4" t="str">
        <f t="shared" si="5"/>
        <v>Pre Covid</v>
      </c>
      <c r="AG170" s="4"/>
    </row>
    <row r="171" spans="1:33">
      <c r="A171" s="6" t="s">
        <v>32</v>
      </c>
      <c r="B171" s="6">
        <v>2017</v>
      </c>
      <c r="C171" s="6" t="s">
        <v>41</v>
      </c>
      <c r="D171" s="6">
        <f t="shared" si="4"/>
        <v>9</v>
      </c>
      <c r="E171" s="6">
        <v>133.6</v>
      </c>
      <c r="F171" s="6">
        <v>143</v>
      </c>
      <c r="G171" s="6">
        <v>129.69999999999999</v>
      </c>
      <c r="H171" s="6">
        <v>138.69999999999999</v>
      </c>
      <c r="I171" s="6">
        <v>114.5</v>
      </c>
      <c r="J171" s="6">
        <v>137.5</v>
      </c>
      <c r="K171" s="6">
        <v>160.69999999999999</v>
      </c>
      <c r="L171" s="6">
        <v>124.5</v>
      </c>
      <c r="M171" s="6">
        <v>122.4</v>
      </c>
      <c r="N171" s="6">
        <v>137.30000000000001</v>
      </c>
      <c r="O171" s="6">
        <v>124.8</v>
      </c>
      <c r="P171" s="6">
        <v>145</v>
      </c>
      <c r="Q171" s="6">
        <v>138</v>
      </c>
      <c r="R171" s="6">
        <v>153.6</v>
      </c>
      <c r="S171" s="6">
        <v>133.30000000000001</v>
      </c>
      <c r="T171" s="6">
        <v>124.6</v>
      </c>
      <c r="U171" s="6">
        <v>132</v>
      </c>
      <c r="V171" s="6">
        <v>135.69999999999999</v>
      </c>
      <c r="W171" s="6">
        <v>120.6</v>
      </c>
      <c r="X171" s="6">
        <v>128.1</v>
      </c>
      <c r="Y171" s="6">
        <v>126.1</v>
      </c>
      <c r="Z171" s="6">
        <v>115.7</v>
      </c>
      <c r="AA171" s="6">
        <v>124.5</v>
      </c>
      <c r="AB171" s="6">
        <v>135.9</v>
      </c>
      <c r="AC171" s="6">
        <v>124.4</v>
      </c>
      <c r="AD171" s="6">
        <v>124.5</v>
      </c>
      <c r="AE171" s="6">
        <v>132.4</v>
      </c>
      <c r="AF171" s="6" t="str">
        <f t="shared" si="5"/>
        <v>Pre Covid</v>
      </c>
      <c r="AG171" s="6"/>
    </row>
    <row r="172" spans="1:33">
      <c r="A172" s="4" t="s">
        <v>33</v>
      </c>
      <c r="B172" s="4">
        <v>2017</v>
      </c>
      <c r="C172" s="4" t="s">
        <v>41</v>
      </c>
      <c r="D172" s="4">
        <f t="shared" si="4"/>
        <v>9</v>
      </c>
      <c r="E172" s="4">
        <v>134.69999999999999</v>
      </c>
      <c r="F172" s="4">
        <v>142.4</v>
      </c>
      <c r="G172" s="4">
        <v>130.19999999999999</v>
      </c>
      <c r="H172" s="4">
        <v>139.6</v>
      </c>
      <c r="I172" s="4">
        <v>118.4</v>
      </c>
      <c r="J172" s="4">
        <v>143</v>
      </c>
      <c r="K172" s="4">
        <v>156.6</v>
      </c>
      <c r="L172" s="4">
        <v>132.9</v>
      </c>
      <c r="M172" s="4">
        <v>121.5</v>
      </c>
      <c r="N172" s="4">
        <v>135.6</v>
      </c>
      <c r="O172" s="4">
        <v>128.80000000000001</v>
      </c>
      <c r="P172" s="4">
        <v>147.30000000000001</v>
      </c>
      <c r="Q172" s="4">
        <v>139</v>
      </c>
      <c r="R172" s="4">
        <v>150.80000000000001</v>
      </c>
      <c r="S172" s="4">
        <v>141.1</v>
      </c>
      <c r="T172" s="4">
        <v>133.4</v>
      </c>
      <c r="U172" s="4">
        <v>140</v>
      </c>
      <c r="V172" s="4">
        <v>135.69999999999999</v>
      </c>
      <c r="W172" s="4">
        <v>131</v>
      </c>
      <c r="X172" s="4">
        <v>133.30000000000001</v>
      </c>
      <c r="Y172" s="4">
        <v>130.6</v>
      </c>
      <c r="Z172" s="4">
        <v>118.3</v>
      </c>
      <c r="AA172" s="4">
        <v>127.9</v>
      </c>
      <c r="AB172" s="4">
        <v>137.4</v>
      </c>
      <c r="AC172" s="4">
        <v>125.7</v>
      </c>
      <c r="AD172" s="4">
        <v>127.5</v>
      </c>
      <c r="AE172" s="4">
        <v>135.19999999999999</v>
      </c>
      <c r="AF172" s="4" t="str">
        <f t="shared" si="5"/>
        <v>Pre Covid</v>
      </c>
      <c r="AG172" s="4"/>
    </row>
    <row r="173" spans="1:33">
      <c r="A173" s="6" t="s">
        <v>30</v>
      </c>
      <c r="B173" s="6">
        <v>2017</v>
      </c>
      <c r="C173" s="6" t="s">
        <v>42</v>
      </c>
      <c r="D173" s="6">
        <f t="shared" si="4"/>
        <v>10</v>
      </c>
      <c r="E173" s="6">
        <v>135.9</v>
      </c>
      <c r="F173" s="6">
        <v>141.9</v>
      </c>
      <c r="G173" s="6">
        <v>131</v>
      </c>
      <c r="H173" s="6">
        <v>141.5</v>
      </c>
      <c r="I173" s="6">
        <v>121.4</v>
      </c>
      <c r="J173" s="6">
        <v>146.69999999999999</v>
      </c>
      <c r="K173" s="6">
        <v>157.1</v>
      </c>
      <c r="L173" s="6">
        <v>136.4</v>
      </c>
      <c r="M173" s="6">
        <v>121.4</v>
      </c>
      <c r="N173" s="6">
        <v>135.6</v>
      </c>
      <c r="O173" s="6">
        <v>131.30000000000001</v>
      </c>
      <c r="P173" s="6">
        <v>150.30000000000001</v>
      </c>
      <c r="Q173" s="6">
        <v>140.4</v>
      </c>
      <c r="R173" s="6">
        <v>150.5</v>
      </c>
      <c r="S173" s="6">
        <v>147.19999999999999</v>
      </c>
      <c r="T173" s="6">
        <v>140.6</v>
      </c>
      <c r="U173" s="6">
        <v>146.19999999999999</v>
      </c>
      <c r="V173" s="6">
        <v>136.5</v>
      </c>
      <c r="W173" s="6">
        <v>138.1</v>
      </c>
      <c r="X173" s="6">
        <v>138.4</v>
      </c>
      <c r="Y173" s="6">
        <v>134.19999999999999</v>
      </c>
      <c r="Z173" s="6">
        <v>121</v>
      </c>
      <c r="AA173" s="6">
        <v>133</v>
      </c>
      <c r="AB173" s="6">
        <v>140.1</v>
      </c>
      <c r="AC173" s="6">
        <v>127.4</v>
      </c>
      <c r="AD173" s="6">
        <v>130.69999999999999</v>
      </c>
      <c r="AE173" s="6">
        <v>138.30000000000001</v>
      </c>
      <c r="AF173" s="6" t="str">
        <f t="shared" si="5"/>
        <v>Pre Covid</v>
      </c>
      <c r="AG173" s="6"/>
    </row>
    <row r="174" spans="1:33">
      <c r="A174" s="4" t="s">
        <v>32</v>
      </c>
      <c r="B174" s="4">
        <v>2017</v>
      </c>
      <c r="C174" s="4" t="s">
        <v>42</v>
      </c>
      <c r="D174" s="4">
        <f t="shared" si="4"/>
        <v>10</v>
      </c>
      <c r="E174" s="4">
        <v>133.9</v>
      </c>
      <c r="F174" s="4">
        <v>142.80000000000001</v>
      </c>
      <c r="G174" s="4">
        <v>131.4</v>
      </c>
      <c r="H174" s="4">
        <v>139.1</v>
      </c>
      <c r="I174" s="4">
        <v>114.9</v>
      </c>
      <c r="J174" s="4">
        <v>135.6</v>
      </c>
      <c r="K174" s="4">
        <v>173.2</v>
      </c>
      <c r="L174" s="4">
        <v>124.1</v>
      </c>
      <c r="M174" s="4">
        <v>122.6</v>
      </c>
      <c r="N174" s="4">
        <v>137.80000000000001</v>
      </c>
      <c r="O174" s="4">
        <v>125.1</v>
      </c>
      <c r="P174" s="4">
        <v>145.5</v>
      </c>
      <c r="Q174" s="4">
        <v>139.69999999999999</v>
      </c>
      <c r="R174" s="4">
        <v>154.6</v>
      </c>
      <c r="S174" s="4">
        <v>134</v>
      </c>
      <c r="T174" s="4">
        <v>124.9</v>
      </c>
      <c r="U174" s="4">
        <v>132.6</v>
      </c>
      <c r="V174" s="4">
        <v>137.30000000000001</v>
      </c>
      <c r="W174" s="4">
        <v>122.6</v>
      </c>
      <c r="X174" s="4">
        <v>128.30000000000001</v>
      </c>
      <c r="Y174" s="4">
        <v>126.6</v>
      </c>
      <c r="Z174" s="4">
        <v>115</v>
      </c>
      <c r="AA174" s="4">
        <v>124.8</v>
      </c>
      <c r="AB174" s="4">
        <v>136.30000000000001</v>
      </c>
      <c r="AC174" s="4">
        <v>124.6</v>
      </c>
      <c r="AD174" s="4">
        <v>124.5</v>
      </c>
      <c r="AE174" s="4">
        <v>133.5</v>
      </c>
      <c r="AF174" s="4" t="str">
        <f t="shared" si="5"/>
        <v>Pre Covid</v>
      </c>
      <c r="AG174" s="4"/>
    </row>
    <row r="175" spans="1:33">
      <c r="A175" s="6" t="s">
        <v>33</v>
      </c>
      <c r="B175" s="6">
        <v>2017</v>
      </c>
      <c r="C175" s="6" t="s">
        <v>42</v>
      </c>
      <c r="D175" s="6">
        <f t="shared" si="4"/>
        <v>10</v>
      </c>
      <c r="E175" s="6">
        <v>135.30000000000001</v>
      </c>
      <c r="F175" s="6">
        <v>142.19999999999999</v>
      </c>
      <c r="G175" s="6">
        <v>131.19999999999999</v>
      </c>
      <c r="H175" s="6">
        <v>140.6</v>
      </c>
      <c r="I175" s="6">
        <v>119</v>
      </c>
      <c r="J175" s="6">
        <v>141.5</v>
      </c>
      <c r="K175" s="6">
        <v>162.6</v>
      </c>
      <c r="L175" s="6">
        <v>132.30000000000001</v>
      </c>
      <c r="M175" s="6">
        <v>121.8</v>
      </c>
      <c r="N175" s="6">
        <v>136.30000000000001</v>
      </c>
      <c r="O175" s="6">
        <v>128.69999999999999</v>
      </c>
      <c r="P175" s="6">
        <v>148.1</v>
      </c>
      <c r="Q175" s="6">
        <v>140.1</v>
      </c>
      <c r="R175" s="6">
        <v>151.6</v>
      </c>
      <c r="S175" s="6">
        <v>142</v>
      </c>
      <c r="T175" s="6">
        <v>134.1</v>
      </c>
      <c r="U175" s="6">
        <v>140.80000000000001</v>
      </c>
      <c r="V175" s="6">
        <v>137.30000000000001</v>
      </c>
      <c r="W175" s="6">
        <v>132.19999999999999</v>
      </c>
      <c r="X175" s="6">
        <v>133.6</v>
      </c>
      <c r="Y175" s="6">
        <v>131.30000000000001</v>
      </c>
      <c r="Z175" s="6">
        <v>117.8</v>
      </c>
      <c r="AA175" s="6">
        <v>128.4</v>
      </c>
      <c r="AB175" s="6">
        <v>137.9</v>
      </c>
      <c r="AC175" s="6">
        <v>126.2</v>
      </c>
      <c r="AD175" s="6">
        <v>127.7</v>
      </c>
      <c r="AE175" s="6">
        <v>136.1</v>
      </c>
      <c r="AF175" s="6" t="str">
        <f t="shared" si="5"/>
        <v>Pre Covid</v>
      </c>
      <c r="AG175" s="6"/>
    </row>
    <row r="176" spans="1:33">
      <c r="A176" s="4" t="s">
        <v>30</v>
      </c>
      <c r="B176" s="4">
        <v>2017</v>
      </c>
      <c r="C176" s="4" t="s">
        <v>43</v>
      </c>
      <c r="D176" s="4">
        <f t="shared" si="4"/>
        <v>11</v>
      </c>
      <c r="E176" s="4">
        <v>136.30000000000001</v>
      </c>
      <c r="F176" s="4">
        <v>142.5</v>
      </c>
      <c r="G176" s="4">
        <v>140.5</v>
      </c>
      <c r="H176" s="4">
        <v>141.5</v>
      </c>
      <c r="I176" s="4">
        <v>121.6</v>
      </c>
      <c r="J176" s="4">
        <v>147.30000000000001</v>
      </c>
      <c r="K176" s="4">
        <v>168</v>
      </c>
      <c r="L176" s="4">
        <v>135.80000000000001</v>
      </c>
      <c r="M176" s="4">
        <v>122.5</v>
      </c>
      <c r="N176" s="4">
        <v>136</v>
      </c>
      <c r="O176" s="4">
        <v>131.9</v>
      </c>
      <c r="P176" s="4">
        <v>151.4</v>
      </c>
      <c r="Q176" s="4">
        <v>142.4</v>
      </c>
      <c r="R176" s="4">
        <v>152.1</v>
      </c>
      <c r="S176" s="4">
        <v>148.19999999999999</v>
      </c>
      <c r="T176" s="4">
        <v>141.5</v>
      </c>
      <c r="U176" s="4">
        <v>147.30000000000001</v>
      </c>
      <c r="V176" s="4">
        <v>138.85</v>
      </c>
      <c r="W176" s="4">
        <v>141.1</v>
      </c>
      <c r="X176" s="4">
        <v>139.4</v>
      </c>
      <c r="Y176" s="4">
        <v>135.80000000000001</v>
      </c>
      <c r="Z176" s="4">
        <v>121.6</v>
      </c>
      <c r="AA176" s="4">
        <v>133.69999999999999</v>
      </c>
      <c r="AB176" s="4">
        <v>141.5</v>
      </c>
      <c r="AC176" s="4">
        <v>128.1</v>
      </c>
      <c r="AD176" s="4">
        <v>131.69999999999999</v>
      </c>
      <c r="AE176" s="4">
        <v>140</v>
      </c>
      <c r="AF176" s="4" t="str">
        <f t="shared" si="5"/>
        <v>Pre Covid</v>
      </c>
      <c r="AG176" s="4"/>
    </row>
    <row r="177" spans="1:33">
      <c r="A177" s="6" t="s">
        <v>32</v>
      </c>
      <c r="B177" s="6">
        <v>2017</v>
      </c>
      <c r="C177" s="6" t="s">
        <v>43</v>
      </c>
      <c r="D177" s="6">
        <f t="shared" si="4"/>
        <v>11</v>
      </c>
      <c r="E177" s="6">
        <v>134.30000000000001</v>
      </c>
      <c r="F177" s="6">
        <v>142.1</v>
      </c>
      <c r="G177" s="6">
        <v>146.69999999999999</v>
      </c>
      <c r="H177" s="6">
        <v>139.5</v>
      </c>
      <c r="I177" s="6">
        <v>115.2</v>
      </c>
      <c r="J177" s="6">
        <v>136.4</v>
      </c>
      <c r="K177" s="6">
        <v>185.2</v>
      </c>
      <c r="L177" s="6">
        <v>122.2</v>
      </c>
      <c r="M177" s="6">
        <v>123.9</v>
      </c>
      <c r="N177" s="6">
        <v>138.30000000000001</v>
      </c>
      <c r="O177" s="6">
        <v>125.4</v>
      </c>
      <c r="P177" s="6">
        <v>146</v>
      </c>
      <c r="Q177" s="6">
        <v>141.5</v>
      </c>
      <c r="R177" s="6">
        <v>156.19999999999999</v>
      </c>
      <c r="S177" s="6">
        <v>135</v>
      </c>
      <c r="T177" s="6">
        <v>125.4</v>
      </c>
      <c r="U177" s="6">
        <v>133.5</v>
      </c>
      <c r="V177" s="6">
        <v>138.6</v>
      </c>
      <c r="W177" s="6">
        <v>125.7</v>
      </c>
      <c r="X177" s="6">
        <v>128.80000000000001</v>
      </c>
      <c r="Y177" s="6">
        <v>127.4</v>
      </c>
      <c r="Z177" s="6">
        <v>115.3</v>
      </c>
      <c r="AA177" s="6">
        <v>125.1</v>
      </c>
      <c r="AB177" s="6">
        <v>136.6</v>
      </c>
      <c r="AC177" s="6">
        <v>124.9</v>
      </c>
      <c r="AD177" s="6">
        <v>124.9</v>
      </c>
      <c r="AE177" s="6">
        <v>134.80000000000001</v>
      </c>
      <c r="AF177" s="6" t="str">
        <f t="shared" si="5"/>
        <v>Pre Covid</v>
      </c>
      <c r="AG177" s="6"/>
    </row>
    <row r="178" spans="1:33">
      <c r="A178" s="4" t="s">
        <v>33</v>
      </c>
      <c r="B178" s="4">
        <v>2017</v>
      </c>
      <c r="C178" s="4" t="s">
        <v>43</v>
      </c>
      <c r="D178" s="4">
        <f t="shared" si="4"/>
        <v>11</v>
      </c>
      <c r="E178" s="4">
        <v>135.69999999999999</v>
      </c>
      <c r="F178" s="4">
        <v>142.4</v>
      </c>
      <c r="G178" s="4">
        <v>142.9</v>
      </c>
      <c r="H178" s="4">
        <v>140.80000000000001</v>
      </c>
      <c r="I178" s="4">
        <v>119.2</v>
      </c>
      <c r="J178" s="4">
        <v>142.19999999999999</v>
      </c>
      <c r="K178" s="4">
        <v>173.8</v>
      </c>
      <c r="L178" s="4">
        <v>131.19999999999999</v>
      </c>
      <c r="M178" s="4">
        <v>123</v>
      </c>
      <c r="N178" s="4">
        <v>136.80000000000001</v>
      </c>
      <c r="O178" s="4">
        <v>129.19999999999999</v>
      </c>
      <c r="P178" s="4">
        <v>148.9</v>
      </c>
      <c r="Q178" s="4">
        <v>142.1</v>
      </c>
      <c r="R178" s="4">
        <v>153.19999999999999</v>
      </c>
      <c r="S178" s="4">
        <v>143</v>
      </c>
      <c r="T178" s="4">
        <v>134.80000000000001</v>
      </c>
      <c r="U178" s="4">
        <v>141.80000000000001</v>
      </c>
      <c r="V178" s="4">
        <v>138.6</v>
      </c>
      <c r="W178" s="4">
        <v>135.30000000000001</v>
      </c>
      <c r="X178" s="4">
        <v>134.4</v>
      </c>
      <c r="Y178" s="4">
        <v>132.6</v>
      </c>
      <c r="Z178" s="4">
        <v>118.3</v>
      </c>
      <c r="AA178" s="4">
        <v>128.9</v>
      </c>
      <c r="AB178" s="4">
        <v>138.6</v>
      </c>
      <c r="AC178" s="4">
        <v>126.8</v>
      </c>
      <c r="AD178" s="4">
        <v>128.4</v>
      </c>
      <c r="AE178" s="4">
        <v>137.6</v>
      </c>
      <c r="AF178" s="4" t="str">
        <f t="shared" si="5"/>
        <v>Pre Covid</v>
      </c>
      <c r="AG178" s="4"/>
    </row>
    <row r="179" spans="1:33">
      <c r="A179" s="6" t="s">
        <v>30</v>
      </c>
      <c r="B179" s="6">
        <v>2017</v>
      </c>
      <c r="C179" s="6" t="s">
        <v>44</v>
      </c>
      <c r="D179" s="6">
        <f t="shared" si="4"/>
        <v>12</v>
      </c>
      <c r="E179" s="6">
        <v>136.4</v>
      </c>
      <c r="F179" s="6">
        <v>143.69999999999999</v>
      </c>
      <c r="G179" s="6">
        <v>144.80000000000001</v>
      </c>
      <c r="H179" s="6">
        <v>141.9</v>
      </c>
      <c r="I179" s="6">
        <v>123.1</v>
      </c>
      <c r="J179" s="6">
        <v>147.19999999999999</v>
      </c>
      <c r="K179" s="6">
        <v>161</v>
      </c>
      <c r="L179" s="6">
        <v>133.80000000000001</v>
      </c>
      <c r="M179" s="6">
        <v>121.9</v>
      </c>
      <c r="N179" s="6">
        <v>135.80000000000001</v>
      </c>
      <c r="O179" s="6">
        <v>131.1</v>
      </c>
      <c r="P179" s="6">
        <v>151.4</v>
      </c>
      <c r="Q179" s="6">
        <v>141.5</v>
      </c>
      <c r="R179" s="6">
        <v>153.19999999999999</v>
      </c>
      <c r="S179" s="6">
        <v>148</v>
      </c>
      <c r="T179" s="6">
        <v>141.9</v>
      </c>
      <c r="U179" s="6">
        <v>147.19999999999999</v>
      </c>
      <c r="V179" s="6">
        <v>138.85</v>
      </c>
      <c r="W179" s="6">
        <v>142.6</v>
      </c>
      <c r="X179" s="6">
        <v>139.5</v>
      </c>
      <c r="Y179" s="6">
        <v>136.1</v>
      </c>
      <c r="Z179" s="6">
        <v>122</v>
      </c>
      <c r="AA179" s="6">
        <v>133.4</v>
      </c>
      <c r="AB179" s="6">
        <v>141.1</v>
      </c>
      <c r="AC179" s="6">
        <v>127.8</v>
      </c>
      <c r="AD179" s="6">
        <v>131.9</v>
      </c>
      <c r="AE179" s="6">
        <v>139.80000000000001</v>
      </c>
      <c r="AF179" s="6" t="str">
        <f t="shared" si="5"/>
        <v>Pre Covid</v>
      </c>
      <c r="AG179" s="6"/>
    </row>
    <row r="180" spans="1:33">
      <c r="A180" s="4" t="s">
        <v>32</v>
      </c>
      <c r="B180" s="4">
        <v>2017</v>
      </c>
      <c r="C180" s="4" t="s">
        <v>44</v>
      </c>
      <c r="D180" s="4">
        <f t="shared" si="4"/>
        <v>12</v>
      </c>
      <c r="E180" s="4">
        <v>134.4</v>
      </c>
      <c r="F180" s="4">
        <v>142.6</v>
      </c>
      <c r="G180" s="4">
        <v>145.9</v>
      </c>
      <c r="H180" s="4">
        <v>139.5</v>
      </c>
      <c r="I180" s="4">
        <v>115.9</v>
      </c>
      <c r="J180" s="4">
        <v>135</v>
      </c>
      <c r="K180" s="4">
        <v>163.19999999999999</v>
      </c>
      <c r="L180" s="4">
        <v>119.8</v>
      </c>
      <c r="M180" s="4">
        <v>120.7</v>
      </c>
      <c r="N180" s="4">
        <v>139.69999999999999</v>
      </c>
      <c r="O180" s="4">
        <v>125.7</v>
      </c>
      <c r="P180" s="4">
        <v>146.30000000000001</v>
      </c>
      <c r="Q180" s="4">
        <v>138.80000000000001</v>
      </c>
      <c r="R180" s="4">
        <v>157</v>
      </c>
      <c r="S180" s="4">
        <v>135.6</v>
      </c>
      <c r="T180" s="4">
        <v>125.6</v>
      </c>
      <c r="U180" s="4">
        <v>134</v>
      </c>
      <c r="V180" s="4">
        <v>139.1</v>
      </c>
      <c r="W180" s="4">
        <v>126.8</v>
      </c>
      <c r="X180" s="4">
        <v>129.30000000000001</v>
      </c>
      <c r="Y180" s="4">
        <v>128.19999999999999</v>
      </c>
      <c r="Z180" s="4">
        <v>115.3</v>
      </c>
      <c r="AA180" s="4">
        <v>125.6</v>
      </c>
      <c r="AB180" s="4">
        <v>136.69999999999999</v>
      </c>
      <c r="AC180" s="4">
        <v>124.6</v>
      </c>
      <c r="AD180" s="4">
        <v>125.1</v>
      </c>
      <c r="AE180" s="4">
        <v>134.1</v>
      </c>
      <c r="AF180" s="4" t="str">
        <f t="shared" si="5"/>
        <v>Pre Covid</v>
      </c>
      <c r="AG180" s="4"/>
    </row>
    <row r="181" spans="1:33">
      <c r="A181" s="6" t="s">
        <v>33</v>
      </c>
      <c r="B181" s="6">
        <v>2017</v>
      </c>
      <c r="C181" s="6" t="s">
        <v>44</v>
      </c>
      <c r="D181" s="6">
        <f t="shared" si="4"/>
        <v>12</v>
      </c>
      <c r="E181" s="6">
        <v>135.80000000000001</v>
      </c>
      <c r="F181" s="6">
        <v>143.30000000000001</v>
      </c>
      <c r="G181" s="6">
        <v>145.19999999999999</v>
      </c>
      <c r="H181" s="6">
        <v>141</v>
      </c>
      <c r="I181" s="6">
        <v>120.5</v>
      </c>
      <c r="J181" s="6">
        <v>141.5</v>
      </c>
      <c r="K181" s="6">
        <v>161.69999999999999</v>
      </c>
      <c r="L181" s="6">
        <v>129.1</v>
      </c>
      <c r="M181" s="6">
        <v>121.5</v>
      </c>
      <c r="N181" s="6">
        <v>137.1</v>
      </c>
      <c r="O181" s="6">
        <v>128.80000000000001</v>
      </c>
      <c r="P181" s="6">
        <v>149</v>
      </c>
      <c r="Q181" s="6">
        <v>140.5</v>
      </c>
      <c r="R181" s="6">
        <v>154.19999999999999</v>
      </c>
      <c r="S181" s="6">
        <v>143.1</v>
      </c>
      <c r="T181" s="6">
        <v>135.1</v>
      </c>
      <c r="U181" s="6">
        <v>142</v>
      </c>
      <c r="V181" s="6">
        <v>139.1</v>
      </c>
      <c r="W181" s="6">
        <v>136.6</v>
      </c>
      <c r="X181" s="6">
        <v>134.69999999999999</v>
      </c>
      <c r="Y181" s="6">
        <v>133.1</v>
      </c>
      <c r="Z181" s="6">
        <v>118.5</v>
      </c>
      <c r="AA181" s="6">
        <v>129</v>
      </c>
      <c r="AB181" s="6">
        <v>138.5</v>
      </c>
      <c r="AC181" s="6">
        <v>126.5</v>
      </c>
      <c r="AD181" s="6">
        <v>128.6</v>
      </c>
      <c r="AE181" s="6">
        <v>137.19999999999999</v>
      </c>
      <c r="AF181" s="6" t="str">
        <f t="shared" si="5"/>
        <v>Pre Covid</v>
      </c>
      <c r="AG181" s="6"/>
    </row>
    <row r="182" spans="1:33">
      <c r="A182" s="4" t="s">
        <v>30</v>
      </c>
      <c r="B182" s="4">
        <v>2018</v>
      </c>
      <c r="C182" s="4" t="s">
        <v>31</v>
      </c>
      <c r="D182" s="4">
        <f t="shared" si="4"/>
        <v>1</v>
      </c>
      <c r="E182" s="4">
        <v>136.6</v>
      </c>
      <c r="F182" s="4">
        <v>144.4</v>
      </c>
      <c r="G182" s="4">
        <v>143.80000000000001</v>
      </c>
      <c r="H182" s="4">
        <v>142</v>
      </c>
      <c r="I182" s="4">
        <v>123.2</v>
      </c>
      <c r="J182" s="4">
        <v>147.9</v>
      </c>
      <c r="K182" s="4">
        <v>152.1</v>
      </c>
      <c r="L182" s="4">
        <v>131.80000000000001</v>
      </c>
      <c r="M182" s="4">
        <v>119.5</v>
      </c>
      <c r="N182" s="4">
        <v>136</v>
      </c>
      <c r="O182" s="4">
        <v>131.19999999999999</v>
      </c>
      <c r="P182" s="4">
        <v>151.80000000000001</v>
      </c>
      <c r="Q182" s="4">
        <v>140.4</v>
      </c>
      <c r="R182" s="4">
        <v>153.6</v>
      </c>
      <c r="S182" s="4">
        <v>148.30000000000001</v>
      </c>
      <c r="T182" s="4">
        <v>142.30000000000001</v>
      </c>
      <c r="U182" s="4">
        <v>147.5</v>
      </c>
      <c r="V182" s="4">
        <v>140.85</v>
      </c>
      <c r="W182" s="4">
        <v>142.30000000000001</v>
      </c>
      <c r="X182" s="4">
        <v>139.80000000000001</v>
      </c>
      <c r="Y182" s="4">
        <v>136</v>
      </c>
      <c r="Z182" s="4">
        <v>122.7</v>
      </c>
      <c r="AA182" s="4">
        <v>134.30000000000001</v>
      </c>
      <c r="AB182" s="4">
        <v>141.6</v>
      </c>
      <c r="AC182" s="4">
        <v>128.6</v>
      </c>
      <c r="AD182" s="4">
        <v>132.30000000000001</v>
      </c>
      <c r="AE182" s="4">
        <v>139.30000000000001</v>
      </c>
      <c r="AF182" s="4" t="str">
        <f t="shared" si="5"/>
        <v>Pre Covid</v>
      </c>
      <c r="AG182" s="4"/>
    </row>
    <row r="183" spans="1:33">
      <c r="A183" s="6" t="s">
        <v>32</v>
      </c>
      <c r="B183" s="6">
        <v>2018</v>
      </c>
      <c r="C183" s="6" t="s">
        <v>31</v>
      </c>
      <c r="D183" s="6">
        <f t="shared" si="4"/>
        <v>1</v>
      </c>
      <c r="E183" s="6">
        <v>134.6</v>
      </c>
      <c r="F183" s="6">
        <v>143.69999999999999</v>
      </c>
      <c r="G183" s="6">
        <v>143.6</v>
      </c>
      <c r="H183" s="6">
        <v>139.6</v>
      </c>
      <c r="I183" s="6">
        <v>116.4</v>
      </c>
      <c r="J183" s="6">
        <v>133.80000000000001</v>
      </c>
      <c r="K183" s="6">
        <v>150.5</v>
      </c>
      <c r="L183" s="6">
        <v>118.4</v>
      </c>
      <c r="M183" s="6">
        <v>117.3</v>
      </c>
      <c r="N183" s="6">
        <v>140.5</v>
      </c>
      <c r="O183" s="6">
        <v>125.9</v>
      </c>
      <c r="P183" s="6">
        <v>146.80000000000001</v>
      </c>
      <c r="Q183" s="6">
        <v>137.19999999999999</v>
      </c>
      <c r="R183" s="6">
        <v>157.69999999999999</v>
      </c>
      <c r="S183" s="6">
        <v>136</v>
      </c>
      <c r="T183" s="6">
        <v>125.9</v>
      </c>
      <c r="U183" s="6">
        <v>134.4</v>
      </c>
      <c r="V183" s="6">
        <v>140.4</v>
      </c>
      <c r="W183" s="6">
        <v>127.3</v>
      </c>
      <c r="X183" s="6">
        <v>129.5</v>
      </c>
      <c r="Y183" s="6">
        <v>129</v>
      </c>
      <c r="Z183" s="6">
        <v>116.3</v>
      </c>
      <c r="AA183" s="6">
        <v>126.2</v>
      </c>
      <c r="AB183" s="6">
        <v>137.1</v>
      </c>
      <c r="AC183" s="6">
        <v>125.5</v>
      </c>
      <c r="AD183" s="6">
        <v>125.8</v>
      </c>
      <c r="AE183" s="6">
        <v>134.1</v>
      </c>
      <c r="AF183" s="6" t="str">
        <f t="shared" si="5"/>
        <v>Pre Covid</v>
      </c>
      <c r="AG183" s="6"/>
    </row>
    <row r="184" spans="1:33">
      <c r="A184" s="4" t="s">
        <v>33</v>
      </c>
      <c r="B184" s="4">
        <v>2018</v>
      </c>
      <c r="C184" s="4" t="s">
        <v>31</v>
      </c>
      <c r="D184" s="4">
        <f t="shared" si="4"/>
        <v>1</v>
      </c>
      <c r="E184" s="4">
        <v>136</v>
      </c>
      <c r="F184" s="4">
        <v>144.19999999999999</v>
      </c>
      <c r="G184" s="4">
        <v>143.69999999999999</v>
      </c>
      <c r="H184" s="4">
        <v>141.1</v>
      </c>
      <c r="I184" s="4">
        <v>120.7</v>
      </c>
      <c r="J184" s="4">
        <v>141.30000000000001</v>
      </c>
      <c r="K184" s="4">
        <v>151.6</v>
      </c>
      <c r="L184" s="4">
        <v>127.3</v>
      </c>
      <c r="M184" s="4">
        <v>118.8</v>
      </c>
      <c r="N184" s="4">
        <v>137.5</v>
      </c>
      <c r="O184" s="4">
        <v>129</v>
      </c>
      <c r="P184" s="4">
        <v>149.5</v>
      </c>
      <c r="Q184" s="4">
        <v>139.19999999999999</v>
      </c>
      <c r="R184" s="4">
        <v>154.69999999999999</v>
      </c>
      <c r="S184" s="4">
        <v>143.5</v>
      </c>
      <c r="T184" s="4">
        <v>135.5</v>
      </c>
      <c r="U184" s="4">
        <v>142.30000000000001</v>
      </c>
      <c r="V184" s="4">
        <v>140.4</v>
      </c>
      <c r="W184" s="4">
        <v>136.6</v>
      </c>
      <c r="X184" s="4">
        <v>134.9</v>
      </c>
      <c r="Y184" s="4">
        <v>133.30000000000001</v>
      </c>
      <c r="Z184" s="4">
        <v>119.3</v>
      </c>
      <c r="AA184" s="4">
        <v>129.69999999999999</v>
      </c>
      <c r="AB184" s="4">
        <v>139</v>
      </c>
      <c r="AC184" s="4">
        <v>127.3</v>
      </c>
      <c r="AD184" s="4">
        <v>129.1</v>
      </c>
      <c r="AE184" s="4">
        <v>136.9</v>
      </c>
      <c r="AF184" s="4" t="str">
        <f t="shared" si="5"/>
        <v>Pre Covid</v>
      </c>
      <c r="AG184" s="4"/>
    </row>
    <row r="185" spans="1:33">
      <c r="A185" s="6" t="s">
        <v>30</v>
      </c>
      <c r="B185" s="6">
        <v>2018</v>
      </c>
      <c r="C185" s="6" t="s">
        <v>34</v>
      </c>
      <c r="D185" s="6">
        <f t="shared" si="4"/>
        <v>2</v>
      </c>
      <c r="E185" s="6">
        <v>136.4</v>
      </c>
      <c r="F185" s="6">
        <v>143.69999999999999</v>
      </c>
      <c r="G185" s="6">
        <v>140.6</v>
      </c>
      <c r="H185" s="6">
        <v>141.5</v>
      </c>
      <c r="I185" s="6">
        <v>122.9</v>
      </c>
      <c r="J185" s="6">
        <v>149.4</v>
      </c>
      <c r="K185" s="6">
        <v>142.4</v>
      </c>
      <c r="L185" s="6">
        <v>130.19999999999999</v>
      </c>
      <c r="M185" s="6">
        <v>117.9</v>
      </c>
      <c r="N185" s="6">
        <v>135.6</v>
      </c>
      <c r="O185" s="6">
        <v>130.5</v>
      </c>
      <c r="P185" s="6">
        <v>151.69999999999999</v>
      </c>
      <c r="Q185" s="6">
        <v>138.69999999999999</v>
      </c>
      <c r="R185" s="6">
        <v>153.30000000000001</v>
      </c>
      <c r="S185" s="6">
        <v>148.69999999999999</v>
      </c>
      <c r="T185" s="6">
        <v>142.4</v>
      </c>
      <c r="U185" s="6">
        <v>147.80000000000001</v>
      </c>
      <c r="V185" s="6">
        <v>140.85</v>
      </c>
      <c r="W185" s="6">
        <v>142.4</v>
      </c>
      <c r="X185" s="6">
        <v>139.9</v>
      </c>
      <c r="Y185" s="6">
        <v>136.19999999999999</v>
      </c>
      <c r="Z185" s="6">
        <v>123.3</v>
      </c>
      <c r="AA185" s="6">
        <v>134.30000000000001</v>
      </c>
      <c r="AB185" s="6">
        <v>141.5</v>
      </c>
      <c r="AC185" s="6">
        <v>128.80000000000001</v>
      </c>
      <c r="AD185" s="6">
        <v>132.5</v>
      </c>
      <c r="AE185" s="6">
        <v>138.5</v>
      </c>
      <c r="AF185" s="6" t="str">
        <f t="shared" si="5"/>
        <v>Pre Covid</v>
      </c>
      <c r="AG185" s="6"/>
    </row>
    <row r="186" spans="1:33">
      <c r="A186" s="4" t="s">
        <v>32</v>
      </c>
      <c r="B186" s="4">
        <v>2018</v>
      </c>
      <c r="C186" s="4" t="s">
        <v>34</v>
      </c>
      <c r="D186" s="4">
        <f t="shared" si="4"/>
        <v>2</v>
      </c>
      <c r="E186" s="4">
        <v>134.80000000000001</v>
      </c>
      <c r="F186" s="4">
        <v>143</v>
      </c>
      <c r="G186" s="4">
        <v>139.9</v>
      </c>
      <c r="H186" s="4">
        <v>139.9</v>
      </c>
      <c r="I186" s="4">
        <v>116.2</v>
      </c>
      <c r="J186" s="4">
        <v>135.5</v>
      </c>
      <c r="K186" s="4">
        <v>136.9</v>
      </c>
      <c r="L186" s="4">
        <v>117</v>
      </c>
      <c r="M186" s="4">
        <v>115.4</v>
      </c>
      <c r="N186" s="4">
        <v>140.69999999999999</v>
      </c>
      <c r="O186" s="4">
        <v>125.9</v>
      </c>
      <c r="P186" s="4">
        <v>147.1</v>
      </c>
      <c r="Q186" s="4">
        <v>135.6</v>
      </c>
      <c r="R186" s="4">
        <v>159.30000000000001</v>
      </c>
      <c r="S186" s="4">
        <v>136.30000000000001</v>
      </c>
      <c r="T186" s="4">
        <v>126.1</v>
      </c>
      <c r="U186" s="4">
        <v>134.69999999999999</v>
      </c>
      <c r="V186" s="4">
        <v>141.30000000000001</v>
      </c>
      <c r="W186" s="4">
        <v>127.3</v>
      </c>
      <c r="X186" s="4">
        <v>129.9</v>
      </c>
      <c r="Y186" s="4">
        <v>129.80000000000001</v>
      </c>
      <c r="Z186" s="4">
        <v>117.4</v>
      </c>
      <c r="AA186" s="4">
        <v>126.5</v>
      </c>
      <c r="AB186" s="4">
        <v>137.19999999999999</v>
      </c>
      <c r="AC186" s="4">
        <v>126.2</v>
      </c>
      <c r="AD186" s="4">
        <v>126.5</v>
      </c>
      <c r="AE186" s="4">
        <v>134</v>
      </c>
      <c r="AF186" s="4" t="str">
        <f t="shared" si="5"/>
        <v>Pre Covid</v>
      </c>
      <c r="AG186" s="4"/>
    </row>
    <row r="187" spans="1:33">
      <c r="A187" s="6" t="s">
        <v>33</v>
      </c>
      <c r="B187" s="6">
        <v>2018</v>
      </c>
      <c r="C187" s="6" t="s">
        <v>34</v>
      </c>
      <c r="D187" s="6">
        <f t="shared" si="4"/>
        <v>2</v>
      </c>
      <c r="E187" s="6">
        <v>135.9</v>
      </c>
      <c r="F187" s="6">
        <v>143.5</v>
      </c>
      <c r="G187" s="6">
        <v>140.30000000000001</v>
      </c>
      <c r="H187" s="6">
        <v>140.9</v>
      </c>
      <c r="I187" s="6">
        <v>120.4</v>
      </c>
      <c r="J187" s="6">
        <v>142.9</v>
      </c>
      <c r="K187" s="6">
        <v>140.5</v>
      </c>
      <c r="L187" s="6">
        <v>125.8</v>
      </c>
      <c r="M187" s="6">
        <v>117.1</v>
      </c>
      <c r="N187" s="6">
        <v>137.30000000000001</v>
      </c>
      <c r="O187" s="6">
        <v>128.6</v>
      </c>
      <c r="P187" s="6">
        <v>149.6</v>
      </c>
      <c r="Q187" s="6">
        <v>137.6</v>
      </c>
      <c r="R187" s="6">
        <v>154.9</v>
      </c>
      <c r="S187" s="6">
        <v>143.80000000000001</v>
      </c>
      <c r="T187" s="6">
        <v>135.6</v>
      </c>
      <c r="U187" s="6">
        <v>142.6</v>
      </c>
      <c r="V187" s="6">
        <v>141.30000000000001</v>
      </c>
      <c r="W187" s="6">
        <v>136.69999999999999</v>
      </c>
      <c r="X187" s="6">
        <v>135.19999999999999</v>
      </c>
      <c r="Y187" s="6">
        <v>133.80000000000001</v>
      </c>
      <c r="Z187" s="6">
        <v>120.2</v>
      </c>
      <c r="AA187" s="6">
        <v>129.9</v>
      </c>
      <c r="AB187" s="6">
        <v>139</v>
      </c>
      <c r="AC187" s="6">
        <v>127.7</v>
      </c>
      <c r="AD187" s="6">
        <v>129.6</v>
      </c>
      <c r="AE187" s="6">
        <v>136.4</v>
      </c>
      <c r="AF187" s="6" t="str">
        <f t="shared" si="5"/>
        <v>Pre Covid</v>
      </c>
      <c r="AG187" s="6"/>
    </row>
    <row r="188" spans="1:33">
      <c r="A188" s="4" t="s">
        <v>30</v>
      </c>
      <c r="B188" s="4">
        <v>2018</v>
      </c>
      <c r="C188" s="4" t="s">
        <v>35</v>
      </c>
      <c r="D188" s="4">
        <f t="shared" si="4"/>
        <v>3</v>
      </c>
      <c r="E188" s="4">
        <v>136.80000000000001</v>
      </c>
      <c r="F188" s="4">
        <v>143.80000000000001</v>
      </c>
      <c r="G188" s="4">
        <v>140</v>
      </c>
      <c r="H188" s="4">
        <v>142</v>
      </c>
      <c r="I188" s="4">
        <v>123.2</v>
      </c>
      <c r="J188" s="4">
        <v>152.9</v>
      </c>
      <c r="K188" s="4">
        <v>138</v>
      </c>
      <c r="L188" s="4">
        <v>129.30000000000001</v>
      </c>
      <c r="M188" s="4">
        <v>117.1</v>
      </c>
      <c r="N188" s="4">
        <v>136.30000000000001</v>
      </c>
      <c r="O188" s="4">
        <v>131.19999999999999</v>
      </c>
      <c r="P188" s="4">
        <v>152.80000000000001</v>
      </c>
      <c r="Q188" s="4">
        <v>138.6</v>
      </c>
      <c r="R188" s="4">
        <v>155.1</v>
      </c>
      <c r="S188" s="4">
        <v>149.19999999999999</v>
      </c>
      <c r="T188" s="4">
        <v>143</v>
      </c>
      <c r="U188" s="4">
        <v>148.30000000000001</v>
      </c>
      <c r="V188" s="4">
        <v>142.44999999999999</v>
      </c>
      <c r="W188" s="4">
        <v>142.6</v>
      </c>
      <c r="X188" s="4">
        <v>139.9</v>
      </c>
      <c r="Y188" s="4">
        <v>136.69999999999999</v>
      </c>
      <c r="Z188" s="4">
        <v>124.6</v>
      </c>
      <c r="AA188" s="4">
        <v>135.1</v>
      </c>
      <c r="AB188" s="4">
        <v>142.69999999999999</v>
      </c>
      <c r="AC188" s="4">
        <v>129.30000000000001</v>
      </c>
      <c r="AD188" s="4">
        <v>133.30000000000001</v>
      </c>
      <c r="AE188" s="4">
        <v>138.69999999999999</v>
      </c>
      <c r="AF188" s="4" t="str">
        <f t="shared" si="5"/>
        <v>Pre Covid</v>
      </c>
      <c r="AG188" s="4"/>
    </row>
    <row r="189" spans="1:33">
      <c r="A189" s="6" t="s">
        <v>32</v>
      </c>
      <c r="B189" s="6">
        <v>2018</v>
      </c>
      <c r="C189" s="6" t="s">
        <v>35</v>
      </c>
      <c r="D189" s="6">
        <f t="shared" si="4"/>
        <v>3</v>
      </c>
      <c r="E189" s="6">
        <v>135</v>
      </c>
      <c r="F189" s="6">
        <v>143.1</v>
      </c>
      <c r="G189" s="6">
        <v>135.5</v>
      </c>
      <c r="H189" s="6">
        <v>139.9</v>
      </c>
      <c r="I189" s="6">
        <v>116.5</v>
      </c>
      <c r="J189" s="6">
        <v>138.5</v>
      </c>
      <c r="K189" s="6">
        <v>128</v>
      </c>
      <c r="L189" s="6">
        <v>115.5</v>
      </c>
      <c r="M189" s="6">
        <v>114.2</v>
      </c>
      <c r="N189" s="6">
        <v>140.69999999999999</v>
      </c>
      <c r="O189" s="6">
        <v>126.2</v>
      </c>
      <c r="P189" s="6">
        <v>147.6</v>
      </c>
      <c r="Q189" s="6">
        <v>134.80000000000001</v>
      </c>
      <c r="R189" s="6">
        <v>159.69999999999999</v>
      </c>
      <c r="S189" s="6">
        <v>136.69999999999999</v>
      </c>
      <c r="T189" s="6">
        <v>126.7</v>
      </c>
      <c r="U189" s="6">
        <v>135.19999999999999</v>
      </c>
      <c r="V189" s="6">
        <v>142</v>
      </c>
      <c r="W189" s="6">
        <v>126.4</v>
      </c>
      <c r="X189" s="6">
        <v>130.80000000000001</v>
      </c>
      <c r="Y189" s="6">
        <v>130.5</v>
      </c>
      <c r="Z189" s="6">
        <v>117.8</v>
      </c>
      <c r="AA189" s="6">
        <v>126.8</v>
      </c>
      <c r="AB189" s="6">
        <v>137.80000000000001</v>
      </c>
      <c r="AC189" s="6">
        <v>126.7</v>
      </c>
      <c r="AD189" s="6">
        <v>127.1</v>
      </c>
      <c r="AE189" s="6">
        <v>134</v>
      </c>
      <c r="AF189" s="6" t="str">
        <f t="shared" si="5"/>
        <v>Pre Covid</v>
      </c>
      <c r="AG189" s="6"/>
    </row>
    <row r="190" spans="1:33">
      <c r="A190" s="4" t="s">
        <v>33</v>
      </c>
      <c r="B190" s="4">
        <v>2018</v>
      </c>
      <c r="C190" s="4" t="s">
        <v>35</v>
      </c>
      <c r="D190" s="4">
        <f t="shared" si="4"/>
        <v>3</v>
      </c>
      <c r="E190" s="4">
        <v>136.19999999999999</v>
      </c>
      <c r="F190" s="4">
        <v>143.6</v>
      </c>
      <c r="G190" s="4">
        <v>138.30000000000001</v>
      </c>
      <c r="H190" s="4">
        <v>141.19999999999999</v>
      </c>
      <c r="I190" s="4">
        <v>120.7</v>
      </c>
      <c r="J190" s="4">
        <v>146.19999999999999</v>
      </c>
      <c r="K190" s="4">
        <v>134.6</v>
      </c>
      <c r="L190" s="4">
        <v>124.6</v>
      </c>
      <c r="M190" s="4">
        <v>116.1</v>
      </c>
      <c r="N190" s="4">
        <v>137.80000000000001</v>
      </c>
      <c r="O190" s="4">
        <v>129.1</v>
      </c>
      <c r="P190" s="4">
        <v>150.4</v>
      </c>
      <c r="Q190" s="4">
        <v>137.19999999999999</v>
      </c>
      <c r="R190" s="4">
        <v>156.30000000000001</v>
      </c>
      <c r="S190" s="4">
        <v>144.30000000000001</v>
      </c>
      <c r="T190" s="4">
        <v>136.19999999999999</v>
      </c>
      <c r="U190" s="4">
        <v>143.1</v>
      </c>
      <c r="V190" s="4">
        <v>142</v>
      </c>
      <c r="W190" s="4">
        <v>136.5</v>
      </c>
      <c r="X190" s="4">
        <v>135.6</v>
      </c>
      <c r="Y190" s="4">
        <v>134.30000000000001</v>
      </c>
      <c r="Z190" s="4">
        <v>121</v>
      </c>
      <c r="AA190" s="4">
        <v>130.4</v>
      </c>
      <c r="AB190" s="4">
        <v>139.80000000000001</v>
      </c>
      <c r="AC190" s="4">
        <v>128.19999999999999</v>
      </c>
      <c r="AD190" s="4">
        <v>130.30000000000001</v>
      </c>
      <c r="AE190" s="4">
        <v>136.5</v>
      </c>
      <c r="AF190" s="4" t="str">
        <f t="shared" si="5"/>
        <v>Pre Covid</v>
      </c>
      <c r="AG190" s="4"/>
    </row>
    <row r="191" spans="1:33">
      <c r="A191" s="6" t="s">
        <v>30</v>
      </c>
      <c r="B191" s="6">
        <v>2018</v>
      </c>
      <c r="C191" s="6" t="s">
        <v>36</v>
      </c>
      <c r="D191" s="6">
        <f t="shared" si="4"/>
        <v>4</v>
      </c>
      <c r="E191" s="6">
        <v>137.1</v>
      </c>
      <c r="F191" s="6">
        <v>144.5</v>
      </c>
      <c r="G191" s="6">
        <v>135.9</v>
      </c>
      <c r="H191" s="6">
        <v>142.4</v>
      </c>
      <c r="I191" s="6">
        <v>123.5</v>
      </c>
      <c r="J191" s="6">
        <v>156.4</v>
      </c>
      <c r="K191" s="6">
        <v>135.1</v>
      </c>
      <c r="L191" s="6">
        <v>128.4</v>
      </c>
      <c r="M191" s="6">
        <v>115.2</v>
      </c>
      <c r="N191" s="6">
        <v>137.19999999999999</v>
      </c>
      <c r="O191" s="6">
        <v>131.9</v>
      </c>
      <c r="P191" s="6">
        <v>153.80000000000001</v>
      </c>
      <c r="Q191" s="6">
        <v>138.6</v>
      </c>
      <c r="R191" s="6">
        <v>156.1</v>
      </c>
      <c r="S191" s="6">
        <v>150.1</v>
      </c>
      <c r="T191" s="6">
        <v>143.30000000000001</v>
      </c>
      <c r="U191" s="6">
        <v>149.1</v>
      </c>
      <c r="V191" s="6">
        <v>142.44999999999999</v>
      </c>
      <c r="W191" s="6">
        <v>143.80000000000001</v>
      </c>
      <c r="X191" s="6">
        <v>140.9</v>
      </c>
      <c r="Y191" s="6">
        <v>137.6</v>
      </c>
      <c r="Z191" s="6">
        <v>125.3</v>
      </c>
      <c r="AA191" s="6">
        <v>136</v>
      </c>
      <c r="AB191" s="6">
        <v>143.69999999999999</v>
      </c>
      <c r="AC191" s="6">
        <v>130.4</v>
      </c>
      <c r="AD191" s="6">
        <v>134.19999999999999</v>
      </c>
      <c r="AE191" s="6">
        <v>139.1</v>
      </c>
      <c r="AF191" s="6" t="str">
        <f t="shared" si="5"/>
        <v>Pre Covid</v>
      </c>
      <c r="AG191" s="6"/>
    </row>
    <row r="192" spans="1:33">
      <c r="A192" s="4" t="s">
        <v>32</v>
      </c>
      <c r="B192" s="4">
        <v>2018</v>
      </c>
      <c r="C192" s="4" t="s">
        <v>36</v>
      </c>
      <c r="D192" s="4">
        <f t="shared" si="4"/>
        <v>4</v>
      </c>
      <c r="E192" s="4">
        <v>135</v>
      </c>
      <c r="F192" s="4">
        <v>144.30000000000001</v>
      </c>
      <c r="G192" s="4">
        <v>130.80000000000001</v>
      </c>
      <c r="H192" s="4">
        <v>140.30000000000001</v>
      </c>
      <c r="I192" s="4">
        <v>116.6</v>
      </c>
      <c r="J192" s="4">
        <v>150.1</v>
      </c>
      <c r="K192" s="4">
        <v>127.6</v>
      </c>
      <c r="L192" s="4">
        <v>114</v>
      </c>
      <c r="M192" s="4">
        <v>110.6</v>
      </c>
      <c r="N192" s="4">
        <v>140.19999999999999</v>
      </c>
      <c r="O192" s="4">
        <v>126.5</v>
      </c>
      <c r="P192" s="4">
        <v>148.30000000000001</v>
      </c>
      <c r="Q192" s="4">
        <v>135.69999999999999</v>
      </c>
      <c r="R192" s="4">
        <v>159.19999999999999</v>
      </c>
      <c r="S192" s="4">
        <v>137.80000000000001</v>
      </c>
      <c r="T192" s="4">
        <v>127.4</v>
      </c>
      <c r="U192" s="4">
        <v>136.19999999999999</v>
      </c>
      <c r="V192" s="4">
        <v>142.9</v>
      </c>
      <c r="W192" s="4">
        <v>124.6</v>
      </c>
      <c r="X192" s="4">
        <v>131.80000000000001</v>
      </c>
      <c r="Y192" s="4">
        <v>131.30000000000001</v>
      </c>
      <c r="Z192" s="4">
        <v>118.9</v>
      </c>
      <c r="AA192" s="4">
        <v>127.6</v>
      </c>
      <c r="AB192" s="4">
        <v>139.69999999999999</v>
      </c>
      <c r="AC192" s="4">
        <v>127.6</v>
      </c>
      <c r="AD192" s="4">
        <v>128.19999999999999</v>
      </c>
      <c r="AE192" s="4">
        <v>134.80000000000001</v>
      </c>
      <c r="AF192" s="4" t="str">
        <f t="shared" si="5"/>
        <v>Pre Covid</v>
      </c>
      <c r="AG192" s="4"/>
    </row>
    <row r="193" spans="1:33">
      <c r="A193" s="6" t="s">
        <v>33</v>
      </c>
      <c r="B193" s="6">
        <v>2018</v>
      </c>
      <c r="C193" s="6" t="s">
        <v>36</v>
      </c>
      <c r="D193" s="6">
        <f t="shared" si="4"/>
        <v>4</v>
      </c>
      <c r="E193" s="6">
        <v>136.4</v>
      </c>
      <c r="F193" s="6">
        <v>144.4</v>
      </c>
      <c r="G193" s="6">
        <v>133.9</v>
      </c>
      <c r="H193" s="6">
        <v>141.6</v>
      </c>
      <c r="I193" s="6">
        <v>121</v>
      </c>
      <c r="J193" s="6">
        <v>153.5</v>
      </c>
      <c r="K193" s="6">
        <v>132.6</v>
      </c>
      <c r="L193" s="6">
        <v>123.5</v>
      </c>
      <c r="M193" s="6">
        <v>113.7</v>
      </c>
      <c r="N193" s="6">
        <v>138.19999999999999</v>
      </c>
      <c r="O193" s="6">
        <v>129.6</v>
      </c>
      <c r="P193" s="6">
        <v>151.19999999999999</v>
      </c>
      <c r="Q193" s="6">
        <v>137.5</v>
      </c>
      <c r="R193" s="6">
        <v>156.9</v>
      </c>
      <c r="S193" s="6">
        <v>145.30000000000001</v>
      </c>
      <c r="T193" s="6">
        <v>136.69999999999999</v>
      </c>
      <c r="U193" s="6">
        <v>144</v>
      </c>
      <c r="V193" s="6">
        <v>142.9</v>
      </c>
      <c r="W193" s="6">
        <v>136.5</v>
      </c>
      <c r="X193" s="6">
        <v>136.6</v>
      </c>
      <c r="Y193" s="6">
        <v>135.19999999999999</v>
      </c>
      <c r="Z193" s="6">
        <v>121.9</v>
      </c>
      <c r="AA193" s="6">
        <v>131.30000000000001</v>
      </c>
      <c r="AB193" s="6">
        <v>141.4</v>
      </c>
      <c r="AC193" s="6">
        <v>129.19999999999999</v>
      </c>
      <c r="AD193" s="6">
        <v>131.30000000000001</v>
      </c>
      <c r="AE193" s="6">
        <v>137.1</v>
      </c>
      <c r="AF193" s="6" t="str">
        <f t="shared" si="5"/>
        <v>Pre Covid</v>
      </c>
      <c r="AG193" s="6"/>
    </row>
    <row r="194" spans="1:33">
      <c r="A194" s="4" t="s">
        <v>30</v>
      </c>
      <c r="B194" s="4">
        <v>2018</v>
      </c>
      <c r="C194" s="4" t="s">
        <v>37</v>
      </c>
      <c r="D194" s="4">
        <f t="shared" si="4"/>
        <v>5</v>
      </c>
      <c r="E194" s="4">
        <v>137.4</v>
      </c>
      <c r="F194" s="4">
        <v>145.69999999999999</v>
      </c>
      <c r="G194" s="4">
        <v>135.5</v>
      </c>
      <c r="H194" s="4">
        <v>142.9</v>
      </c>
      <c r="I194" s="4">
        <v>123.6</v>
      </c>
      <c r="J194" s="4">
        <v>157.5</v>
      </c>
      <c r="K194" s="4">
        <v>137.80000000000001</v>
      </c>
      <c r="L194" s="4">
        <v>127.2</v>
      </c>
      <c r="M194" s="4">
        <v>111.8</v>
      </c>
      <c r="N194" s="4">
        <v>137.4</v>
      </c>
      <c r="O194" s="4">
        <v>132.19999999999999</v>
      </c>
      <c r="P194" s="4">
        <v>154.30000000000001</v>
      </c>
      <c r="Q194" s="4">
        <v>139.1</v>
      </c>
      <c r="R194" s="4">
        <v>157</v>
      </c>
      <c r="S194" s="4">
        <v>150.80000000000001</v>
      </c>
      <c r="T194" s="4">
        <v>144.1</v>
      </c>
      <c r="U194" s="4">
        <v>149.80000000000001</v>
      </c>
      <c r="V194" s="4">
        <v>142.85</v>
      </c>
      <c r="W194" s="4">
        <v>144.30000000000001</v>
      </c>
      <c r="X194" s="4">
        <v>141.80000000000001</v>
      </c>
      <c r="Y194" s="4">
        <v>138.4</v>
      </c>
      <c r="Z194" s="4">
        <v>126.4</v>
      </c>
      <c r="AA194" s="4">
        <v>136.80000000000001</v>
      </c>
      <c r="AB194" s="4">
        <v>144.4</v>
      </c>
      <c r="AC194" s="4">
        <v>131.19999999999999</v>
      </c>
      <c r="AD194" s="4">
        <v>135.1</v>
      </c>
      <c r="AE194" s="4">
        <v>139.80000000000001</v>
      </c>
      <c r="AF194" s="4" t="str">
        <f t="shared" si="5"/>
        <v>Pre Covid</v>
      </c>
      <c r="AG194" s="4"/>
    </row>
    <row r="195" spans="1:33">
      <c r="A195" s="6" t="s">
        <v>32</v>
      </c>
      <c r="B195" s="6">
        <v>2018</v>
      </c>
      <c r="C195" s="6" t="s">
        <v>37</v>
      </c>
      <c r="D195" s="6">
        <f t="shared" ref="D195:D258" si="6">MONTH(DATEVALUE(C195 &amp; " 1"))</f>
        <v>5</v>
      </c>
      <c r="E195" s="6">
        <v>135</v>
      </c>
      <c r="F195" s="6">
        <v>148.19999999999999</v>
      </c>
      <c r="G195" s="6">
        <v>130.5</v>
      </c>
      <c r="H195" s="6">
        <v>140.69999999999999</v>
      </c>
      <c r="I195" s="6">
        <v>116.4</v>
      </c>
      <c r="J195" s="6">
        <v>151.30000000000001</v>
      </c>
      <c r="K195" s="6">
        <v>131.4</v>
      </c>
      <c r="L195" s="6">
        <v>112.8</v>
      </c>
      <c r="M195" s="6">
        <v>105.3</v>
      </c>
      <c r="N195" s="6">
        <v>139.6</v>
      </c>
      <c r="O195" s="6">
        <v>126.6</v>
      </c>
      <c r="P195" s="6">
        <v>148.69999999999999</v>
      </c>
      <c r="Q195" s="6">
        <v>136.4</v>
      </c>
      <c r="R195" s="6">
        <v>160.30000000000001</v>
      </c>
      <c r="S195" s="6">
        <v>138.6</v>
      </c>
      <c r="T195" s="6">
        <v>127.9</v>
      </c>
      <c r="U195" s="6">
        <v>137</v>
      </c>
      <c r="V195" s="6">
        <v>143.19999999999999</v>
      </c>
      <c r="W195" s="6">
        <v>124.7</v>
      </c>
      <c r="X195" s="6">
        <v>132.5</v>
      </c>
      <c r="Y195" s="6">
        <v>132</v>
      </c>
      <c r="Z195" s="6">
        <v>119.8</v>
      </c>
      <c r="AA195" s="6">
        <v>128</v>
      </c>
      <c r="AB195" s="6">
        <v>140.4</v>
      </c>
      <c r="AC195" s="6">
        <v>128.1</v>
      </c>
      <c r="AD195" s="6">
        <v>128.9</v>
      </c>
      <c r="AE195" s="6">
        <v>135.4</v>
      </c>
      <c r="AF195" s="6" t="str">
        <f t="shared" ref="AF195:AF258" si="7">IF(AND(B195=2020,D195&lt;4),"Pre Covid",IF(B195&lt;2020,"Pre Covid","Post Covid"))</f>
        <v>Pre Covid</v>
      </c>
      <c r="AG195" s="6"/>
    </row>
    <row r="196" spans="1:33">
      <c r="A196" s="4" t="s">
        <v>33</v>
      </c>
      <c r="B196" s="4">
        <v>2018</v>
      </c>
      <c r="C196" s="4" t="s">
        <v>37</v>
      </c>
      <c r="D196" s="4">
        <f t="shared" si="6"/>
        <v>5</v>
      </c>
      <c r="E196" s="4">
        <v>136.6</v>
      </c>
      <c r="F196" s="4">
        <v>146.6</v>
      </c>
      <c r="G196" s="4">
        <v>133.6</v>
      </c>
      <c r="H196" s="4">
        <v>142.1</v>
      </c>
      <c r="I196" s="4">
        <v>121</v>
      </c>
      <c r="J196" s="4">
        <v>154.6</v>
      </c>
      <c r="K196" s="4">
        <v>135.6</v>
      </c>
      <c r="L196" s="4">
        <v>122.3</v>
      </c>
      <c r="M196" s="4">
        <v>109.6</v>
      </c>
      <c r="N196" s="4">
        <v>138.1</v>
      </c>
      <c r="O196" s="4">
        <v>129.9</v>
      </c>
      <c r="P196" s="4">
        <v>151.69999999999999</v>
      </c>
      <c r="Q196" s="4">
        <v>138.1</v>
      </c>
      <c r="R196" s="4">
        <v>157.9</v>
      </c>
      <c r="S196" s="4">
        <v>146</v>
      </c>
      <c r="T196" s="4">
        <v>137.4</v>
      </c>
      <c r="U196" s="4">
        <v>144.69999999999999</v>
      </c>
      <c r="V196" s="4">
        <v>143.19999999999999</v>
      </c>
      <c r="W196" s="4">
        <v>136.9</v>
      </c>
      <c r="X196" s="4">
        <v>137.4</v>
      </c>
      <c r="Y196" s="4">
        <v>136</v>
      </c>
      <c r="Z196" s="4">
        <v>122.9</v>
      </c>
      <c r="AA196" s="4">
        <v>131.80000000000001</v>
      </c>
      <c r="AB196" s="4">
        <v>142.1</v>
      </c>
      <c r="AC196" s="4">
        <v>129.9</v>
      </c>
      <c r="AD196" s="4">
        <v>132.1</v>
      </c>
      <c r="AE196" s="4">
        <v>137.80000000000001</v>
      </c>
      <c r="AF196" s="4" t="str">
        <f t="shared" si="7"/>
        <v>Pre Covid</v>
      </c>
      <c r="AG196" s="4"/>
    </row>
    <row r="197" spans="1:33">
      <c r="A197" s="6" t="s">
        <v>30</v>
      </c>
      <c r="B197" s="6">
        <v>2018</v>
      </c>
      <c r="C197" s="6" t="s">
        <v>38</v>
      </c>
      <c r="D197" s="6">
        <f t="shared" si="6"/>
        <v>6</v>
      </c>
      <c r="E197" s="6">
        <v>137.6</v>
      </c>
      <c r="F197" s="6">
        <v>148.1</v>
      </c>
      <c r="G197" s="6">
        <v>136.69999999999999</v>
      </c>
      <c r="H197" s="6">
        <v>143.19999999999999</v>
      </c>
      <c r="I197" s="6">
        <v>124</v>
      </c>
      <c r="J197" s="6">
        <v>154.1</v>
      </c>
      <c r="K197" s="6">
        <v>143.5</v>
      </c>
      <c r="L197" s="6">
        <v>126</v>
      </c>
      <c r="M197" s="6">
        <v>112.4</v>
      </c>
      <c r="N197" s="6">
        <v>137.6</v>
      </c>
      <c r="O197" s="6">
        <v>132.80000000000001</v>
      </c>
      <c r="P197" s="6">
        <v>154.30000000000001</v>
      </c>
      <c r="Q197" s="6">
        <v>140</v>
      </c>
      <c r="R197" s="6">
        <v>157.30000000000001</v>
      </c>
      <c r="S197" s="6">
        <v>151.30000000000001</v>
      </c>
      <c r="T197" s="6">
        <v>144.69999999999999</v>
      </c>
      <c r="U197" s="6">
        <v>150.30000000000001</v>
      </c>
      <c r="V197" s="6">
        <v>142.85</v>
      </c>
      <c r="W197" s="6">
        <v>145.1</v>
      </c>
      <c r="X197" s="6">
        <v>142.19999999999999</v>
      </c>
      <c r="Y197" s="6">
        <v>138.4</v>
      </c>
      <c r="Z197" s="6">
        <v>127.4</v>
      </c>
      <c r="AA197" s="6">
        <v>137.80000000000001</v>
      </c>
      <c r="AB197" s="6">
        <v>145.1</v>
      </c>
      <c r="AC197" s="6">
        <v>131.4</v>
      </c>
      <c r="AD197" s="6">
        <v>135.6</v>
      </c>
      <c r="AE197" s="6">
        <v>140.5</v>
      </c>
      <c r="AF197" s="6" t="str">
        <f t="shared" si="7"/>
        <v>Pre Covid</v>
      </c>
      <c r="AG197" s="6"/>
    </row>
    <row r="198" spans="1:33">
      <c r="A198" s="4" t="s">
        <v>32</v>
      </c>
      <c r="B198" s="4">
        <v>2018</v>
      </c>
      <c r="C198" s="4" t="s">
        <v>38</v>
      </c>
      <c r="D198" s="4">
        <f t="shared" si="6"/>
        <v>6</v>
      </c>
      <c r="E198" s="4">
        <v>135.30000000000001</v>
      </c>
      <c r="F198" s="4">
        <v>149.69999999999999</v>
      </c>
      <c r="G198" s="4">
        <v>133.9</v>
      </c>
      <c r="H198" s="4">
        <v>140.80000000000001</v>
      </c>
      <c r="I198" s="4">
        <v>116.6</v>
      </c>
      <c r="J198" s="4">
        <v>152.19999999999999</v>
      </c>
      <c r="K198" s="4">
        <v>144</v>
      </c>
      <c r="L198" s="4">
        <v>112.3</v>
      </c>
      <c r="M198" s="4">
        <v>108.4</v>
      </c>
      <c r="N198" s="4">
        <v>140</v>
      </c>
      <c r="O198" s="4">
        <v>126.7</v>
      </c>
      <c r="P198" s="4">
        <v>149</v>
      </c>
      <c r="Q198" s="4">
        <v>138.4</v>
      </c>
      <c r="R198" s="4">
        <v>161</v>
      </c>
      <c r="S198" s="4">
        <v>138.9</v>
      </c>
      <c r="T198" s="4">
        <v>128.69999999999999</v>
      </c>
      <c r="U198" s="4">
        <v>137.4</v>
      </c>
      <c r="V198" s="4">
        <v>142.5</v>
      </c>
      <c r="W198" s="4">
        <v>126.5</v>
      </c>
      <c r="X198" s="4">
        <v>133.1</v>
      </c>
      <c r="Y198" s="4">
        <v>132.6</v>
      </c>
      <c r="Z198" s="4">
        <v>120.4</v>
      </c>
      <c r="AA198" s="4">
        <v>128.5</v>
      </c>
      <c r="AB198" s="4">
        <v>141.19999999999999</v>
      </c>
      <c r="AC198" s="4">
        <v>128.19999999999999</v>
      </c>
      <c r="AD198" s="4">
        <v>129.5</v>
      </c>
      <c r="AE198" s="4">
        <v>136.19999999999999</v>
      </c>
      <c r="AF198" s="4" t="str">
        <f t="shared" si="7"/>
        <v>Pre Covid</v>
      </c>
      <c r="AG198" s="4"/>
    </row>
    <row r="199" spans="1:33">
      <c r="A199" s="6" t="s">
        <v>33</v>
      </c>
      <c r="B199" s="6">
        <v>2018</v>
      </c>
      <c r="C199" s="6" t="s">
        <v>38</v>
      </c>
      <c r="D199" s="6">
        <f t="shared" si="6"/>
        <v>6</v>
      </c>
      <c r="E199" s="6">
        <v>136.9</v>
      </c>
      <c r="F199" s="6">
        <v>148.69999999999999</v>
      </c>
      <c r="G199" s="6">
        <v>135.6</v>
      </c>
      <c r="H199" s="6">
        <v>142.30000000000001</v>
      </c>
      <c r="I199" s="6">
        <v>121.3</v>
      </c>
      <c r="J199" s="6">
        <v>153.19999999999999</v>
      </c>
      <c r="K199" s="6">
        <v>143.69999999999999</v>
      </c>
      <c r="L199" s="6">
        <v>121.4</v>
      </c>
      <c r="M199" s="6">
        <v>111.1</v>
      </c>
      <c r="N199" s="6">
        <v>138.4</v>
      </c>
      <c r="O199" s="6">
        <v>130.30000000000001</v>
      </c>
      <c r="P199" s="6">
        <v>151.80000000000001</v>
      </c>
      <c r="Q199" s="6">
        <v>139.4</v>
      </c>
      <c r="R199" s="6">
        <v>158.30000000000001</v>
      </c>
      <c r="S199" s="6">
        <v>146.4</v>
      </c>
      <c r="T199" s="6">
        <v>138.1</v>
      </c>
      <c r="U199" s="6">
        <v>145.19999999999999</v>
      </c>
      <c r="V199" s="6">
        <v>142.5</v>
      </c>
      <c r="W199" s="6">
        <v>138.1</v>
      </c>
      <c r="X199" s="6">
        <v>137.9</v>
      </c>
      <c r="Y199" s="6">
        <v>136.19999999999999</v>
      </c>
      <c r="Z199" s="6">
        <v>123.7</v>
      </c>
      <c r="AA199" s="6">
        <v>132.6</v>
      </c>
      <c r="AB199" s="6">
        <v>142.80000000000001</v>
      </c>
      <c r="AC199" s="6">
        <v>130.1</v>
      </c>
      <c r="AD199" s="6">
        <v>132.6</v>
      </c>
      <c r="AE199" s="6">
        <v>138.5</v>
      </c>
      <c r="AF199" s="6" t="str">
        <f t="shared" si="7"/>
        <v>Pre Covid</v>
      </c>
      <c r="AG199" s="6"/>
    </row>
    <row r="200" spans="1:33">
      <c r="A200" s="4" t="s">
        <v>30</v>
      </c>
      <c r="B200" s="4">
        <v>2018</v>
      </c>
      <c r="C200" s="4" t="s">
        <v>39</v>
      </c>
      <c r="D200" s="4">
        <f t="shared" si="6"/>
        <v>7</v>
      </c>
      <c r="E200" s="4">
        <v>138.4</v>
      </c>
      <c r="F200" s="4">
        <v>149.30000000000001</v>
      </c>
      <c r="G200" s="4">
        <v>139.30000000000001</v>
      </c>
      <c r="H200" s="4">
        <v>143.4</v>
      </c>
      <c r="I200" s="4">
        <v>124.1</v>
      </c>
      <c r="J200" s="4">
        <v>153.30000000000001</v>
      </c>
      <c r="K200" s="4">
        <v>154.19999999999999</v>
      </c>
      <c r="L200" s="4">
        <v>126.4</v>
      </c>
      <c r="M200" s="4">
        <v>114.3</v>
      </c>
      <c r="N200" s="4">
        <v>138.19999999999999</v>
      </c>
      <c r="O200" s="4">
        <v>132.80000000000001</v>
      </c>
      <c r="P200" s="4">
        <v>154.80000000000001</v>
      </c>
      <c r="Q200" s="4">
        <v>142</v>
      </c>
      <c r="R200" s="4">
        <v>156.1</v>
      </c>
      <c r="S200" s="4">
        <v>151.5</v>
      </c>
      <c r="T200" s="4">
        <v>145.1</v>
      </c>
      <c r="U200" s="4">
        <v>150.6</v>
      </c>
      <c r="V200" s="4">
        <v>144.1</v>
      </c>
      <c r="W200" s="4">
        <v>146.80000000000001</v>
      </c>
      <c r="X200" s="4">
        <v>143.1</v>
      </c>
      <c r="Y200" s="4">
        <v>139</v>
      </c>
      <c r="Z200" s="4">
        <v>127.5</v>
      </c>
      <c r="AA200" s="4">
        <v>138.4</v>
      </c>
      <c r="AB200" s="4">
        <v>145.80000000000001</v>
      </c>
      <c r="AC200" s="4">
        <v>131.4</v>
      </c>
      <c r="AD200" s="4">
        <v>136</v>
      </c>
      <c r="AE200" s="4">
        <v>141.80000000000001</v>
      </c>
      <c r="AF200" s="4" t="str">
        <f t="shared" si="7"/>
        <v>Pre Covid</v>
      </c>
      <c r="AG200" s="4"/>
    </row>
    <row r="201" spans="1:33">
      <c r="A201" s="6" t="s">
        <v>32</v>
      </c>
      <c r="B201" s="6">
        <v>2018</v>
      </c>
      <c r="C201" s="6" t="s">
        <v>39</v>
      </c>
      <c r="D201" s="6">
        <f t="shared" si="6"/>
        <v>7</v>
      </c>
      <c r="E201" s="6">
        <v>135.6</v>
      </c>
      <c r="F201" s="6">
        <v>148.6</v>
      </c>
      <c r="G201" s="6">
        <v>139.1</v>
      </c>
      <c r="H201" s="6">
        <v>141</v>
      </c>
      <c r="I201" s="6">
        <v>116.7</v>
      </c>
      <c r="J201" s="6">
        <v>149.69999999999999</v>
      </c>
      <c r="K201" s="6">
        <v>159.19999999999999</v>
      </c>
      <c r="L201" s="6">
        <v>112.6</v>
      </c>
      <c r="M201" s="6">
        <v>111.8</v>
      </c>
      <c r="N201" s="6">
        <v>140.30000000000001</v>
      </c>
      <c r="O201" s="6">
        <v>126.8</v>
      </c>
      <c r="P201" s="6">
        <v>149.4</v>
      </c>
      <c r="Q201" s="6">
        <v>140.30000000000001</v>
      </c>
      <c r="R201" s="6">
        <v>161.4</v>
      </c>
      <c r="S201" s="6">
        <v>139.6</v>
      </c>
      <c r="T201" s="6">
        <v>128.9</v>
      </c>
      <c r="U201" s="6">
        <v>137.9</v>
      </c>
      <c r="V201" s="6">
        <v>143.6</v>
      </c>
      <c r="W201" s="6">
        <v>128.1</v>
      </c>
      <c r="X201" s="6">
        <v>133.6</v>
      </c>
      <c r="Y201" s="6">
        <v>133.6</v>
      </c>
      <c r="Z201" s="6">
        <v>120.1</v>
      </c>
      <c r="AA201" s="6">
        <v>129</v>
      </c>
      <c r="AB201" s="6">
        <v>144</v>
      </c>
      <c r="AC201" s="6">
        <v>128.19999999999999</v>
      </c>
      <c r="AD201" s="6">
        <v>130.19999999999999</v>
      </c>
      <c r="AE201" s="6">
        <v>137.5</v>
      </c>
      <c r="AF201" s="6" t="str">
        <f t="shared" si="7"/>
        <v>Pre Covid</v>
      </c>
      <c r="AG201" s="6"/>
    </row>
    <row r="202" spans="1:33">
      <c r="A202" s="4" t="s">
        <v>33</v>
      </c>
      <c r="B202" s="4">
        <v>2018</v>
      </c>
      <c r="C202" s="4" t="s">
        <v>39</v>
      </c>
      <c r="D202" s="4">
        <f t="shared" si="6"/>
        <v>7</v>
      </c>
      <c r="E202" s="4">
        <v>137.5</v>
      </c>
      <c r="F202" s="4">
        <v>149.1</v>
      </c>
      <c r="G202" s="4">
        <v>139.19999999999999</v>
      </c>
      <c r="H202" s="4">
        <v>142.5</v>
      </c>
      <c r="I202" s="4">
        <v>121.4</v>
      </c>
      <c r="J202" s="4">
        <v>151.6</v>
      </c>
      <c r="K202" s="4">
        <v>155.9</v>
      </c>
      <c r="L202" s="4">
        <v>121.7</v>
      </c>
      <c r="M202" s="4">
        <v>113.5</v>
      </c>
      <c r="N202" s="4">
        <v>138.9</v>
      </c>
      <c r="O202" s="4">
        <v>130.30000000000001</v>
      </c>
      <c r="P202" s="4">
        <v>152.30000000000001</v>
      </c>
      <c r="Q202" s="4">
        <v>141.4</v>
      </c>
      <c r="R202" s="4">
        <v>157.5</v>
      </c>
      <c r="S202" s="4">
        <v>146.80000000000001</v>
      </c>
      <c r="T202" s="4">
        <v>138.4</v>
      </c>
      <c r="U202" s="4">
        <v>145.6</v>
      </c>
      <c r="V202" s="4">
        <v>143.6</v>
      </c>
      <c r="W202" s="4">
        <v>139.69999999999999</v>
      </c>
      <c r="X202" s="4">
        <v>138.6</v>
      </c>
      <c r="Y202" s="4">
        <v>137</v>
      </c>
      <c r="Z202" s="4">
        <v>123.6</v>
      </c>
      <c r="AA202" s="4">
        <v>133.1</v>
      </c>
      <c r="AB202" s="4">
        <v>144.69999999999999</v>
      </c>
      <c r="AC202" s="4">
        <v>130.1</v>
      </c>
      <c r="AD202" s="4">
        <v>133.19999999999999</v>
      </c>
      <c r="AE202" s="4">
        <v>139.80000000000001</v>
      </c>
      <c r="AF202" s="4" t="str">
        <f t="shared" si="7"/>
        <v>Pre Covid</v>
      </c>
      <c r="AG202" s="4"/>
    </row>
    <row r="203" spans="1:33">
      <c r="A203" s="6" t="s">
        <v>30</v>
      </c>
      <c r="B203" s="6">
        <v>2018</v>
      </c>
      <c r="C203" s="6" t="s">
        <v>40</v>
      </c>
      <c r="D203" s="6">
        <f t="shared" si="6"/>
        <v>8</v>
      </c>
      <c r="E203" s="6">
        <v>139.19999999999999</v>
      </c>
      <c r="F203" s="6">
        <v>148.80000000000001</v>
      </c>
      <c r="G203" s="6">
        <v>139.1</v>
      </c>
      <c r="H203" s="6">
        <v>143.5</v>
      </c>
      <c r="I203" s="6">
        <v>125</v>
      </c>
      <c r="J203" s="6">
        <v>154.4</v>
      </c>
      <c r="K203" s="6">
        <v>156.30000000000001</v>
      </c>
      <c r="L203" s="6">
        <v>126.8</v>
      </c>
      <c r="M203" s="6">
        <v>115.4</v>
      </c>
      <c r="N203" s="6">
        <v>138.6</v>
      </c>
      <c r="O203" s="6">
        <v>133.80000000000001</v>
      </c>
      <c r="P203" s="6">
        <v>155.19999999999999</v>
      </c>
      <c r="Q203" s="6">
        <v>142.69999999999999</v>
      </c>
      <c r="R203" s="6">
        <v>156.4</v>
      </c>
      <c r="S203" s="6">
        <v>152.1</v>
      </c>
      <c r="T203" s="6">
        <v>145.80000000000001</v>
      </c>
      <c r="U203" s="6">
        <v>151.30000000000001</v>
      </c>
      <c r="V203" s="6">
        <v>144.1</v>
      </c>
      <c r="W203" s="6">
        <v>147.69999999999999</v>
      </c>
      <c r="X203" s="6">
        <v>143.80000000000001</v>
      </c>
      <c r="Y203" s="6">
        <v>139.4</v>
      </c>
      <c r="Z203" s="6">
        <v>128.30000000000001</v>
      </c>
      <c r="AA203" s="6">
        <v>138.6</v>
      </c>
      <c r="AB203" s="6">
        <v>146.9</v>
      </c>
      <c r="AC203" s="6">
        <v>131.30000000000001</v>
      </c>
      <c r="AD203" s="6">
        <v>136.6</v>
      </c>
      <c r="AE203" s="6">
        <v>142.5</v>
      </c>
      <c r="AF203" s="6" t="str">
        <f t="shared" si="7"/>
        <v>Pre Covid</v>
      </c>
      <c r="AG203" s="6"/>
    </row>
    <row r="204" spans="1:33">
      <c r="A204" s="4" t="s">
        <v>32</v>
      </c>
      <c r="B204" s="4">
        <v>2018</v>
      </c>
      <c r="C204" s="4" t="s">
        <v>40</v>
      </c>
      <c r="D204" s="4">
        <f t="shared" si="6"/>
        <v>8</v>
      </c>
      <c r="E204" s="4">
        <v>136.5</v>
      </c>
      <c r="F204" s="4">
        <v>146.4</v>
      </c>
      <c r="G204" s="4">
        <v>136.6</v>
      </c>
      <c r="H204" s="4">
        <v>141.19999999999999</v>
      </c>
      <c r="I204" s="4">
        <v>117.4</v>
      </c>
      <c r="J204" s="4">
        <v>146.30000000000001</v>
      </c>
      <c r="K204" s="4">
        <v>157.30000000000001</v>
      </c>
      <c r="L204" s="4">
        <v>113.6</v>
      </c>
      <c r="M204" s="4">
        <v>113.3</v>
      </c>
      <c r="N204" s="4">
        <v>141.1</v>
      </c>
      <c r="O204" s="4">
        <v>127.4</v>
      </c>
      <c r="P204" s="4">
        <v>150.4</v>
      </c>
      <c r="Q204" s="4">
        <v>140.1</v>
      </c>
      <c r="R204" s="4">
        <v>162.1</v>
      </c>
      <c r="S204" s="4">
        <v>140</v>
      </c>
      <c r="T204" s="4">
        <v>129</v>
      </c>
      <c r="U204" s="4">
        <v>138.30000000000001</v>
      </c>
      <c r="V204" s="4">
        <v>144.6</v>
      </c>
      <c r="W204" s="4">
        <v>129.80000000000001</v>
      </c>
      <c r="X204" s="4">
        <v>134.4</v>
      </c>
      <c r="Y204" s="4">
        <v>134.9</v>
      </c>
      <c r="Z204" s="4">
        <v>120.7</v>
      </c>
      <c r="AA204" s="4">
        <v>129.80000000000001</v>
      </c>
      <c r="AB204" s="4">
        <v>145.30000000000001</v>
      </c>
      <c r="AC204" s="4">
        <v>128.30000000000001</v>
      </c>
      <c r="AD204" s="4">
        <v>131</v>
      </c>
      <c r="AE204" s="4">
        <v>138</v>
      </c>
      <c r="AF204" s="4" t="str">
        <f t="shared" si="7"/>
        <v>Pre Covid</v>
      </c>
      <c r="AG204" s="4"/>
    </row>
    <row r="205" spans="1:33">
      <c r="A205" s="6" t="s">
        <v>33</v>
      </c>
      <c r="B205" s="6">
        <v>2018</v>
      </c>
      <c r="C205" s="6" t="s">
        <v>40</v>
      </c>
      <c r="D205" s="6">
        <f t="shared" si="6"/>
        <v>8</v>
      </c>
      <c r="E205" s="6">
        <v>138.30000000000001</v>
      </c>
      <c r="F205" s="6">
        <v>148</v>
      </c>
      <c r="G205" s="6">
        <v>138.1</v>
      </c>
      <c r="H205" s="6">
        <v>142.6</v>
      </c>
      <c r="I205" s="6">
        <v>122.2</v>
      </c>
      <c r="J205" s="6">
        <v>150.6</v>
      </c>
      <c r="K205" s="6">
        <v>156.6</v>
      </c>
      <c r="L205" s="6">
        <v>122.4</v>
      </c>
      <c r="M205" s="6">
        <v>114.7</v>
      </c>
      <c r="N205" s="6">
        <v>139.4</v>
      </c>
      <c r="O205" s="6">
        <v>131.1</v>
      </c>
      <c r="P205" s="6">
        <v>153</v>
      </c>
      <c r="Q205" s="6">
        <v>141.69999999999999</v>
      </c>
      <c r="R205" s="6">
        <v>157.9</v>
      </c>
      <c r="S205" s="6">
        <v>147.30000000000001</v>
      </c>
      <c r="T205" s="6">
        <v>138.80000000000001</v>
      </c>
      <c r="U205" s="6">
        <v>146.1</v>
      </c>
      <c r="V205" s="6">
        <v>144.6</v>
      </c>
      <c r="W205" s="6">
        <v>140.9</v>
      </c>
      <c r="X205" s="6">
        <v>139.4</v>
      </c>
      <c r="Y205" s="6">
        <v>137.69999999999999</v>
      </c>
      <c r="Z205" s="6">
        <v>124.3</v>
      </c>
      <c r="AA205" s="6">
        <v>133.6</v>
      </c>
      <c r="AB205" s="6">
        <v>146</v>
      </c>
      <c r="AC205" s="6">
        <v>130.1</v>
      </c>
      <c r="AD205" s="6">
        <v>133.9</v>
      </c>
      <c r="AE205" s="6">
        <v>140.4</v>
      </c>
      <c r="AF205" s="6" t="str">
        <f t="shared" si="7"/>
        <v>Pre Covid</v>
      </c>
      <c r="AG205" s="6"/>
    </row>
    <row r="206" spans="1:33">
      <c r="A206" s="4" t="s">
        <v>30</v>
      </c>
      <c r="B206" s="4">
        <v>2018</v>
      </c>
      <c r="C206" s="4" t="s">
        <v>41</v>
      </c>
      <c r="D206" s="4">
        <f t="shared" si="6"/>
        <v>9</v>
      </c>
      <c r="E206" s="4">
        <v>139.4</v>
      </c>
      <c r="F206" s="4">
        <v>147.19999999999999</v>
      </c>
      <c r="G206" s="4">
        <v>136.6</v>
      </c>
      <c r="H206" s="4">
        <v>143.69999999999999</v>
      </c>
      <c r="I206" s="4">
        <v>124.6</v>
      </c>
      <c r="J206" s="4">
        <v>150.1</v>
      </c>
      <c r="K206" s="4">
        <v>149.4</v>
      </c>
      <c r="L206" s="4">
        <v>125.4</v>
      </c>
      <c r="M206" s="4">
        <v>114.4</v>
      </c>
      <c r="N206" s="4">
        <v>138.69999999999999</v>
      </c>
      <c r="O206" s="4">
        <v>133.1</v>
      </c>
      <c r="P206" s="4">
        <v>155.9</v>
      </c>
      <c r="Q206" s="4">
        <v>141.30000000000001</v>
      </c>
      <c r="R206" s="4">
        <v>157.69999999999999</v>
      </c>
      <c r="S206" s="4">
        <v>152.1</v>
      </c>
      <c r="T206" s="4">
        <v>146.1</v>
      </c>
      <c r="U206" s="4">
        <v>151.30000000000001</v>
      </c>
      <c r="V206" s="4">
        <v>145.95000000000002</v>
      </c>
      <c r="W206" s="4">
        <v>149</v>
      </c>
      <c r="X206" s="4">
        <v>144</v>
      </c>
      <c r="Y206" s="4">
        <v>140</v>
      </c>
      <c r="Z206" s="4">
        <v>129.9</v>
      </c>
      <c r="AA206" s="4">
        <v>140</v>
      </c>
      <c r="AB206" s="4">
        <v>147.6</v>
      </c>
      <c r="AC206" s="4">
        <v>132</v>
      </c>
      <c r="AD206" s="4">
        <v>137.4</v>
      </c>
      <c r="AE206" s="4">
        <v>142.1</v>
      </c>
      <c r="AF206" s="4" t="str">
        <f t="shared" si="7"/>
        <v>Pre Covid</v>
      </c>
      <c r="AG206" s="4"/>
    </row>
    <row r="207" spans="1:33">
      <c r="A207" s="6" t="s">
        <v>32</v>
      </c>
      <c r="B207" s="6">
        <v>2018</v>
      </c>
      <c r="C207" s="6" t="s">
        <v>41</v>
      </c>
      <c r="D207" s="6">
        <f t="shared" si="6"/>
        <v>9</v>
      </c>
      <c r="E207" s="6">
        <v>137</v>
      </c>
      <c r="F207" s="6">
        <v>143.1</v>
      </c>
      <c r="G207" s="6">
        <v>132.80000000000001</v>
      </c>
      <c r="H207" s="6">
        <v>141.5</v>
      </c>
      <c r="I207" s="6">
        <v>117.8</v>
      </c>
      <c r="J207" s="6">
        <v>140</v>
      </c>
      <c r="K207" s="6">
        <v>151.30000000000001</v>
      </c>
      <c r="L207" s="6">
        <v>113.5</v>
      </c>
      <c r="M207" s="6">
        <v>112.3</v>
      </c>
      <c r="N207" s="6">
        <v>141.19999999999999</v>
      </c>
      <c r="O207" s="6">
        <v>127.7</v>
      </c>
      <c r="P207" s="6">
        <v>151.30000000000001</v>
      </c>
      <c r="Q207" s="6">
        <v>138.9</v>
      </c>
      <c r="R207" s="6">
        <v>163.30000000000001</v>
      </c>
      <c r="S207" s="6">
        <v>140.80000000000001</v>
      </c>
      <c r="T207" s="6">
        <v>129.30000000000001</v>
      </c>
      <c r="U207" s="6">
        <v>139.1</v>
      </c>
      <c r="V207" s="6">
        <v>145.30000000000001</v>
      </c>
      <c r="W207" s="6">
        <v>131.19999999999999</v>
      </c>
      <c r="X207" s="6">
        <v>134.9</v>
      </c>
      <c r="Y207" s="6">
        <v>135.69999999999999</v>
      </c>
      <c r="Z207" s="6">
        <v>122.5</v>
      </c>
      <c r="AA207" s="6">
        <v>130.19999999999999</v>
      </c>
      <c r="AB207" s="6">
        <v>145.19999999999999</v>
      </c>
      <c r="AC207" s="6">
        <v>129.30000000000001</v>
      </c>
      <c r="AD207" s="6">
        <v>131.9</v>
      </c>
      <c r="AE207" s="6">
        <v>138.1</v>
      </c>
      <c r="AF207" s="6" t="str">
        <f t="shared" si="7"/>
        <v>Pre Covid</v>
      </c>
      <c r="AG207" s="6"/>
    </row>
    <row r="208" spans="1:33">
      <c r="A208" s="4" t="s">
        <v>33</v>
      </c>
      <c r="B208" s="4">
        <v>2018</v>
      </c>
      <c r="C208" s="4" t="s">
        <v>41</v>
      </c>
      <c r="D208" s="4">
        <f t="shared" si="6"/>
        <v>9</v>
      </c>
      <c r="E208" s="4">
        <v>138.6</v>
      </c>
      <c r="F208" s="4">
        <v>145.80000000000001</v>
      </c>
      <c r="G208" s="4">
        <v>135.1</v>
      </c>
      <c r="H208" s="4">
        <v>142.9</v>
      </c>
      <c r="I208" s="4">
        <v>122.1</v>
      </c>
      <c r="J208" s="4">
        <v>145.4</v>
      </c>
      <c r="K208" s="4">
        <v>150</v>
      </c>
      <c r="L208" s="4">
        <v>121.4</v>
      </c>
      <c r="M208" s="4">
        <v>113.7</v>
      </c>
      <c r="N208" s="4">
        <v>139.5</v>
      </c>
      <c r="O208" s="4">
        <v>130.80000000000001</v>
      </c>
      <c r="P208" s="4">
        <v>153.80000000000001</v>
      </c>
      <c r="Q208" s="4">
        <v>140.4</v>
      </c>
      <c r="R208" s="4">
        <v>159.19999999999999</v>
      </c>
      <c r="S208" s="4">
        <v>147.69999999999999</v>
      </c>
      <c r="T208" s="4">
        <v>139.1</v>
      </c>
      <c r="U208" s="4">
        <v>146.5</v>
      </c>
      <c r="V208" s="4">
        <v>145.30000000000001</v>
      </c>
      <c r="W208" s="4">
        <v>142.30000000000001</v>
      </c>
      <c r="X208" s="4">
        <v>139.69999999999999</v>
      </c>
      <c r="Y208" s="4">
        <v>138.4</v>
      </c>
      <c r="Z208" s="4">
        <v>126</v>
      </c>
      <c r="AA208" s="4">
        <v>134.5</v>
      </c>
      <c r="AB208" s="4">
        <v>146.19999999999999</v>
      </c>
      <c r="AC208" s="4">
        <v>130.9</v>
      </c>
      <c r="AD208" s="4">
        <v>134.69999999999999</v>
      </c>
      <c r="AE208" s="4">
        <v>140.19999999999999</v>
      </c>
      <c r="AF208" s="4" t="str">
        <f t="shared" si="7"/>
        <v>Pre Covid</v>
      </c>
      <c r="AG208" s="4"/>
    </row>
    <row r="209" spans="1:33">
      <c r="A209" s="6" t="s">
        <v>30</v>
      </c>
      <c r="B209" s="6">
        <v>2018</v>
      </c>
      <c r="C209" s="6" t="s">
        <v>42</v>
      </c>
      <c r="D209" s="6">
        <f t="shared" si="6"/>
        <v>10</v>
      </c>
      <c r="E209" s="6">
        <v>139.30000000000001</v>
      </c>
      <c r="F209" s="6">
        <v>147.6</v>
      </c>
      <c r="G209" s="6">
        <v>134.6</v>
      </c>
      <c r="H209" s="6">
        <v>141.9</v>
      </c>
      <c r="I209" s="6">
        <v>123.5</v>
      </c>
      <c r="J209" s="6">
        <v>144.5</v>
      </c>
      <c r="K209" s="6">
        <v>147.6</v>
      </c>
      <c r="L209" s="6">
        <v>121.4</v>
      </c>
      <c r="M209" s="6">
        <v>112.3</v>
      </c>
      <c r="N209" s="6">
        <v>139.5</v>
      </c>
      <c r="O209" s="6">
        <v>134.6</v>
      </c>
      <c r="P209" s="6">
        <v>155.19999999999999</v>
      </c>
      <c r="Q209" s="6">
        <v>140.19999999999999</v>
      </c>
      <c r="R209" s="6">
        <v>159.6</v>
      </c>
      <c r="S209" s="6">
        <v>150.69999999999999</v>
      </c>
      <c r="T209" s="6">
        <v>144.5</v>
      </c>
      <c r="U209" s="6">
        <v>149.80000000000001</v>
      </c>
      <c r="V209" s="6">
        <v>145.94999999999999</v>
      </c>
      <c r="W209" s="6">
        <v>149.69999999999999</v>
      </c>
      <c r="X209" s="6">
        <v>147.5</v>
      </c>
      <c r="Y209" s="6">
        <v>144.80000000000001</v>
      </c>
      <c r="Z209" s="6">
        <v>130.80000000000001</v>
      </c>
      <c r="AA209" s="6">
        <v>140.1</v>
      </c>
      <c r="AB209" s="6">
        <v>148</v>
      </c>
      <c r="AC209" s="6">
        <v>134.4</v>
      </c>
      <c r="AD209" s="6">
        <v>139.80000000000001</v>
      </c>
      <c r="AE209" s="6">
        <v>142.19999999999999</v>
      </c>
      <c r="AF209" s="6" t="str">
        <f t="shared" si="7"/>
        <v>Pre Covid</v>
      </c>
      <c r="AG209" s="6"/>
    </row>
    <row r="210" spans="1:33">
      <c r="A210" s="4" t="s">
        <v>32</v>
      </c>
      <c r="B210" s="4">
        <v>2018</v>
      </c>
      <c r="C210" s="4" t="s">
        <v>42</v>
      </c>
      <c r="D210" s="4">
        <f t="shared" si="6"/>
        <v>10</v>
      </c>
      <c r="E210" s="4">
        <v>137.6</v>
      </c>
      <c r="F210" s="4">
        <v>144.9</v>
      </c>
      <c r="G210" s="4">
        <v>133.5</v>
      </c>
      <c r="H210" s="4">
        <v>141.5</v>
      </c>
      <c r="I210" s="4">
        <v>118</v>
      </c>
      <c r="J210" s="4">
        <v>139.5</v>
      </c>
      <c r="K210" s="4">
        <v>153</v>
      </c>
      <c r="L210" s="4">
        <v>113.2</v>
      </c>
      <c r="M210" s="4">
        <v>112.8</v>
      </c>
      <c r="N210" s="4">
        <v>141.1</v>
      </c>
      <c r="O210" s="4">
        <v>127.6</v>
      </c>
      <c r="P210" s="4">
        <v>152</v>
      </c>
      <c r="Q210" s="4">
        <v>139.4</v>
      </c>
      <c r="R210" s="4">
        <v>164</v>
      </c>
      <c r="S210" s="4">
        <v>141.5</v>
      </c>
      <c r="T210" s="4">
        <v>129.80000000000001</v>
      </c>
      <c r="U210" s="4">
        <v>139.69999999999999</v>
      </c>
      <c r="V210" s="4">
        <v>146.30000000000001</v>
      </c>
      <c r="W210" s="4">
        <v>133.4</v>
      </c>
      <c r="X210" s="4">
        <v>135.1</v>
      </c>
      <c r="Y210" s="4">
        <v>136.19999999999999</v>
      </c>
      <c r="Z210" s="4">
        <v>123.3</v>
      </c>
      <c r="AA210" s="4">
        <v>130.69999999999999</v>
      </c>
      <c r="AB210" s="4">
        <v>145.5</v>
      </c>
      <c r="AC210" s="4">
        <v>130.4</v>
      </c>
      <c r="AD210" s="4">
        <v>132.5</v>
      </c>
      <c r="AE210" s="4">
        <v>138.9</v>
      </c>
      <c r="AF210" s="4" t="str">
        <f t="shared" si="7"/>
        <v>Pre Covid</v>
      </c>
      <c r="AG210" s="4"/>
    </row>
    <row r="211" spans="1:33">
      <c r="A211" s="6" t="s">
        <v>33</v>
      </c>
      <c r="B211" s="6">
        <v>2018</v>
      </c>
      <c r="C211" s="6" t="s">
        <v>42</v>
      </c>
      <c r="D211" s="6">
        <f t="shared" si="6"/>
        <v>10</v>
      </c>
      <c r="E211" s="6">
        <v>137.4</v>
      </c>
      <c r="F211" s="6">
        <v>149.5</v>
      </c>
      <c r="G211" s="6">
        <v>137.30000000000001</v>
      </c>
      <c r="H211" s="6">
        <v>141.9</v>
      </c>
      <c r="I211" s="6">
        <v>121.1</v>
      </c>
      <c r="J211" s="6">
        <v>142.5</v>
      </c>
      <c r="K211" s="6">
        <v>146.69999999999999</v>
      </c>
      <c r="L211" s="6">
        <v>119.1</v>
      </c>
      <c r="M211" s="6">
        <v>111.9</v>
      </c>
      <c r="N211" s="6">
        <v>141</v>
      </c>
      <c r="O211" s="6">
        <v>133.6</v>
      </c>
      <c r="P211" s="6">
        <v>154.5</v>
      </c>
      <c r="Q211" s="6">
        <v>139.69999999999999</v>
      </c>
      <c r="R211" s="6">
        <v>162.6</v>
      </c>
      <c r="S211" s="6">
        <v>148</v>
      </c>
      <c r="T211" s="6">
        <v>139.19999999999999</v>
      </c>
      <c r="U211" s="6">
        <v>146.80000000000001</v>
      </c>
      <c r="V211" s="6">
        <v>146.9</v>
      </c>
      <c r="W211" s="6">
        <v>145.30000000000001</v>
      </c>
      <c r="X211" s="6">
        <v>142.19999999999999</v>
      </c>
      <c r="Y211" s="6">
        <v>142.1</v>
      </c>
      <c r="Z211" s="6">
        <v>125.5</v>
      </c>
      <c r="AA211" s="6">
        <v>136.5</v>
      </c>
      <c r="AB211" s="6">
        <v>147.80000000000001</v>
      </c>
      <c r="AC211" s="6">
        <v>132</v>
      </c>
      <c r="AD211" s="6">
        <v>136.30000000000001</v>
      </c>
      <c r="AE211" s="6">
        <v>140.80000000000001</v>
      </c>
      <c r="AF211" s="6" t="str">
        <f t="shared" si="7"/>
        <v>Pre Covid</v>
      </c>
      <c r="AG211" s="6"/>
    </row>
    <row r="212" spans="1:33">
      <c r="A212" s="4" t="s">
        <v>30</v>
      </c>
      <c r="B212" s="4">
        <v>2018</v>
      </c>
      <c r="C212" s="4" t="s">
        <v>43</v>
      </c>
      <c r="D212" s="4">
        <f t="shared" si="6"/>
        <v>11</v>
      </c>
      <c r="E212" s="4">
        <v>137.1</v>
      </c>
      <c r="F212" s="4">
        <v>150.80000000000001</v>
      </c>
      <c r="G212" s="4">
        <v>136.69999999999999</v>
      </c>
      <c r="H212" s="4">
        <v>141.9</v>
      </c>
      <c r="I212" s="4">
        <v>122.8</v>
      </c>
      <c r="J212" s="4">
        <v>143.9</v>
      </c>
      <c r="K212" s="4">
        <v>147.5</v>
      </c>
      <c r="L212" s="4">
        <v>121</v>
      </c>
      <c r="M212" s="4">
        <v>111.6</v>
      </c>
      <c r="N212" s="4">
        <v>140.6</v>
      </c>
      <c r="O212" s="4">
        <v>137.5</v>
      </c>
      <c r="P212" s="4">
        <v>156.1</v>
      </c>
      <c r="Q212" s="4">
        <v>140</v>
      </c>
      <c r="R212" s="4">
        <v>161.9</v>
      </c>
      <c r="S212" s="4">
        <v>151.69999999999999</v>
      </c>
      <c r="T212" s="4">
        <v>145.5</v>
      </c>
      <c r="U212" s="4">
        <v>150.80000000000001</v>
      </c>
      <c r="V212" s="4">
        <v>146.69999999999999</v>
      </c>
      <c r="W212" s="4">
        <v>150.30000000000001</v>
      </c>
      <c r="X212" s="4">
        <v>148</v>
      </c>
      <c r="Y212" s="4">
        <v>145.4</v>
      </c>
      <c r="Z212" s="4">
        <v>130.30000000000001</v>
      </c>
      <c r="AA212" s="4">
        <v>143.1</v>
      </c>
      <c r="AB212" s="4">
        <v>150.19999999999999</v>
      </c>
      <c r="AC212" s="4">
        <v>133.1</v>
      </c>
      <c r="AD212" s="4">
        <v>140.1</v>
      </c>
      <c r="AE212" s="4">
        <v>142.4</v>
      </c>
      <c r="AF212" s="4" t="str">
        <f t="shared" si="7"/>
        <v>Pre Covid</v>
      </c>
      <c r="AG212" s="4"/>
    </row>
    <row r="213" spans="1:33">
      <c r="A213" s="6" t="s">
        <v>32</v>
      </c>
      <c r="B213" s="6">
        <v>2018</v>
      </c>
      <c r="C213" s="6" t="s">
        <v>43</v>
      </c>
      <c r="D213" s="6">
        <f t="shared" si="6"/>
        <v>11</v>
      </c>
      <c r="E213" s="6">
        <v>138.1</v>
      </c>
      <c r="F213" s="6">
        <v>146.30000000000001</v>
      </c>
      <c r="G213" s="6">
        <v>137.80000000000001</v>
      </c>
      <c r="H213" s="6">
        <v>141.6</v>
      </c>
      <c r="I213" s="6">
        <v>118.1</v>
      </c>
      <c r="J213" s="6">
        <v>141.5</v>
      </c>
      <c r="K213" s="6">
        <v>145.19999999999999</v>
      </c>
      <c r="L213" s="6">
        <v>115.3</v>
      </c>
      <c r="M213" s="6">
        <v>112.5</v>
      </c>
      <c r="N213" s="6">
        <v>141.4</v>
      </c>
      <c r="O213" s="6">
        <v>128</v>
      </c>
      <c r="P213" s="6">
        <v>152.6</v>
      </c>
      <c r="Q213" s="6">
        <v>139.1</v>
      </c>
      <c r="R213" s="6">
        <v>164.4</v>
      </c>
      <c r="S213" s="6">
        <v>142.4</v>
      </c>
      <c r="T213" s="6">
        <v>130.19999999999999</v>
      </c>
      <c r="U213" s="6">
        <v>140.5</v>
      </c>
      <c r="V213" s="6">
        <v>146.9</v>
      </c>
      <c r="W213" s="6">
        <v>136.69999999999999</v>
      </c>
      <c r="X213" s="6">
        <v>135.80000000000001</v>
      </c>
      <c r="Y213" s="6">
        <v>136.80000000000001</v>
      </c>
      <c r="Z213" s="6">
        <v>121.2</v>
      </c>
      <c r="AA213" s="6">
        <v>131.30000000000001</v>
      </c>
      <c r="AB213" s="6">
        <v>146.1</v>
      </c>
      <c r="AC213" s="6">
        <v>130.5</v>
      </c>
      <c r="AD213" s="6">
        <v>132.19999999999999</v>
      </c>
      <c r="AE213" s="6">
        <v>139</v>
      </c>
      <c r="AF213" s="6" t="str">
        <f t="shared" si="7"/>
        <v>Pre Covid</v>
      </c>
      <c r="AG213" s="6"/>
    </row>
    <row r="214" spans="1:33">
      <c r="A214" s="4" t="s">
        <v>33</v>
      </c>
      <c r="B214" s="4">
        <v>2018</v>
      </c>
      <c r="C214" s="4" t="s">
        <v>43</v>
      </c>
      <c r="D214" s="4">
        <f t="shared" si="6"/>
        <v>11</v>
      </c>
      <c r="E214" s="4">
        <v>137.4</v>
      </c>
      <c r="F214" s="4">
        <v>149.19999999999999</v>
      </c>
      <c r="G214" s="4">
        <v>137.1</v>
      </c>
      <c r="H214" s="4">
        <v>141.80000000000001</v>
      </c>
      <c r="I214" s="4">
        <v>121.1</v>
      </c>
      <c r="J214" s="4">
        <v>142.80000000000001</v>
      </c>
      <c r="K214" s="4">
        <v>146.69999999999999</v>
      </c>
      <c r="L214" s="4">
        <v>119.1</v>
      </c>
      <c r="M214" s="4">
        <v>111.9</v>
      </c>
      <c r="N214" s="4">
        <v>140.9</v>
      </c>
      <c r="O214" s="4">
        <v>133.5</v>
      </c>
      <c r="P214" s="4">
        <v>154.5</v>
      </c>
      <c r="Q214" s="4">
        <v>139.69999999999999</v>
      </c>
      <c r="R214" s="4">
        <v>162.6</v>
      </c>
      <c r="S214" s="4">
        <v>148</v>
      </c>
      <c r="T214" s="4">
        <v>139.1</v>
      </c>
      <c r="U214" s="4">
        <v>146.69999999999999</v>
      </c>
      <c r="V214" s="4">
        <v>146.9</v>
      </c>
      <c r="W214" s="4">
        <v>145.1</v>
      </c>
      <c r="X214" s="4">
        <v>142.19999999999999</v>
      </c>
      <c r="Y214" s="4">
        <v>142.1</v>
      </c>
      <c r="Z214" s="4">
        <v>125.5</v>
      </c>
      <c r="AA214" s="4">
        <v>136.5</v>
      </c>
      <c r="AB214" s="4">
        <v>147.80000000000001</v>
      </c>
      <c r="AC214" s="4">
        <v>132</v>
      </c>
      <c r="AD214" s="4">
        <v>136.30000000000001</v>
      </c>
      <c r="AE214" s="4">
        <v>140.80000000000001</v>
      </c>
      <c r="AF214" s="4" t="str">
        <f t="shared" si="7"/>
        <v>Pre Covid</v>
      </c>
      <c r="AG214" s="4"/>
    </row>
    <row r="215" spans="1:33">
      <c r="A215" s="6" t="s">
        <v>30</v>
      </c>
      <c r="B215" s="6">
        <v>2018</v>
      </c>
      <c r="C215" s="6" t="s">
        <v>44</v>
      </c>
      <c r="D215" s="6">
        <f t="shared" si="6"/>
        <v>12</v>
      </c>
      <c r="E215" s="6">
        <v>137.1</v>
      </c>
      <c r="F215" s="6">
        <v>151.9</v>
      </c>
      <c r="G215" s="6">
        <v>137.4</v>
      </c>
      <c r="H215" s="6">
        <v>142.4</v>
      </c>
      <c r="I215" s="6">
        <v>124.2</v>
      </c>
      <c r="J215" s="6">
        <v>140.19999999999999</v>
      </c>
      <c r="K215" s="6">
        <v>136.6</v>
      </c>
      <c r="L215" s="6">
        <v>120.9</v>
      </c>
      <c r="M215" s="6">
        <v>109.9</v>
      </c>
      <c r="N215" s="6">
        <v>140.19999999999999</v>
      </c>
      <c r="O215" s="6">
        <v>137.80000000000001</v>
      </c>
      <c r="P215" s="6">
        <v>156</v>
      </c>
      <c r="Q215" s="6">
        <v>138.5</v>
      </c>
      <c r="R215" s="6">
        <v>162.4</v>
      </c>
      <c r="S215" s="6">
        <v>151.6</v>
      </c>
      <c r="T215" s="6">
        <v>145.9</v>
      </c>
      <c r="U215" s="6">
        <v>150.80000000000001</v>
      </c>
      <c r="V215" s="6">
        <v>146.69999999999999</v>
      </c>
      <c r="W215" s="6">
        <v>149</v>
      </c>
      <c r="X215" s="6">
        <v>149.5</v>
      </c>
      <c r="Y215" s="6">
        <v>149.6</v>
      </c>
      <c r="Z215" s="6">
        <v>128.9</v>
      </c>
      <c r="AA215" s="6">
        <v>143.30000000000001</v>
      </c>
      <c r="AB215" s="6">
        <v>155.1</v>
      </c>
      <c r="AC215" s="6">
        <v>133.19999999999999</v>
      </c>
      <c r="AD215" s="6">
        <v>141.6</v>
      </c>
      <c r="AE215" s="6">
        <v>141.9</v>
      </c>
      <c r="AF215" s="6" t="str">
        <f t="shared" si="7"/>
        <v>Pre Covid</v>
      </c>
      <c r="AG215" s="6"/>
    </row>
    <row r="216" spans="1:33">
      <c r="A216" s="4" t="s">
        <v>32</v>
      </c>
      <c r="B216" s="4">
        <v>2018</v>
      </c>
      <c r="C216" s="4" t="s">
        <v>44</v>
      </c>
      <c r="D216" s="4">
        <f t="shared" si="6"/>
        <v>12</v>
      </c>
      <c r="E216" s="4">
        <v>138.5</v>
      </c>
      <c r="F216" s="4">
        <v>147.80000000000001</v>
      </c>
      <c r="G216" s="4">
        <v>141.1</v>
      </c>
      <c r="H216" s="4">
        <v>141.6</v>
      </c>
      <c r="I216" s="4">
        <v>118.1</v>
      </c>
      <c r="J216" s="4">
        <v>138.5</v>
      </c>
      <c r="K216" s="4">
        <v>132.4</v>
      </c>
      <c r="L216" s="4">
        <v>117.5</v>
      </c>
      <c r="M216" s="4">
        <v>111</v>
      </c>
      <c r="N216" s="4">
        <v>141.5</v>
      </c>
      <c r="O216" s="4">
        <v>128.1</v>
      </c>
      <c r="P216" s="4">
        <v>152.9</v>
      </c>
      <c r="Q216" s="4">
        <v>137.6</v>
      </c>
      <c r="R216" s="4">
        <v>164.6</v>
      </c>
      <c r="S216" s="4">
        <v>142.69999999999999</v>
      </c>
      <c r="T216" s="4">
        <v>130.30000000000001</v>
      </c>
      <c r="U216" s="4">
        <v>140.80000000000001</v>
      </c>
      <c r="V216" s="4">
        <v>146.5</v>
      </c>
      <c r="W216" s="4">
        <v>132.4</v>
      </c>
      <c r="X216" s="4">
        <v>136.19999999999999</v>
      </c>
      <c r="Y216" s="4">
        <v>137.30000000000001</v>
      </c>
      <c r="Z216" s="4">
        <v>118.8</v>
      </c>
      <c r="AA216" s="4">
        <v>131.69999999999999</v>
      </c>
      <c r="AB216" s="4">
        <v>146.5</v>
      </c>
      <c r="AC216" s="4">
        <v>130.80000000000001</v>
      </c>
      <c r="AD216" s="4">
        <v>131.69999999999999</v>
      </c>
      <c r="AE216" s="4">
        <v>138</v>
      </c>
      <c r="AF216" s="4" t="str">
        <f t="shared" si="7"/>
        <v>Pre Covid</v>
      </c>
      <c r="AG216" s="4"/>
    </row>
    <row r="217" spans="1:33">
      <c r="A217" s="6" t="s">
        <v>33</v>
      </c>
      <c r="B217" s="6">
        <v>2018</v>
      </c>
      <c r="C217" s="6" t="s">
        <v>44</v>
      </c>
      <c r="D217" s="6">
        <f t="shared" si="6"/>
        <v>12</v>
      </c>
      <c r="E217" s="6">
        <v>137.5</v>
      </c>
      <c r="F217" s="6">
        <v>150.5</v>
      </c>
      <c r="G217" s="6">
        <v>138.80000000000001</v>
      </c>
      <c r="H217" s="6">
        <v>142.1</v>
      </c>
      <c r="I217" s="6">
        <v>122</v>
      </c>
      <c r="J217" s="6">
        <v>139.4</v>
      </c>
      <c r="K217" s="6">
        <v>135.19999999999999</v>
      </c>
      <c r="L217" s="6">
        <v>119.8</v>
      </c>
      <c r="M217" s="6">
        <v>110.3</v>
      </c>
      <c r="N217" s="6">
        <v>140.6</v>
      </c>
      <c r="O217" s="6">
        <v>133.80000000000001</v>
      </c>
      <c r="P217" s="6">
        <v>154.6</v>
      </c>
      <c r="Q217" s="6">
        <v>138.19999999999999</v>
      </c>
      <c r="R217" s="6">
        <v>163</v>
      </c>
      <c r="S217" s="6">
        <v>148.1</v>
      </c>
      <c r="T217" s="6">
        <v>139.4</v>
      </c>
      <c r="U217" s="6">
        <v>146.80000000000001</v>
      </c>
      <c r="V217" s="6">
        <v>146.5</v>
      </c>
      <c r="W217" s="6">
        <v>142.69999999999999</v>
      </c>
      <c r="X217" s="6">
        <v>143.19999999999999</v>
      </c>
      <c r="Y217" s="6">
        <v>144.9</v>
      </c>
      <c r="Z217" s="6">
        <v>123.6</v>
      </c>
      <c r="AA217" s="6">
        <v>136.80000000000001</v>
      </c>
      <c r="AB217" s="6">
        <v>150.1</v>
      </c>
      <c r="AC217" s="6">
        <v>132.19999999999999</v>
      </c>
      <c r="AD217" s="6">
        <v>136.80000000000001</v>
      </c>
      <c r="AE217" s="6">
        <v>140.1</v>
      </c>
      <c r="AF217" s="6" t="str">
        <f t="shared" si="7"/>
        <v>Pre Covid</v>
      </c>
      <c r="AG217" s="6"/>
    </row>
    <row r="218" spans="1:33">
      <c r="A218" s="4" t="s">
        <v>30</v>
      </c>
      <c r="B218" s="4">
        <v>2019</v>
      </c>
      <c r="C218" s="4" t="s">
        <v>31</v>
      </c>
      <c r="D218" s="4">
        <f t="shared" si="6"/>
        <v>1</v>
      </c>
      <c r="E218" s="4">
        <v>136.6</v>
      </c>
      <c r="F218" s="4">
        <v>152.5</v>
      </c>
      <c r="G218" s="4">
        <v>138.19999999999999</v>
      </c>
      <c r="H218" s="4">
        <v>142.4</v>
      </c>
      <c r="I218" s="4">
        <v>123.9</v>
      </c>
      <c r="J218" s="4">
        <v>135.5</v>
      </c>
      <c r="K218" s="4">
        <v>131.69999999999999</v>
      </c>
      <c r="L218" s="4">
        <v>121.3</v>
      </c>
      <c r="M218" s="4">
        <v>108.4</v>
      </c>
      <c r="N218" s="4">
        <v>138.9</v>
      </c>
      <c r="O218" s="4">
        <v>137</v>
      </c>
      <c r="P218" s="4">
        <v>155.80000000000001</v>
      </c>
      <c r="Q218" s="4">
        <v>137.4</v>
      </c>
      <c r="R218" s="4">
        <v>162.69999999999999</v>
      </c>
      <c r="S218" s="4">
        <v>150.6</v>
      </c>
      <c r="T218" s="4">
        <v>145.1</v>
      </c>
      <c r="U218" s="4">
        <v>149.9</v>
      </c>
      <c r="V218" s="4">
        <v>148.1</v>
      </c>
      <c r="W218" s="4">
        <v>146.19999999999999</v>
      </c>
      <c r="X218" s="4">
        <v>150.1</v>
      </c>
      <c r="Y218" s="4">
        <v>149.6</v>
      </c>
      <c r="Z218" s="4">
        <v>128.6</v>
      </c>
      <c r="AA218" s="4">
        <v>142.9</v>
      </c>
      <c r="AB218" s="4">
        <v>155.19999999999999</v>
      </c>
      <c r="AC218" s="4">
        <v>133.5</v>
      </c>
      <c r="AD218" s="4">
        <v>141.69999999999999</v>
      </c>
      <c r="AE218" s="4">
        <v>141</v>
      </c>
      <c r="AF218" s="4" t="str">
        <f t="shared" si="7"/>
        <v>Pre Covid</v>
      </c>
      <c r="AG218" s="4"/>
    </row>
    <row r="219" spans="1:33">
      <c r="A219" s="6" t="s">
        <v>32</v>
      </c>
      <c r="B219" s="6">
        <v>2019</v>
      </c>
      <c r="C219" s="6" t="s">
        <v>31</v>
      </c>
      <c r="D219" s="6">
        <f t="shared" si="6"/>
        <v>1</v>
      </c>
      <c r="E219" s="6">
        <v>138.30000000000001</v>
      </c>
      <c r="F219" s="6">
        <v>149.4</v>
      </c>
      <c r="G219" s="6">
        <v>143.5</v>
      </c>
      <c r="H219" s="6">
        <v>141.69999999999999</v>
      </c>
      <c r="I219" s="6">
        <v>118.1</v>
      </c>
      <c r="J219" s="6">
        <v>135.19999999999999</v>
      </c>
      <c r="K219" s="6">
        <v>130.5</v>
      </c>
      <c r="L219" s="6">
        <v>118.2</v>
      </c>
      <c r="M219" s="6">
        <v>110.4</v>
      </c>
      <c r="N219" s="6">
        <v>140.4</v>
      </c>
      <c r="O219" s="6">
        <v>128.1</v>
      </c>
      <c r="P219" s="6">
        <v>153.19999999999999</v>
      </c>
      <c r="Q219" s="6">
        <v>137.30000000000001</v>
      </c>
      <c r="R219" s="6">
        <v>164.7</v>
      </c>
      <c r="S219" s="6">
        <v>143</v>
      </c>
      <c r="T219" s="6">
        <v>130.4</v>
      </c>
      <c r="U219" s="6">
        <v>141.1</v>
      </c>
      <c r="V219" s="6">
        <v>147.69999999999999</v>
      </c>
      <c r="W219" s="6">
        <v>128.6</v>
      </c>
      <c r="X219" s="6">
        <v>136.30000000000001</v>
      </c>
      <c r="Y219" s="6">
        <v>137.80000000000001</v>
      </c>
      <c r="Z219" s="6">
        <v>118.6</v>
      </c>
      <c r="AA219" s="6">
        <v>131.9</v>
      </c>
      <c r="AB219" s="6">
        <v>146.6</v>
      </c>
      <c r="AC219" s="6">
        <v>131.69999999999999</v>
      </c>
      <c r="AD219" s="6">
        <v>131.80000000000001</v>
      </c>
      <c r="AE219" s="6">
        <v>138</v>
      </c>
      <c r="AF219" s="6" t="str">
        <f t="shared" si="7"/>
        <v>Pre Covid</v>
      </c>
      <c r="AG219" s="6"/>
    </row>
    <row r="220" spans="1:33">
      <c r="A220" s="4" t="s">
        <v>33</v>
      </c>
      <c r="B220" s="4">
        <v>2019</v>
      </c>
      <c r="C220" s="4" t="s">
        <v>31</v>
      </c>
      <c r="D220" s="4">
        <f t="shared" si="6"/>
        <v>1</v>
      </c>
      <c r="E220" s="4">
        <v>137.1</v>
      </c>
      <c r="F220" s="4">
        <v>151.4</v>
      </c>
      <c r="G220" s="4">
        <v>140.19999999999999</v>
      </c>
      <c r="H220" s="4">
        <v>142.1</v>
      </c>
      <c r="I220" s="4">
        <v>121.8</v>
      </c>
      <c r="J220" s="4">
        <v>135.4</v>
      </c>
      <c r="K220" s="4">
        <v>131.30000000000001</v>
      </c>
      <c r="L220" s="4">
        <v>120.3</v>
      </c>
      <c r="M220" s="4">
        <v>109.1</v>
      </c>
      <c r="N220" s="4">
        <v>139.4</v>
      </c>
      <c r="O220" s="4">
        <v>133.30000000000001</v>
      </c>
      <c r="P220" s="4">
        <v>154.6</v>
      </c>
      <c r="Q220" s="4">
        <v>137.4</v>
      </c>
      <c r="R220" s="4">
        <v>163.19999999999999</v>
      </c>
      <c r="S220" s="4">
        <v>147.6</v>
      </c>
      <c r="T220" s="4">
        <v>139</v>
      </c>
      <c r="U220" s="4">
        <v>146.4</v>
      </c>
      <c r="V220" s="4">
        <v>147.69999999999999</v>
      </c>
      <c r="W220" s="4">
        <v>139.5</v>
      </c>
      <c r="X220" s="4">
        <v>143.6</v>
      </c>
      <c r="Y220" s="4">
        <v>145.1</v>
      </c>
      <c r="Z220" s="4">
        <v>123.3</v>
      </c>
      <c r="AA220" s="4">
        <v>136.69999999999999</v>
      </c>
      <c r="AB220" s="4">
        <v>150.19999999999999</v>
      </c>
      <c r="AC220" s="4">
        <v>132.80000000000001</v>
      </c>
      <c r="AD220" s="4">
        <v>136.9</v>
      </c>
      <c r="AE220" s="4">
        <v>139.6</v>
      </c>
      <c r="AF220" s="4" t="str">
        <f t="shared" si="7"/>
        <v>Pre Covid</v>
      </c>
      <c r="AG220" s="4"/>
    </row>
    <row r="221" spans="1:33">
      <c r="A221" s="6" t="s">
        <v>30</v>
      </c>
      <c r="B221" s="6">
        <v>2019</v>
      </c>
      <c r="C221" s="6" t="s">
        <v>34</v>
      </c>
      <c r="D221" s="6">
        <f t="shared" si="6"/>
        <v>2</v>
      </c>
      <c r="E221" s="6">
        <v>136.80000000000001</v>
      </c>
      <c r="F221" s="6">
        <v>153</v>
      </c>
      <c r="G221" s="6">
        <v>139.1</v>
      </c>
      <c r="H221" s="6">
        <v>142.5</v>
      </c>
      <c r="I221" s="6">
        <v>124.1</v>
      </c>
      <c r="J221" s="6">
        <v>135.80000000000001</v>
      </c>
      <c r="K221" s="6">
        <v>128.69999999999999</v>
      </c>
      <c r="L221" s="6">
        <v>121.5</v>
      </c>
      <c r="M221" s="6">
        <v>108.3</v>
      </c>
      <c r="N221" s="6">
        <v>139.19999999999999</v>
      </c>
      <c r="O221" s="6">
        <v>137.4</v>
      </c>
      <c r="P221" s="6">
        <v>156.19999999999999</v>
      </c>
      <c r="Q221" s="6">
        <v>137.19999999999999</v>
      </c>
      <c r="R221" s="6">
        <v>162.80000000000001</v>
      </c>
      <c r="S221" s="6">
        <v>150.5</v>
      </c>
      <c r="T221" s="6">
        <v>146.1</v>
      </c>
      <c r="U221" s="6">
        <v>149.9</v>
      </c>
      <c r="V221" s="6">
        <v>0</v>
      </c>
      <c r="W221" s="6">
        <v>145.30000000000001</v>
      </c>
      <c r="X221" s="6">
        <v>150.1</v>
      </c>
      <c r="Y221" s="6">
        <v>149.9</v>
      </c>
      <c r="Z221" s="6">
        <v>129.19999999999999</v>
      </c>
      <c r="AA221" s="6">
        <v>143.4</v>
      </c>
      <c r="AB221" s="6">
        <v>155.5</v>
      </c>
      <c r="AC221" s="6">
        <v>134.9</v>
      </c>
      <c r="AD221" s="6">
        <v>142.19999999999999</v>
      </c>
      <c r="AE221" s="6">
        <v>141</v>
      </c>
      <c r="AF221" s="6" t="str">
        <f t="shared" si="7"/>
        <v>Pre Covid</v>
      </c>
      <c r="AG221" s="6"/>
    </row>
    <row r="222" spans="1:33">
      <c r="A222" s="4" t="s">
        <v>32</v>
      </c>
      <c r="B222" s="4">
        <v>2019</v>
      </c>
      <c r="C222" s="4" t="s">
        <v>34</v>
      </c>
      <c r="D222" s="4">
        <f t="shared" si="6"/>
        <v>2</v>
      </c>
      <c r="E222" s="4">
        <v>139.4</v>
      </c>
      <c r="F222" s="4">
        <v>150.1</v>
      </c>
      <c r="G222" s="4">
        <v>145.30000000000001</v>
      </c>
      <c r="H222" s="4">
        <v>141.69999999999999</v>
      </c>
      <c r="I222" s="4">
        <v>118.4</v>
      </c>
      <c r="J222" s="4">
        <v>137</v>
      </c>
      <c r="K222" s="4">
        <v>131.6</v>
      </c>
      <c r="L222" s="4">
        <v>119.9</v>
      </c>
      <c r="M222" s="4">
        <v>110.4</v>
      </c>
      <c r="N222" s="4">
        <v>140.80000000000001</v>
      </c>
      <c r="O222" s="4">
        <v>128.30000000000001</v>
      </c>
      <c r="P222" s="4">
        <v>153.5</v>
      </c>
      <c r="Q222" s="4">
        <v>138</v>
      </c>
      <c r="R222" s="4">
        <v>164.9</v>
      </c>
      <c r="S222" s="4">
        <v>143.30000000000001</v>
      </c>
      <c r="T222" s="4">
        <v>130.80000000000001</v>
      </c>
      <c r="U222" s="4">
        <v>141.4</v>
      </c>
      <c r="V222" s="4">
        <v>148.5</v>
      </c>
      <c r="W222" s="4">
        <v>127.1</v>
      </c>
      <c r="X222" s="4">
        <v>136.6</v>
      </c>
      <c r="Y222" s="4">
        <v>138.5</v>
      </c>
      <c r="Z222" s="4">
        <v>119.2</v>
      </c>
      <c r="AA222" s="4">
        <v>132.19999999999999</v>
      </c>
      <c r="AB222" s="4">
        <v>146.6</v>
      </c>
      <c r="AC222" s="4">
        <v>133</v>
      </c>
      <c r="AD222" s="4">
        <v>132.4</v>
      </c>
      <c r="AE222" s="4">
        <v>138.6</v>
      </c>
      <c r="AF222" s="4" t="str">
        <f t="shared" si="7"/>
        <v>Pre Covid</v>
      </c>
      <c r="AG222" s="4"/>
    </row>
    <row r="223" spans="1:33">
      <c r="A223" s="6" t="s">
        <v>33</v>
      </c>
      <c r="B223" s="6">
        <v>2019</v>
      </c>
      <c r="C223" s="6" t="s">
        <v>34</v>
      </c>
      <c r="D223" s="6">
        <f t="shared" si="6"/>
        <v>2</v>
      </c>
      <c r="E223" s="6">
        <v>137.6</v>
      </c>
      <c r="F223" s="6">
        <v>152</v>
      </c>
      <c r="G223" s="6">
        <v>141.5</v>
      </c>
      <c r="H223" s="6">
        <v>142.19999999999999</v>
      </c>
      <c r="I223" s="6">
        <v>122</v>
      </c>
      <c r="J223" s="6">
        <v>136.4</v>
      </c>
      <c r="K223" s="6">
        <v>129.69999999999999</v>
      </c>
      <c r="L223" s="6">
        <v>121</v>
      </c>
      <c r="M223" s="6">
        <v>109</v>
      </c>
      <c r="N223" s="6">
        <v>139.69999999999999</v>
      </c>
      <c r="O223" s="6">
        <v>133.6</v>
      </c>
      <c r="P223" s="6">
        <v>154.9</v>
      </c>
      <c r="Q223" s="6">
        <v>137.5</v>
      </c>
      <c r="R223" s="6">
        <v>163.4</v>
      </c>
      <c r="S223" s="6">
        <v>147.69999999999999</v>
      </c>
      <c r="T223" s="6">
        <v>139.69999999999999</v>
      </c>
      <c r="U223" s="6">
        <v>146.5</v>
      </c>
      <c r="V223" s="6">
        <v>148.5</v>
      </c>
      <c r="W223" s="6">
        <v>138.4</v>
      </c>
      <c r="X223" s="6">
        <v>143.69999999999999</v>
      </c>
      <c r="Y223" s="6">
        <v>145.6</v>
      </c>
      <c r="Z223" s="6">
        <v>123.9</v>
      </c>
      <c r="AA223" s="6">
        <v>137.1</v>
      </c>
      <c r="AB223" s="6">
        <v>150.30000000000001</v>
      </c>
      <c r="AC223" s="6">
        <v>134.1</v>
      </c>
      <c r="AD223" s="6">
        <v>137.4</v>
      </c>
      <c r="AE223" s="6">
        <v>139.9</v>
      </c>
      <c r="AF223" s="6" t="str">
        <f t="shared" si="7"/>
        <v>Pre Covid</v>
      </c>
      <c r="AG223" s="6"/>
    </row>
    <row r="224" spans="1:33">
      <c r="A224" s="4" t="s">
        <v>30</v>
      </c>
      <c r="B224" s="4">
        <v>2019</v>
      </c>
      <c r="C224" s="4" t="s">
        <v>35</v>
      </c>
      <c r="D224" s="4">
        <f t="shared" si="6"/>
        <v>3</v>
      </c>
      <c r="E224" s="4">
        <v>136.9</v>
      </c>
      <c r="F224" s="4">
        <v>154.1</v>
      </c>
      <c r="G224" s="4">
        <v>138.69999999999999</v>
      </c>
      <c r="H224" s="4">
        <v>142.5</v>
      </c>
      <c r="I224" s="4">
        <v>124.1</v>
      </c>
      <c r="J224" s="4">
        <v>136.1</v>
      </c>
      <c r="K224" s="4">
        <v>128.19999999999999</v>
      </c>
      <c r="L224" s="4">
        <v>122.3</v>
      </c>
      <c r="M224" s="4">
        <v>108.3</v>
      </c>
      <c r="N224" s="4">
        <v>138.9</v>
      </c>
      <c r="O224" s="4">
        <v>137.4</v>
      </c>
      <c r="P224" s="4">
        <v>156.4</v>
      </c>
      <c r="Q224" s="4">
        <v>137.30000000000001</v>
      </c>
      <c r="R224" s="4">
        <v>162.9</v>
      </c>
      <c r="S224" s="4">
        <v>150.80000000000001</v>
      </c>
      <c r="T224" s="4">
        <v>146.1</v>
      </c>
      <c r="U224" s="4">
        <v>150.1</v>
      </c>
      <c r="V224" s="4">
        <v>149.55000000000001</v>
      </c>
      <c r="W224" s="4">
        <v>146.4</v>
      </c>
      <c r="X224" s="4">
        <v>150</v>
      </c>
      <c r="Y224" s="4">
        <v>150.4</v>
      </c>
      <c r="Z224" s="4">
        <v>129.9</v>
      </c>
      <c r="AA224" s="4">
        <v>143.80000000000001</v>
      </c>
      <c r="AB224" s="4">
        <v>155.5</v>
      </c>
      <c r="AC224" s="4">
        <v>134</v>
      </c>
      <c r="AD224" s="4">
        <v>142.4</v>
      </c>
      <c r="AE224" s="4">
        <v>141.19999999999999</v>
      </c>
      <c r="AF224" s="4" t="str">
        <f t="shared" si="7"/>
        <v>Pre Covid</v>
      </c>
      <c r="AG224" s="4"/>
    </row>
    <row r="225" spans="1:33">
      <c r="A225" s="6" t="s">
        <v>32</v>
      </c>
      <c r="B225" s="6">
        <v>2019</v>
      </c>
      <c r="C225" s="6" t="s">
        <v>35</v>
      </c>
      <c r="D225" s="6">
        <f t="shared" si="6"/>
        <v>3</v>
      </c>
      <c r="E225" s="6">
        <v>139.69999999999999</v>
      </c>
      <c r="F225" s="6">
        <v>151.1</v>
      </c>
      <c r="G225" s="6">
        <v>142.9</v>
      </c>
      <c r="H225" s="6">
        <v>141.9</v>
      </c>
      <c r="I225" s="6">
        <v>118.4</v>
      </c>
      <c r="J225" s="6">
        <v>139.4</v>
      </c>
      <c r="K225" s="6">
        <v>141.19999999999999</v>
      </c>
      <c r="L225" s="6">
        <v>120.7</v>
      </c>
      <c r="M225" s="6">
        <v>110.4</v>
      </c>
      <c r="N225" s="6">
        <v>140.69999999999999</v>
      </c>
      <c r="O225" s="6">
        <v>128.5</v>
      </c>
      <c r="P225" s="6">
        <v>153.9</v>
      </c>
      <c r="Q225" s="6">
        <v>139.6</v>
      </c>
      <c r="R225" s="6">
        <v>165.3</v>
      </c>
      <c r="S225" s="6">
        <v>143.5</v>
      </c>
      <c r="T225" s="6">
        <v>131.19999999999999</v>
      </c>
      <c r="U225" s="6">
        <v>141.6</v>
      </c>
      <c r="V225" s="6">
        <v>149</v>
      </c>
      <c r="W225" s="6">
        <v>128.80000000000001</v>
      </c>
      <c r="X225" s="6">
        <v>136.80000000000001</v>
      </c>
      <c r="Y225" s="6">
        <v>139.19999999999999</v>
      </c>
      <c r="Z225" s="6">
        <v>119.9</v>
      </c>
      <c r="AA225" s="6">
        <v>133</v>
      </c>
      <c r="AB225" s="6">
        <v>146.69999999999999</v>
      </c>
      <c r="AC225" s="6">
        <v>132.5</v>
      </c>
      <c r="AD225" s="6">
        <v>132.80000000000001</v>
      </c>
      <c r="AE225" s="6">
        <v>139.5</v>
      </c>
      <c r="AF225" s="6" t="str">
        <f t="shared" si="7"/>
        <v>Pre Covid</v>
      </c>
      <c r="AG225" s="6"/>
    </row>
    <row r="226" spans="1:33">
      <c r="A226" s="4" t="s">
        <v>33</v>
      </c>
      <c r="B226" s="4">
        <v>2019</v>
      </c>
      <c r="C226" s="4" t="s">
        <v>35</v>
      </c>
      <c r="D226" s="4">
        <f t="shared" si="6"/>
        <v>3</v>
      </c>
      <c r="E226" s="4">
        <v>137.80000000000001</v>
      </c>
      <c r="F226" s="4">
        <v>153</v>
      </c>
      <c r="G226" s="4">
        <v>140.30000000000001</v>
      </c>
      <c r="H226" s="4">
        <v>142.30000000000001</v>
      </c>
      <c r="I226" s="4">
        <v>122</v>
      </c>
      <c r="J226" s="4">
        <v>137.6</v>
      </c>
      <c r="K226" s="4">
        <v>132.6</v>
      </c>
      <c r="L226" s="4">
        <v>121.8</v>
      </c>
      <c r="M226" s="4">
        <v>109</v>
      </c>
      <c r="N226" s="4">
        <v>139.5</v>
      </c>
      <c r="O226" s="4">
        <v>133.69999999999999</v>
      </c>
      <c r="P226" s="4">
        <v>155.19999999999999</v>
      </c>
      <c r="Q226" s="4">
        <v>138.1</v>
      </c>
      <c r="R226" s="4">
        <v>163.5</v>
      </c>
      <c r="S226" s="4">
        <v>147.9</v>
      </c>
      <c r="T226" s="4">
        <v>139.9</v>
      </c>
      <c r="U226" s="4">
        <v>146.69999999999999</v>
      </c>
      <c r="V226" s="4">
        <v>149</v>
      </c>
      <c r="W226" s="4">
        <v>139.69999999999999</v>
      </c>
      <c r="X226" s="4">
        <v>143.80000000000001</v>
      </c>
      <c r="Y226" s="4">
        <v>146.19999999999999</v>
      </c>
      <c r="Z226" s="4">
        <v>124.6</v>
      </c>
      <c r="AA226" s="4">
        <v>137.69999999999999</v>
      </c>
      <c r="AB226" s="4">
        <v>150.30000000000001</v>
      </c>
      <c r="AC226" s="4">
        <v>133.4</v>
      </c>
      <c r="AD226" s="4">
        <v>137.69999999999999</v>
      </c>
      <c r="AE226" s="4">
        <v>140.4</v>
      </c>
      <c r="AF226" s="4" t="str">
        <f t="shared" si="7"/>
        <v>Pre Covid</v>
      </c>
      <c r="AG226" s="4"/>
    </row>
    <row r="227" spans="1:33">
      <c r="A227" s="6" t="s">
        <v>30</v>
      </c>
      <c r="B227" s="6">
        <v>2019</v>
      </c>
      <c r="C227" s="6" t="s">
        <v>37</v>
      </c>
      <c r="D227" s="6">
        <f t="shared" si="6"/>
        <v>5</v>
      </c>
      <c r="E227" s="6">
        <v>137.4</v>
      </c>
      <c r="F227" s="6">
        <v>159.5</v>
      </c>
      <c r="G227" s="6">
        <v>134.5</v>
      </c>
      <c r="H227" s="6">
        <v>142.6</v>
      </c>
      <c r="I227" s="6">
        <v>124</v>
      </c>
      <c r="J227" s="6">
        <v>143.69999999999999</v>
      </c>
      <c r="K227" s="6">
        <v>133.4</v>
      </c>
      <c r="L227" s="6">
        <v>125.1</v>
      </c>
      <c r="M227" s="6">
        <v>109.3</v>
      </c>
      <c r="N227" s="6">
        <v>139.30000000000001</v>
      </c>
      <c r="O227" s="6">
        <v>137.69999999999999</v>
      </c>
      <c r="P227" s="6">
        <v>156.4</v>
      </c>
      <c r="Q227" s="6">
        <v>139.19999999999999</v>
      </c>
      <c r="R227" s="6">
        <v>163.30000000000001</v>
      </c>
      <c r="S227" s="6">
        <v>151.30000000000001</v>
      </c>
      <c r="T227" s="6">
        <v>146.6</v>
      </c>
      <c r="U227" s="6">
        <v>150.69999999999999</v>
      </c>
      <c r="V227" s="6">
        <v>0</v>
      </c>
      <c r="W227" s="6">
        <v>146.9</v>
      </c>
      <c r="X227" s="6">
        <v>149.5</v>
      </c>
      <c r="Y227" s="6">
        <v>151.30000000000001</v>
      </c>
      <c r="Z227" s="6">
        <v>130.19999999999999</v>
      </c>
      <c r="AA227" s="6">
        <v>145.9</v>
      </c>
      <c r="AB227" s="6">
        <v>156.69999999999999</v>
      </c>
      <c r="AC227" s="6">
        <v>133.9</v>
      </c>
      <c r="AD227" s="6">
        <v>142.9</v>
      </c>
      <c r="AE227" s="6">
        <v>142.4</v>
      </c>
      <c r="AF227" s="6" t="str">
        <f t="shared" si="7"/>
        <v>Pre Covid</v>
      </c>
      <c r="AG227" s="6"/>
    </row>
    <row r="228" spans="1:33">
      <c r="A228" s="4" t="s">
        <v>32</v>
      </c>
      <c r="B228" s="4">
        <v>2019</v>
      </c>
      <c r="C228" s="4" t="s">
        <v>37</v>
      </c>
      <c r="D228" s="4">
        <f t="shared" si="6"/>
        <v>5</v>
      </c>
      <c r="E228" s="4">
        <v>140.4</v>
      </c>
      <c r="F228" s="4">
        <v>156.69999999999999</v>
      </c>
      <c r="G228" s="4">
        <v>138.30000000000001</v>
      </c>
      <c r="H228" s="4">
        <v>142.4</v>
      </c>
      <c r="I228" s="4">
        <v>118.6</v>
      </c>
      <c r="J228" s="4">
        <v>149.69999999999999</v>
      </c>
      <c r="K228" s="4">
        <v>161.6</v>
      </c>
      <c r="L228" s="4">
        <v>124.4</v>
      </c>
      <c r="M228" s="4">
        <v>111.2</v>
      </c>
      <c r="N228" s="4">
        <v>141</v>
      </c>
      <c r="O228" s="4">
        <v>128.9</v>
      </c>
      <c r="P228" s="4">
        <v>154.5</v>
      </c>
      <c r="Q228" s="4">
        <v>143.80000000000001</v>
      </c>
      <c r="R228" s="4">
        <v>166.2</v>
      </c>
      <c r="S228" s="4">
        <v>144</v>
      </c>
      <c r="T228" s="4">
        <v>131.69999999999999</v>
      </c>
      <c r="U228" s="4">
        <v>142.19999999999999</v>
      </c>
      <c r="V228" s="4">
        <v>150.1</v>
      </c>
      <c r="W228" s="4">
        <v>129.4</v>
      </c>
      <c r="X228" s="4">
        <v>137.19999999999999</v>
      </c>
      <c r="Y228" s="4">
        <v>139.80000000000001</v>
      </c>
      <c r="Z228" s="4">
        <v>120.1</v>
      </c>
      <c r="AA228" s="4">
        <v>134</v>
      </c>
      <c r="AB228" s="4">
        <v>148</v>
      </c>
      <c r="AC228" s="4">
        <v>132.6</v>
      </c>
      <c r="AD228" s="4">
        <v>133.30000000000001</v>
      </c>
      <c r="AE228" s="4">
        <v>141.5</v>
      </c>
      <c r="AF228" s="4" t="str">
        <f t="shared" si="7"/>
        <v>Pre Covid</v>
      </c>
      <c r="AG228" s="4"/>
    </row>
    <row r="229" spans="1:33">
      <c r="A229" s="6" t="s">
        <v>33</v>
      </c>
      <c r="B229" s="6">
        <v>2019</v>
      </c>
      <c r="C229" s="6" t="s">
        <v>37</v>
      </c>
      <c r="D229" s="6">
        <f t="shared" si="6"/>
        <v>5</v>
      </c>
      <c r="E229" s="6">
        <v>138.30000000000001</v>
      </c>
      <c r="F229" s="6">
        <v>158.5</v>
      </c>
      <c r="G229" s="6">
        <v>136</v>
      </c>
      <c r="H229" s="6">
        <v>142.5</v>
      </c>
      <c r="I229" s="6">
        <v>122</v>
      </c>
      <c r="J229" s="6">
        <v>146.5</v>
      </c>
      <c r="K229" s="6">
        <v>143</v>
      </c>
      <c r="L229" s="6">
        <v>124.9</v>
      </c>
      <c r="M229" s="6">
        <v>109.9</v>
      </c>
      <c r="N229" s="6">
        <v>139.9</v>
      </c>
      <c r="O229" s="6">
        <v>134</v>
      </c>
      <c r="P229" s="6">
        <v>155.5</v>
      </c>
      <c r="Q229" s="6">
        <v>140.9</v>
      </c>
      <c r="R229" s="6">
        <v>164.1</v>
      </c>
      <c r="S229" s="6">
        <v>148.4</v>
      </c>
      <c r="T229" s="6">
        <v>140.4</v>
      </c>
      <c r="U229" s="6">
        <v>147.30000000000001</v>
      </c>
      <c r="V229" s="6">
        <v>150.1</v>
      </c>
      <c r="W229" s="6">
        <v>140.30000000000001</v>
      </c>
      <c r="X229" s="6">
        <v>143.69999999999999</v>
      </c>
      <c r="Y229" s="6">
        <v>146.9</v>
      </c>
      <c r="Z229" s="6">
        <v>124.9</v>
      </c>
      <c r="AA229" s="6">
        <v>139.19999999999999</v>
      </c>
      <c r="AB229" s="6">
        <v>151.6</v>
      </c>
      <c r="AC229" s="6">
        <v>133.4</v>
      </c>
      <c r="AD229" s="6">
        <v>138.19999999999999</v>
      </c>
      <c r="AE229" s="6">
        <v>142</v>
      </c>
      <c r="AF229" s="6" t="str">
        <f t="shared" si="7"/>
        <v>Pre Covid</v>
      </c>
      <c r="AG229" s="6"/>
    </row>
    <row r="230" spans="1:33">
      <c r="A230" s="4" t="s">
        <v>30</v>
      </c>
      <c r="B230" s="4">
        <v>2019</v>
      </c>
      <c r="C230" s="4" t="s">
        <v>38</v>
      </c>
      <c r="D230" s="4">
        <f t="shared" si="6"/>
        <v>6</v>
      </c>
      <c r="E230" s="4">
        <v>137.80000000000001</v>
      </c>
      <c r="F230" s="4">
        <v>163.5</v>
      </c>
      <c r="G230" s="4">
        <v>136.19999999999999</v>
      </c>
      <c r="H230" s="4">
        <v>143.19999999999999</v>
      </c>
      <c r="I230" s="4">
        <v>124.3</v>
      </c>
      <c r="J230" s="4">
        <v>143.30000000000001</v>
      </c>
      <c r="K230" s="4">
        <v>140.6</v>
      </c>
      <c r="L230" s="4">
        <v>128.69999999999999</v>
      </c>
      <c r="M230" s="4">
        <v>110.6</v>
      </c>
      <c r="N230" s="4">
        <v>140.4</v>
      </c>
      <c r="O230" s="4">
        <v>138</v>
      </c>
      <c r="P230" s="4">
        <v>156.6</v>
      </c>
      <c r="Q230" s="4">
        <v>141</v>
      </c>
      <c r="R230" s="4">
        <v>164.2</v>
      </c>
      <c r="S230" s="4">
        <v>151.4</v>
      </c>
      <c r="T230" s="4">
        <v>146.5</v>
      </c>
      <c r="U230" s="4">
        <v>150.69999999999999</v>
      </c>
      <c r="V230" s="4">
        <v>150</v>
      </c>
      <c r="W230" s="4">
        <v>147.80000000000001</v>
      </c>
      <c r="X230" s="4">
        <v>149.6</v>
      </c>
      <c r="Y230" s="4">
        <v>151.69999999999999</v>
      </c>
      <c r="Z230" s="4">
        <v>130.19999999999999</v>
      </c>
      <c r="AA230" s="4">
        <v>146.4</v>
      </c>
      <c r="AB230" s="4">
        <v>157.69999999999999</v>
      </c>
      <c r="AC230" s="4">
        <v>134.80000000000001</v>
      </c>
      <c r="AD230" s="4">
        <v>143.30000000000001</v>
      </c>
      <c r="AE230" s="4">
        <v>143.6</v>
      </c>
      <c r="AF230" s="4" t="str">
        <f t="shared" si="7"/>
        <v>Pre Covid</v>
      </c>
      <c r="AG230" s="4"/>
    </row>
    <row r="231" spans="1:33">
      <c r="A231" s="6" t="s">
        <v>32</v>
      </c>
      <c r="B231" s="6">
        <v>2019</v>
      </c>
      <c r="C231" s="6" t="s">
        <v>38</v>
      </c>
      <c r="D231" s="6">
        <f t="shared" si="6"/>
        <v>6</v>
      </c>
      <c r="E231" s="6">
        <v>140.69999999999999</v>
      </c>
      <c r="F231" s="6">
        <v>159.6</v>
      </c>
      <c r="G231" s="6">
        <v>140.4</v>
      </c>
      <c r="H231" s="6">
        <v>143.4</v>
      </c>
      <c r="I231" s="6">
        <v>118.6</v>
      </c>
      <c r="J231" s="6">
        <v>150.9</v>
      </c>
      <c r="K231" s="6">
        <v>169.8</v>
      </c>
      <c r="L231" s="6">
        <v>127.4</v>
      </c>
      <c r="M231" s="6">
        <v>111.8</v>
      </c>
      <c r="N231" s="6">
        <v>141</v>
      </c>
      <c r="O231" s="6">
        <v>129</v>
      </c>
      <c r="P231" s="6">
        <v>155.1</v>
      </c>
      <c r="Q231" s="6">
        <v>145.6</v>
      </c>
      <c r="R231" s="6">
        <v>166.7</v>
      </c>
      <c r="S231" s="6">
        <v>144.30000000000001</v>
      </c>
      <c r="T231" s="6">
        <v>131.69999999999999</v>
      </c>
      <c r="U231" s="6">
        <v>142.4</v>
      </c>
      <c r="V231" s="6">
        <v>149.4</v>
      </c>
      <c r="W231" s="6">
        <v>130.5</v>
      </c>
      <c r="X231" s="6">
        <v>137.4</v>
      </c>
      <c r="Y231" s="6">
        <v>140.30000000000001</v>
      </c>
      <c r="Z231" s="6">
        <v>119.6</v>
      </c>
      <c r="AA231" s="6">
        <v>134.30000000000001</v>
      </c>
      <c r="AB231" s="6">
        <v>148.9</v>
      </c>
      <c r="AC231" s="6">
        <v>133.69999999999999</v>
      </c>
      <c r="AD231" s="6">
        <v>133.6</v>
      </c>
      <c r="AE231" s="6">
        <v>142.1</v>
      </c>
      <c r="AF231" s="6" t="str">
        <f t="shared" si="7"/>
        <v>Pre Covid</v>
      </c>
      <c r="AG231" s="6"/>
    </row>
    <row r="232" spans="1:33">
      <c r="A232" s="4" t="s">
        <v>33</v>
      </c>
      <c r="B232" s="4">
        <v>2019</v>
      </c>
      <c r="C232" s="4" t="s">
        <v>38</v>
      </c>
      <c r="D232" s="4">
        <f t="shared" si="6"/>
        <v>6</v>
      </c>
      <c r="E232" s="4">
        <v>138.69999999999999</v>
      </c>
      <c r="F232" s="4">
        <v>162.1</v>
      </c>
      <c r="G232" s="4">
        <v>137.80000000000001</v>
      </c>
      <c r="H232" s="4">
        <v>143.30000000000001</v>
      </c>
      <c r="I232" s="4">
        <v>122.2</v>
      </c>
      <c r="J232" s="4">
        <v>146.80000000000001</v>
      </c>
      <c r="K232" s="4">
        <v>150.5</v>
      </c>
      <c r="L232" s="4">
        <v>128.30000000000001</v>
      </c>
      <c r="M232" s="4">
        <v>111</v>
      </c>
      <c r="N232" s="4">
        <v>140.6</v>
      </c>
      <c r="O232" s="4">
        <v>134.19999999999999</v>
      </c>
      <c r="P232" s="4">
        <v>155.9</v>
      </c>
      <c r="Q232" s="4">
        <v>142.69999999999999</v>
      </c>
      <c r="R232" s="4">
        <v>164.9</v>
      </c>
      <c r="S232" s="4">
        <v>148.6</v>
      </c>
      <c r="T232" s="4">
        <v>140.4</v>
      </c>
      <c r="U232" s="4">
        <v>147.4</v>
      </c>
      <c r="V232" s="4">
        <v>149.4</v>
      </c>
      <c r="W232" s="4">
        <v>141.19999999999999</v>
      </c>
      <c r="X232" s="4">
        <v>143.80000000000001</v>
      </c>
      <c r="Y232" s="4">
        <v>147.4</v>
      </c>
      <c r="Z232" s="4">
        <v>124.6</v>
      </c>
      <c r="AA232" s="4">
        <v>139.6</v>
      </c>
      <c r="AB232" s="4">
        <v>152.5</v>
      </c>
      <c r="AC232" s="4">
        <v>134.30000000000001</v>
      </c>
      <c r="AD232" s="4">
        <v>138.6</v>
      </c>
      <c r="AE232" s="4">
        <v>142.9</v>
      </c>
      <c r="AF232" s="4" t="str">
        <f t="shared" si="7"/>
        <v>Pre Covid</v>
      </c>
      <c r="AG232" s="4"/>
    </row>
    <row r="233" spans="1:33">
      <c r="A233" s="6" t="s">
        <v>30</v>
      </c>
      <c r="B233" s="6">
        <v>2019</v>
      </c>
      <c r="C233" s="6" t="s">
        <v>39</v>
      </c>
      <c r="D233" s="6">
        <f t="shared" si="6"/>
        <v>7</v>
      </c>
      <c r="E233" s="6">
        <v>138.4</v>
      </c>
      <c r="F233" s="6">
        <v>164</v>
      </c>
      <c r="G233" s="6">
        <v>138.4</v>
      </c>
      <c r="H233" s="6">
        <v>143.9</v>
      </c>
      <c r="I233" s="6">
        <v>124.4</v>
      </c>
      <c r="J233" s="6">
        <v>146.4</v>
      </c>
      <c r="K233" s="6">
        <v>150.1</v>
      </c>
      <c r="L233" s="6">
        <v>130.6</v>
      </c>
      <c r="M233" s="6">
        <v>110.8</v>
      </c>
      <c r="N233" s="6">
        <v>141.69999999999999</v>
      </c>
      <c r="O233" s="6">
        <v>138.5</v>
      </c>
      <c r="P233" s="6">
        <v>156.69999999999999</v>
      </c>
      <c r="Q233" s="6">
        <v>143</v>
      </c>
      <c r="R233" s="6">
        <v>164.5</v>
      </c>
      <c r="S233" s="6">
        <v>151.6</v>
      </c>
      <c r="T233" s="6">
        <v>146.6</v>
      </c>
      <c r="U233" s="6">
        <v>150.9</v>
      </c>
      <c r="V233" s="6">
        <v>0</v>
      </c>
      <c r="W233" s="6">
        <v>146.80000000000001</v>
      </c>
      <c r="X233" s="6">
        <v>150</v>
      </c>
      <c r="Y233" s="6">
        <v>152.19999999999999</v>
      </c>
      <c r="Z233" s="6">
        <v>131.19999999999999</v>
      </c>
      <c r="AA233" s="6">
        <v>147.5</v>
      </c>
      <c r="AB233" s="6">
        <v>159.1</v>
      </c>
      <c r="AC233" s="6">
        <v>136.1</v>
      </c>
      <c r="AD233" s="6">
        <v>144.19999999999999</v>
      </c>
      <c r="AE233" s="6">
        <v>144.9</v>
      </c>
      <c r="AF233" s="6" t="str">
        <f t="shared" si="7"/>
        <v>Pre Covid</v>
      </c>
      <c r="AG233" s="6"/>
    </row>
    <row r="234" spans="1:33">
      <c r="A234" s="4" t="s">
        <v>32</v>
      </c>
      <c r="B234" s="4">
        <v>2019</v>
      </c>
      <c r="C234" s="4" t="s">
        <v>39</v>
      </c>
      <c r="D234" s="4">
        <f t="shared" si="6"/>
        <v>7</v>
      </c>
      <c r="E234" s="4">
        <v>141.4</v>
      </c>
      <c r="F234" s="4">
        <v>160.19999999999999</v>
      </c>
      <c r="G234" s="4">
        <v>142.5</v>
      </c>
      <c r="H234" s="4">
        <v>144.1</v>
      </c>
      <c r="I234" s="4">
        <v>119.3</v>
      </c>
      <c r="J234" s="4">
        <v>154.69999999999999</v>
      </c>
      <c r="K234" s="4">
        <v>180.1</v>
      </c>
      <c r="L234" s="4">
        <v>128.9</v>
      </c>
      <c r="M234" s="4">
        <v>111.8</v>
      </c>
      <c r="N234" s="4">
        <v>141.6</v>
      </c>
      <c r="O234" s="4">
        <v>129.5</v>
      </c>
      <c r="P234" s="4">
        <v>155.6</v>
      </c>
      <c r="Q234" s="4">
        <v>147.69999999999999</v>
      </c>
      <c r="R234" s="4">
        <v>167.2</v>
      </c>
      <c r="S234" s="4">
        <v>144.69999999999999</v>
      </c>
      <c r="T234" s="4">
        <v>131.9</v>
      </c>
      <c r="U234" s="4">
        <v>142.69999999999999</v>
      </c>
      <c r="V234" s="4">
        <v>150.6</v>
      </c>
      <c r="W234" s="4">
        <v>127</v>
      </c>
      <c r="X234" s="4">
        <v>137.69999999999999</v>
      </c>
      <c r="Y234" s="4">
        <v>140.80000000000001</v>
      </c>
      <c r="Z234" s="4">
        <v>120.6</v>
      </c>
      <c r="AA234" s="4">
        <v>135</v>
      </c>
      <c r="AB234" s="4">
        <v>150.4</v>
      </c>
      <c r="AC234" s="4">
        <v>135.1</v>
      </c>
      <c r="AD234" s="4">
        <v>134.5</v>
      </c>
      <c r="AE234" s="4">
        <v>143.30000000000001</v>
      </c>
      <c r="AF234" s="4" t="str">
        <f t="shared" si="7"/>
        <v>Pre Covid</v>
      </c>
      <c r="AG234" s="4"/>
    </row>
    <row r="235" spans="1:33">
      <c r="A235" s="6" t="s">
        <v>33</v>
      </c>
      <c r="B235" s="6">
        <v>2019</v>
      </c>
      <c r="C235" s="6" t="s">
        <v>39</v>
      </c>
      <c r="D235" s="6">
        <f t="shared" si="6"/>
        <v>7</v>
      </c>
      <c r="E235" s="6">
        <v>139.30000000000001</v>
      </c>
      <c r="F235" s="6">
        <v>162.69999999999999</v>
      </c>
      <c r="G235" s="6">
        <v>140</v>
      </c>
      <c r="H235" s="6">
        <v>144</v>
      </c>
      <c r="I235" s="6">
        <v>122.5</v>
      </c>
      <c r="J235" s="6">
        <v>150.30000000000001</v>
      </c>
      <c r="K235" s="6">
        <v>160.30000000000001</v>
      </c>
      <c r="L235" s="6">
        <v>130</v>
      </c>
      <c r="M235" s="6">
        <v>111.1</v>
      </c>
      <c r="N235" s="6">
        <v>141.69999999999999</v>
      </c>
      <c r="O235" s="6">
        <v>134.69999999999999</v>
      </c>
      <c r="P235" s="6">
        <v>156.19999999999999</v>
      </c>
      <c r="Q235" s="6">
        <v>144.69999999999999</v>
      </c>
      <c r="R235" s="6">
        <v>165.2</v>
      </c>
      <c r="S235" s="6">
        <v>148.9</v>
      </c>
      <c r="T235" s="6">
        <v>140.5</v>
      </c>
      <c r="U235" s="6">
        <v>147.6</v>
      </c>
      <c r="V235" s="6">
        <v>150.6</v>
      </c>
      <c r="W235" s="6">
        <v>139.30000000000001</v>
      </c>
      <c r="X235" s="6">
        <v>144.19999999999999</v>
      </c>
      <c r="Y235" s="6">
        <v>147.9</v>
      </c>
      <c r="Z235" s="6">
        <v>125.6</v>
      </c>
      <c r="AA235" s="6">
        <v>140.5</v>
      </c>
      <c r="AB235" s="6">
        <v>154</v>
      </c>
      <c r="AC235" s="6">
        <v>135.69999999999999</v>
      </c>
      <c r="AD235" s="6">
        <v>139.5</v>
      </c>
      <c r="AE235" s="6">
        <v>144.19999999999999</v>
      </c>
      <c r="AF235" s="6" t="str">
        <f t="shared" si="7"/>
        <v>Pre Covid</v>
      </c>
      <c r="AG235" s="6"/>
    </row>
    <row r="236" spans="1:33">
      <c r="A236" s="4" t="s">
        <v>30</v>
      </c>
      <c r="B236" s="4">
        <v>2019</v>
      </c>
      <c r="C236" s="4" t="s">
        <v>40</v>
      </c>
      <c r="D236" s="4">
        <f t="shared" si="6"/>
        <v>8</v>
      </c>
      <c r="E236" s="4">
        <v>139.19999999999999</v>
      </c>
      <c r="F236" s="4">
        <v>161.9</v>
      </c>
      <c r="G236" s="4">
        <v>137.1</v>
      </c>
      <c r="H236" s="4">
        <v>144.6</v>
      </c>
      <c r="I236" s="4">
        <v>124.7</v>
      </c>
      <c r="J236" s="4">
        <v>145.5</v>
      </c>
      <c r="K236" s="4">
        <v>156.19999999999999</v>
      </c>
      <c r="L236" s="4">
        <v>131.5</v>
      </c>
      <c r="M236" s="4">
        <v>111.7</v>
      </c>
      <c r="N236" s="4">
        <v>142.69999999999999</v>
      </c>
      <c r="O236" s="4">
        <v>138.5</v>
      </c>
      <c r="P236" s="4">
        <v>156.9</v>
      </c>
      <c r="Q236" s="4">
        <v>144</v>
      </c>
      <c r="R236" s="4">
        <v>165.1</v>
      </c>
      <c r="S236" s="4">
        <v>151.80000000000001</v>
      </c>
      <c r="T236" s="4">
        <v>146.6</v>
      </c>
      <c r="U236" s="4">
        <v>151.1</v>
      </c>
      <c r="V236" s="4">
        <v>151.89999999999998</v>
      </c>
      <c r="W236" s="4">
        <v>146.4</v>
      </c>
      <c r="X236" s="4">
        <v>150.19999999999999</v>
      </c>
      <c r="Y236" s="4">
        <v>152.69999999999999</v>
      </c>
      <c r="Z236" s="4">
        <v>131.4</v>
      </c>
      <c r="AA236" s="4">
        <v>148</v>
      </c>
      <c r="AB236" s="4">
        <v>159.69999999999999</v>
      </c>
      <c r="AC236" s="4">
        <v>138.80000000000001</v>
      </c>
      <c r="AD236" s="4">
        <v>144.9</v>
      </c>
      <c r="AE236" s="4">
        <v>145.69999999999999</v>
      </c>
      <c r="AF236" s="4" t="str">
        <f t="shared" si="7"/>
        <v>Pre Covid</v>
      </c>
      <c r="AG236" s="4"/>
    </row>
    <row r="237" spans="1:33">
      <c r="A237" s="6" t="s">
        <v>32</v>
      </c>
      <c r="B237" s="6">
        <v>2019</v>
      </c>
      <c r="C237" s="6" t="s">
        <v>40</v>
      </c>
      <c r="D237" s="6">
        <f t="shared" si="6"/>
        <v>8</v>
      </c>
      <c r="E237" s="6">
        <v>142.1</v>
      </c>
      <c r="F237" s="6">
        <v>158.30000000000001</v>
      </c>
      <c r="G237" s="6">
        <v>140.80000000000001</v>
      </c>
      <c r="H237" s="6">
        <v>144.9</v>
      </c>
      <c r="I237" s="6">
        <v>119.9</v>
      </c>
      <c r="J237" s="6">
        <v>153.9</v>
      </c>
      <c r="K237" s="6">
        <v>189.1</v>
      </c>
      <c r="L237" s="6">
        <v>129.80000000000001</v>
      </c>
      <c r="M237" s="6">
        <v>112.7</v>
      </c>
      <c r="N237" s="6">
        <v>142.5</v>
      </c>
      <c r="O237" s="6">
        <v>129.80000000000001</v>
      </c>
      <c r="P237" s="6">
        <v>156.19999999999999</v>
      </c>
      <c r="Q237" s="6">
        <v>149.1</v>
      </c>
      <c r="R237" s="6">
        <v>167.9</v>
      </c>
      <c r="S237" s="6">
        <v>145</v>
      </c>
      <c r="T237" s="6">
        <v>132.19999999999999</v>
      </c>
      <c r="U237" s="6">
        <v>143</v>
      </c>
      <c r="V237" s="6">
        <v>151.6</v>
      </c>
      <c r="W237" s="6">
        <v>125.5</v>
      </c>
      <c r="X237" s="6">
        <v>138.1</v>
      </c>
      <c r="Y237" s="6">
        <v>141.5</v>
      </c>
      <c r="Z237" s="6">
        <v>120.8</v>
      </c>
      <c r="AA237" s="6">
        <v>135.4</v>
      </c>
      <c r="AB237" s="6">
        <v>151.5</v>
      </c>
      <c r="AC237" s="6">
        <v>137.80000000000001</v>
      </c>
      <c r="AD237" s="6">
        <v>135.30000000000001</v>
      </c>
      <c r="AE237" s="6">
        <v>144.19999999999999</v>
      </c>
      <c r="AF237" s="6" t="str">
        <f t="shared" si="7"/>
        <v>Pre Covid</v>
      </c>
      <c r="AG237" s="6"/>
    </row>
    <row r="238" spans="1:33">
      <c r="A238" s="4" t="s">
        <v>33</v>
      </c>
      <c r="B238" s="4">
        <v>2019</v>
      </c>
      <c r="C238" s="4" t="s">
        <v>40</v>
      </c>
      <c r="D238" s="4">
        <f t="shared" si="6"/>
        <v>8</v>
      </c>
      <c r="E238" s="4">
        <v>140.1</v>
      </c>
      <c r="F238" s="4">
        <v>160.6</v>
      </c>
      <c r="G238" s="4">
        <v>138.5</v>
      </c>
      <c r="H238" s="4">
        <v>144.69999999999999</v>
      </c>
      <c r="I238" s="4">
        <v>122.9</v>
      </c>
      <c r="J238" s="4">
        <v>149.4</v>
      </c>
      <c r="K238" s="4">
        <v>167.4</v>
      </c>
      <c r="L238" s="4">
        <v>130.9</v>
      </c>
      <c r="M238" s="4">
        <v>112</v>
      </c>
      <c r="N238" s="4">
        <v>142.6</v>
      </c>
      <c r="O238" s="4">
        <v>134.9</v>
      </c>
      <c r="P238" s="4">
        <v>156.6</v>
      </c>
      <c r="Q238" s="4">
        <v>145.9</v>
      </c>
      <c r="R238" s="4">
        <v>165.8</v>
      </c>
      <c r="S238" s="4">
        <v>149.1</v>
      </c>
      <c r="T238" s="4">
        <v>140.6</v>
      </c>
      <c r="U238" s="4">
        <v>147.9</v>
      </c>
      <c r="V238" s="4">
        <v>151.6</v>
      </c>
      <c r="W238" s="4">
        <v>138.5</v>
      </c>
      <c r="X238" s="4">
        <v>144.5</v>
      </c>
      <c r="Y238" s="4">
        <v>148.5</v>
      </c>
      <c r="Z238" s="4">
        <v>125.8</v>
      </c>
      <c r="AA238" s="4">
        <v>140.9</v>
      </c>
      <c r="AB238" s="4">
        <v>154.9</v>
      </c>
      <c r="AC238" s="4">
        <v>138.4</v>
      </c>
      <c r="AD238" s="4">
        <v>140.19999999999999</v>
      </c>
      <c r="AE238" s="4">
        <v>145</v>
      </c>
      <c r="AF238" s="4" t="str">
        <f t="shared" si="7"/>
        <v>Pre Covid</v>
      </c>
      <c r="AG238" s="4"/>
    </row>
    <row r="239" spans="1:33">
      <c r="A239" s="6" t="s">
        <v>30</v>
      </c>
      <c r="B239" s="6">
        <v>2019</v>
      </c>
      <c r="C239" s="6" t="s">
        <v>41</v>
      </c>
      <c r="D239" s="6">
        <f t="shared" si="6"/>
        <v>9</v>
      </c>
      <c r="E239" s="6">
        <v>140.1</v>
      </c>
      <c r="F239" s="6">
        <v>161.9</v>
      </c>
      <c r="G239" s="6">
        <v>138.30000000000001</v>
      </c>
      <c r="H239" s="6">
        <v>145.69999999999999</v>
      </c>
      <c r="I239" s="6">
        <v>125.1</v>
      </c>
      <c r="J239" s="6">
        <v>143.80000000000001</v>
      </c>
      <c r="K239" s="6">
        <v>163.4</v>
      </c>
      <c r="L239" s="6">
        <v>132.19999999999999</v>
      </c>
      <c r="M239" s="6">
        <v>112.8</v>
      </c>
      <c r="N239" s="6">
        <v>144.19999999999999</v>
      </c>
      <c r="O239" s="6">
        <v>138.5</v>
      </c>
      <c r="P239" s="6">
        <v>157.19999999999999</v>
      </c>
      <c r="Q239" s="6">
        <v>145.5</v>
      </c>
      <c r="R239" s="6">
        <v>165.7</v>
      </c>
      <c r="S239" s="6">
        <v>151.69999999999999</v>
      </c>
      <c r="T239" s="6">
        <v>146.6</v>
      </c>
      <c r="U239" s="6">
        <v>151</v>
      </c>
      <c r="V239" s="6">
        <v>0</v>
      </c>
      <c r="W239" s="6">
        <v>146.9</v>
      </c>
      <c r="X239" s="6">
        <v>150.30000000000001</v>
      </c>
      <c r="Y239" s="6">
        <v>153.4</v>
      </c>
      <c r="Z239" s="6">
        <v>131.6</v>
      </c>
      <c r="AA239" s="6">
        <v>148.30000000000001</v>
      </c>
      <c r="AB239" s="6">
        <v>160.19999999999999</v>
      </c>
      <c r="AC239" s="6">
        <v>140.19999999999999</v>
      </c>
      <c r="AD239" s="6">
        <v>145.4</v>
      </c>
      <c r="AE239" s="6">
        <v>146.69999999999999</v>
      </c>
      <c r="AF239" s="6" t="str">
        <f t="shared" si="7"/>
        <v>Pre Covid</v>
      </c>
      <c r="AG239" s="6"/>
    </row>
    <row r="240" spans="1:33">
      <c r="A240" s="4" t="s">
        <v>32</v>
      </c>
      <c r="B240" s="4">
        <v>2019</v>
      </c>
      <c r="C240" s="4" t="s">
        <v>41</v>
      </c>
      <c r="D240" s="4">
        <f t="shared" si="6"/>
        <v>9</v>
      </c>
      <c r="E240" s="4">
        <v>142.69999999999999</v>
      </c>
      <c r="F240" s="4">
        <v>158.69999999999999</v>
      </c>
      <c r="G240" s="4">
        <v>141.6</v>
      </c>
      <c r="H240" s="4">
        <v>144.9</v>
      </c>
      <c r="I240" s="4">
        <v>120.8</v>
      </c>
      <c r="J240" s="4">
        <v>149.80000000000001</v>
      </c>
      <c r="K240" s="4">
        <v>192.4</v>
      </c>
      <c r="L240" s="4">
        <v>130.30000000000001</v>
      </c>
      <c r="M240" s="4">
        <v>114</v>
      </c>
      <c r="N240" s="4">
        <v>143.80000000000001</v>
      </c>
      <c r="O240" s="4">
        <v>130</v>
      </c>
      <c r="P240" s="4">
        <v>156.4</v>
      </c>
      <c r="Q240" s="4">
        <v>149.5</v>
      </c>
      <c r="R240" s="4">
        <v>168.6</v>
      </c>
      <c r="S240" s="4">
        <v>145.30000000000001</v>
      </c>
      <c r="T240" s="4">
        <v>132.19999999999999</v>
      </c>
      <c r="U240" s="4">
        <v>143.30000000000001</v>
      </c>
      <c r="V240" s="4">
        <v>152.19999999999999</v>
      </c>
      <c r="W240" s="4">
        <v>126.6</v>
      </c>
      <c r="X240" s="4">
        <v>138.30000000000001</v>
      </c>
      <c r="Y240" s="4">
        <v>141.9</v>
      </c>
      <c r="Z240" s="4">
        <v>121.2</v>
      </c>
      <c r="AA240" s="4">
        <v>135.9</v>
      </c>
      <c r="AB240" s="4">
        <v>151.6</v>
      </c>
      <c r="AC240" s="4">
        <v>139</v>
      </c>
      <c r="AD240" s="4">
        <v>135.69999999999999</v>
      </c>
      <c r="AE240" s="4">
        <v>144.69999999999999</v>
      </c>
      <c r="AF240" s="4" t="str">
        <f t="shared" si="7"/>
        <v>Pre Covid</v>
      </c>
      <c r="AG240" s="4"/>
    </row>
    <row r="241" spans="1:33">
      <c r="A241" s="6" t="s">
        <v>33</v>
      </c>
      <c r="B241" s="6">
        <v>2019</v>
      </c>
      <c r="C241" s="6" t="s">
        <v>41</v>
      </c>
      <c r="D241" s="6">
        <f t="shared" si="6"/>
        <v>9</v>
      </c>
      <c r="E241" s="6">
        <v>140.9</v>
      </c>
      <c r="F241" s="6">
        <v>160.80000000000001</v>
      </c>
      <c r="G241" s="6">
        <v>139.6</v>
      </c>
      <c r="H241" s="6">
        <v>145.4</v>
      </c>
      <c r="I241" s="6">
        <v>123.5</v>
      </c>
      <c r="J241" s="6">
        <v>146.6</v>
      </c>
      <c r="K241" s="6">
        <v>173.2</v>
      </c>
      <c r="L241" s="6">
        <v>131.6</v>
      </c>
      <c r="M241" s="6">
        <v>113.2</v>
      </c>
      <c r="N241" s="6">
        <v>144.1</v>
      </c>
      <c r="O241" s="6">
        <v>135</v>
      </c>
      <c r="P241" s="6">
        <v>156.80000000000001</v>
      </c>
      <c r="Q241" s="6">
        <v>147</v>
      </c>
      <c r="R241" s="6">
        <v>166.5</v>
      </c>
      <c r="S241" s="6">
        <v>149.19999999999999</v>
      </c>
      <c r="T241" s="6">
        <v>140.6</v>
      </c>
      <c r="U241" s="6">
        <v>147.9</v>
      </c>
      <c r="V241" s="6">
        <v>152.19999999999999</v>
      </c>
      <c r="W241" s="6">
        <v>139.19999999999999</v>
      </c>
      <c r="X241" s="6">
        <v>144.6</v>
      </c>
      <c r="Y241" s="6">
        <v>149</v>
      </c>
      <c r="Z241" s="6">
        <v>126.1</v>
      </c>
      <c r="AA241" s="6">
        <v>141.30000000000001</v>
      </c>
      <c r="AB241" s="6">
        <v>155.19999999999999</v>
      </c>
      <c r="AC241" s="6">
        <v>139.69999999999999</v>
      </c>
      <c r="AD241" s="6">
        <v>140.69999999999999</v>
      </c>
      <c r="AE241" s="6">
        <v>145.80000000000001</v>
      </c>
      <c r="AF241" s="6" t="str">
        <f t="shared" si="7"/>
        <v>Pre Covid</v>
      </c>
      <c r="AG241" s="6"/>
    </row>
    <row r="242" spans="1:33">
      <c r="A242" s="4" t="s">
        <v>30</v>
      </c>
      <c r="B242" s="4">
        <v>2019</v>
      </c>
      <c r="C242" s="4" t="s">
        <v>42</v>
      </c>
      <c r="D242" s="4">
        <f t="shared" si="6"/>
        <v>10</v>
      </c>
      <c r="E242" s="4">
        <v>141</v>
      </c>
      <c r="F242" s="4">
        <v>161.6</v>
      </c>
      <c r="G242" s="4">
        <v>141.19999999999999</v>
      </c>
      <c r="H242" s="4">
        <v>146.5</v>
      </c>
      <c r="I242" s="4">
        <v>125.6</v>
      </c>
      <c r="J242" s="4">
        <v>145.69999999999999</v>
      </c>
      <c r="K242" s="4">
        <v>178.8</v>
      </c>
      <c r="L242" s="4">
        <v>133.1</v>
      </c>
      <c r="M242" s="4">
        <v>113.6</v>
      </c>
      <c r="N242" s="4">
        <v>145.5</v>
      </c>
      <c r="O242" s="4">
        <v>138.6</v>
      </c>
      <c r="P242" s="4">
        <v>157.4</v>
      </c>
      <c r="Q242" s="4">
        <v>148.30000000000001</v>
      </c>
      <c r="R242" s="4">
        <v>166.3</v>
      </c>
      <c r="S242" s="4">
        <v>151.69999999999999</v>
      </c>
      <c r="T242" s="4">
        <v>146.69999999999999</v>
      </c>
      <c r="U242" s="4">
        <v>151</v>
      </c>
      <c r="V242" s="4">
        <v>153.25</v>
      </c>
      <c r="W242" s="4">
        <v>147.69999999999999</v>
      </c>
      <c r="X242" s="4">
        <v>150.6</v>
      </c>
      <c r="Y242" s="4">
        <v>153.69999999999999</v>
      </c>
      <c r="Z242" s="4">
        <v>131.69999999999999</v>
      </c>
      <c r="AA242" s="4">
        <v>148.69999999999999</v>
      </c>
      <c r="AB242" s="4">
        <v>160.69999999999999</v>
      </c>
      <c r="AC242" s="4">
        <v>140.30000000000001</v>
      </c>
      <c r="AD242" s="4">
        <v>145.69999999999999</v>
      </c>
      <c r="AE242" s="4">
        <v>148.30000000000001</v>
      </c>
      <c r="AF242" s="4" t="str">
        <f t="shared" si="7"/>
        <v>Pre Covid</v>
      </c>
      <c r="AG242" s="4"/>
    </row>
    <row r="243" spans="1:33">
      <c r="A243" s="6" t="s">
        <v>32</v>
      </c>
      <c r="B243" s="6">
        <v>2019</v>
      </c>
      <c r="C243" s="6" t="s">
        <v>42</v>
      </c>
      <c r="D243" s="6">
        <f t="shared" si="6"/>
        <v>10</v>
      </c>
      <c r="E243" s="6">
        <v>143.5</v>
      </c>
      <c r="F243" s="6">
        <v>159.80000000000001</v>
      </c>
      <c r="G243" s="6">
        <v>144.69999999999999</v>
      </c>
      <c r="H243" s="6">
        <v>145.6</v>
      </c>
      <c r="I243" s="6">
        <v>121.1</v>
      </c>
      <c r="J243" s="6">
        <v>150.6</v>
      </c>
      <c r="K243" s="6">
        <v>207.2</v>
      </c>
      <c r="L243" s="6">
        <v>131.19999999999999</v>
      </c>
      <c r="M243" s="6">
        <v>114.8</v>
      </c>
      <c r="N243" s="6">
        <v>145.19999999999999</v>
      </c>
      <c r="O243" s="6">
        <v>130.19999999999999</v>
      </c>
      <c r="P243" s="6">
        <v>156.80000000000001</v>
      </c>
      <c r="Q243" s="6">
        <v>151.9</v>
      </c>
      <c r="R243" s="6">
        <v>169.3</v>
      </c>
      <c r="S243" s="6">
        <v>145.9</v>
      </c>
      <c r="T243" s="6">
        <v>132.4</v>
      </c>
      <c r="U243" s="6">
        <v>143.9</v>
      </c>
      <c r="V243" s="6">
        <v>153</v>
      </c>
      <c r="W243" s="6">
        <v>128.9</v>
      </c>
      <c r="X243" s="6">
        <v>138.69999999999999</v>
      </c>
      <c r="Y243" s="6">
        <v>142.4</v>
      </c>
      <c r="Z243" s="6">
        <v>121.5</v>
      </c>
      <c r="AA243" s="6">
        <v>136.19999999999999</v>
      </c>
      <c r="AB243" s="6">
        <v>151.69999999999999</v>
      </c>
      <c r="AC243" s="6">
        <v>139.5</v>
      </c>
      <c r="AD243" s="6">
        <v>136</v>
      </c>
      <c r="AE243" s="6">
        <v>146</v>
      </c>
      <c r="AF243" s="6" t="str">
        <f t="shared" si="7"/>
        <v>Pre Covid</v>
      </c>
      <c r="AG243" s="6"/>
    </row>
    <row r="244" spans="1:33">
      <c r="A244" s="4" t="s">
        <v>33</v>
      </c>
      <c r="B244" s="4">
        <v>2019</v>
      </c>
      <c r="C244" s="4" t="s">
        <v>42</v>
      </c>
      <c r="D244" s="4">
        <f t="shared" si="6"/>
        <v>10</v>
      </c>
      <c r="E244" s="4">
        <v>141.80000000000001</v>
      </c>
      <c r="F244" s="4">
        <v>161</v>
      </c>
      <c r="G244" s="4">
        <v>142.6</v>
      </c>
      <c r="H244" s="4">
        <v>146.19999999999999</v>
      </c>
      <c r="I244" s="4">
        <v>123.9</v>
      </c>
      <c r="J244" s="4">
        <v>148</v>
      </c>
      <c r="K244" s="4">
        <v>188.4</v>
      </c>
      <c r="L244" s="4">
        <v>132.5</v>
      </c>
      <c r="M244" s="4">
        <v>114</v>
      </c>
      <c r="N244" s="4">
        <v>145.4</v>
      </c>
      <c r="O244" s="4">
        <v>135.1</v>
      </c>
      <c r="P244" s="4">
        <v>157.1</v>
      </c>
      <c r="Q244" s="4">
        <v>149.6</v>
      </c>
      <c r="R244" s="4">
        <v>167.1</v>
      </c>
      <c r="S244" s="4">
        <v>149.4</v>
      </c>
      <c r="T244" s="4">
        <v>140.80000000000001</v>
      </c>
      <c r="U244" s="4">
        <v>148.19999999999999</v>
      </c>
      <c r="V244" s="4">
        <v>153</v>
      </c>
      <c r="W244" s="4">
        <v>140.6</v>
      </c>
      <c r="X244" s="4">
        <v>145</v>
      </c>
      <c r="Y244" s="4">
        <v>149.4</v>
      </c>
      <c r="Z244" s="4">
        <v>126.3</v>
      </c>
      <c r="AA244" s="4">
        <v>141.69999999999999</v>
      </c>
      <c r="AB244" s="4">
        <v>155.4</v>
      </c>
      <c r="AC244" s="4">
        <v>140</v>
      </c>
      <c r="AD244" s="4">
        <v>141</v>
      </c>
      <c r="AE244" s="4">
        <v>147.19999999999999</v>
      </c>
      <c r="AF244" s="4" t="str">
        <f t="shared" si="7"/>
        <v>Pre Covid</v>
      </c>
      <c r="AG244" s="4"/>
    </row>
    <row r="245" spans="1:33">
      <c r="A245" s="6" t="s">
        <v>30</v>
      </c>
      <c r="B245" s="6">
        <v>2019</v>
      </c>
      <c r="C245" s="6" t="s">
        <v>43</v>
      </c>
      <c r="D245" s="6">
        <f t="shared" si="6"/>
        <v>11</v>
      </c>
      <c r="E245" s="6">
        <v>141.80000000000001</v>
      </c>
      <c r="F245" s="6">
        <v>163.69999999999999</v>
      </c>
      <c r="G245" s="6">
        <v>143.80000000000001</v>
      </c>
      <c r="H245" s="6">
        <v>147.1</v>
      </c>
      <c r="I245" s="6">
        <v>126</v>
      </c>
      <c r="J245" s="6">
        <v>146.19999999999999</v>
      </c>
      <c r="K245" s="6">
        <v>191.4</v>
      </c>
      <c r="L245" s="6">
        <v>136.19999999999999</v>
      </c>
      <c r="M245" s="6">
        <v>113.8</v>
      </c>
      <c r="N245" s="6">
        <v>147.30000000000001</v>
      </c>
      <c r="O245" s="6">
        <v>138.69999999999999</v>
      </c>
      <c r="P245" s="6">
        <v>157.69999999999999</v>
      </c>
      <c r="Q245" s="6">
        <v>150.9</v>
      </c>
      <c r="R245" s="6">
        <v>167.2</v>
      </c>
      <c r="S245" s="6">
        <v>152.30000000000001</v>
      </c>
      <c r="T245" s="6">
        <v>147</v>
      </c>
      <c r="U245" s="6">
        <v>151.5</v>
      </c>
      <c r="V245" s="6">
        <v>0</v>
      </c>
      <c r="W245" s="6">
        <v>148.4</v>
      </c>
      <c r="X245" s="6">
        <v>150.9</v>
      </c>
      <c r="Y245" s="6">
        <v>154.30000000000001</v>
      </c>
      <c r="Z245" s="6">
        <v>132.1</v>
      </c>
      <c r="AA245" s="6">
        <v>149.1</v>
      </c>
      <c r="AB245" s="6">
        <v>160.80000000000001</v>
      </c>
      <c r="AC245" s="6">
        <v>140.6</v>
      </c>
      <c r="AD245" s="6">
        <v>146.1</v>
      </c>
      <c r="AE245" s="6">
        <v>149.9</v>
      </c>
      <c r="AF245" s="6" t="str">
        <f t="shared" si="7"/>
        <v>Pre Covid</v>
      </c>
      <c r="AG245" s="6"/>
    </row>
    <row r="246" spans="1:33">
      <c r="A246" s="4" t="s">
        <v>32</v>
      </c>
      <c r="B246" s="4">
        <v>2019</v>
      </c>
      <c r="C246" s="4" t="s">
        <v>43</v>
      </c>
      <c r="D246" s="4">
        <f t="shared" si="6"/>
        <v>11</v>
      </c>
      <c r="E246" s="4">
        <v>144.1</v>
      </c>
      <c r="F246" s="4">
        <v>162.4</v>
      </c>
      <c r="G246" s="4">
        <v>148.4</v>
      </c>
      <c r="H246" s="4">
        <v>145.9</v>
      </c>
      <c r="I246" s="4">
        <v>121.5</v>
      </c>
      <c r="J246" s="4">
        <v>148.80000000000001</v>
      </c>
      <c r="K246" s="4">
        <v>215.7</v>
      </c>
      <c r="L246" s="4">
        <v>134.6</v>
      </c>
      <c r="M246" s="4">
        <v>115</v>
      </c>
      <c r="N246" s="4">
        <v>146.30000000000001</v>
      </c>
      <c r="O246" s="4">
        <v>130.5</v>
      </c>
      <c r="P246" s="4">
        <v>157.19999999999999</v>
      </c>
      <c r="Q246" s="4">
        <v>153.6</v>
      </c>
      <c r="R246" s="4">
        <v>169.9</v>
      </c>
      <c r="S246" s="4">
        <v>146.30000000000001</v>
      </c>
      <c r="T246" s="4">
        <v>132.6</v>
      </c>
      <c r="U246" s="4">
        <v>144.19999999999999</v>
      </c>
      <c r="V246" s="4">
        <v>153.5</v>
      </c>
      <c r="W246" s="4">
        <v>132.19999999999999</v>
      </c>
      <c r="X246" s="4">
        <v>139.1</v>
      </c>
      <c r="Y246" s="4">
        <v>142.80000000000001</v>
      </c>
      <c r="Z246" s="4">
        <v>121.7</v>
      </c>
      <c r="AA246" s="4">
        <v>136.69999999999999</v>
      </c>
      <c r="AB246" s="4">
        <v>151.80000000000001</v>
      </c>
      <c r="AC246" s="4">
        <v>139.80000000000001</v>
      </c>
      <c r="AD246" s="4">
        <v>136.30000000000001</v>
      </c>
      <c r="AE246" s="4">
        <v>147</v>
      </c>
      <c r="AF246" s="4" t="str">
        <f t="shared" si="7"/>
        <v>Pre Covid</v>
      </c>
      <c r="AG246" s="4"/>
    </row>
    <row r="247" spans="1:33">
      <c r="A247" s="6" t="s">
        <v>33</v>
      </c>
      <c r="B247" s="6">
        <v>2019</v>
      </c>
      <c r="C247" s="6" t="s">
        <v>43</v>
      </c>
      <c r="D247" s="6">
        <f t="shared" si="6"/>
        <v>11</v>
      </c>
      <c r="E247" s="6">
        <v>142.5</v>
      </c>
      <c r="F247" s="6">
        <v>163.19999999999999</v>
      </c>
      <c r="G247" s="6">
        <v>145.6</v>
      </c>
      <c r="H247" s="6">
        <v>146.69999999999999</v>
      </c>
      <c r="I247" s="6">
        <v>124.3</v>
      </c>
      <c r="J247" s="6">
        <v>147.4</v>
      </c>
      <c r="K247" s="6">
        <v>199.6</v>
      </c>
      <c r="L247" s="6">
        <v>135.69999999999999</v>
      </c>
      <c r="M247" s="6">
        <v>114.2</v>
      </c>
      <c r="N247" s="6">
        <v>147</v>
      </c>
      <c r="O247" s="6">
        <v>135.30000000000001</v>
      </c>
      <c r="P247" s="6">
        <v>157.5</v>
      </c>
      <c r="Q247" s="6">
        <v>151.9</v>
      </c>
      <c r="R247" s="6">
        <v>167.9</v>
      </c>
      <c r="S247" s="6">
        <v>149.9</v>
      </c>
      <c r="T247" s="6">
        <v>141</v>
      </c>
      <c r="U247" s="6">
        <v>148.6</v>
      </c>
      <c r="V247" s="6">
        <v>153.5</v>
      </c>
      <c r="W247" s="6">
        <v>142.30000000000001</v>
      </c>
      <c r="X247" s="6">
        <v>145.30000000000001</v>
      </c>
      <c r="Y247" s="6">
        <v>149.9</v>
      </c>
      <c r="Z247" s="6">
        <v>126.6</v>
      </c>
      <c r="AA247" s="6">
        <v>142.1</v>
      </c>
      <c r="AB247" s="6">
        <v>155.5</v>
      </c>
      <c r="AC247" s="6">
        <v>140.30000000000001</v>
      </c>
      <c r="AD247" s="6">
        <v>141.30000000000001</v>
      </c>
      <c r="AE247" s="6">
        <v>148.6</v>
      </c>
      <c r="AF247" s="6" t="str">
        <f t="shared" si="7"/>
        <v>Pre Covid</v>
      </c>
      <c r="AG247" s="6"/>
    </row>
    <row r="248" spans="1:33">
      <c r="A248" s="4" t="s">
        <v>30</v>
      </c>
      <c r="B248" s="4">
        <v>2019</v>
      </c>
      <c r="C248" s="4" t="s">
        <v>44</v>
      </c>
      <c r="D248" s="4">
        <f t="shared" si="6"/>
        <v>12</v>
      </c>
      <c r="E248" s="4">
        <v>142.80000000000001</v>
      </c>
      <c r="F248" s="4">
        <v>165.3</v>
      </c>
      <c r="G248" s="4">
        <v>149.5</v>
      </c>
      <c r="H248" s="4">
        <v>148.69999999999999</v>
      </c>
      <c r="I248" s="4">
        <v>127.5</v>
      </c>
      <c r="J248" s="4">
        <v>144.30000000000001</v>
      </c>
      <c r="K248" s="4">
        <v>209.5</v>
      </c>
      <c r="L248" s="4">
        <v>138.80000000000001</v>
      </c>
      <c r="M248" s="4">
        <v>113.6</v>
      </c>
      <c r="N248" s="4">
        <v>149.1</v>
      </c>
      <c r="O248" s="4">
        <v>139.30000000000001</v>
      </c>
      <c r="P248" s="4">
        <v>158.30000000000001</v>
      </c>
      <c r="Q248" s="4">
        <v>154.30000000000001</v>
      </c>
      <c r="R248" s="4">
        <v>167.8</v>
      </c>
      <c r="S248" s="4">
        <v>152.6</v>
      </c>
      <c r="T248" s="4">
        <v>147.30000000000001</v>
      </c>
      <c r="U248" s="4">
        <v>151.9</v>
      </c>
      <c r="V248" s="4">
        <v>153.35</v>
      </c>
      <c r="W248" s="4">
        <v>149.9</v>
      </c>
      <c r="X248" s="4">
        <v>151.19999999999999</v>
      </c>
      <c r="Y248" s="4">
        <v>154.80000000000001</v>
      </c>
      <c r="Z248" s="4">
        <v>135</v>
      </c>
      <c r="AA248" s="4">
        <v>149.5</v>
      </c>
      <c r="AB248" s="4">
        <v>161.1</v>
      </c>
      <c r="AC248" s="4">
        <v>140.6</v>
      </c>
      <c r="AD248" s="4">
        <v>147.1</v>
      </c>
      <c r="AE248" s="4">
        <v>152.30000000000001</v>
      </c>
      <c r="AF248" s="4" t="str">
        <f t="shared" si="7"/>
        <v>Pre Covid</v>
      </c>
      <c r="AG248" s="4"/>
    </row>
    <row r="249" spans="1:33">
      <c r="A249" s="6" t="s">
        <v>32</v>
      </c>
      <c r="B249" s="6">
        <v>2019</v>
      </c>
      <c r="C249" s="6" t="s">
        <v>44</v>
      </c>
      <c r="D249" s="6">
        <f t="shared" si="6"/>
        <v>12</v>
      </c>
      <c r="E249" s="6">
        <v>144.9</v>
      </c>
      <c r="F249" s="6">
        <v>164.5</v>
      </c>
      <c r="G249" s="6">
        <v>153.69999999999999</v>
      </c>
      <c r="H249" s="6">
        <v>147.5</v>
      </c>
      <c r="I249" s="6">
        <v>122.7</v>
      </c>
      <c r="J249" s="6">
        <v>147.19999999999999</v>
      </c>
      <c r="K249" s="6">
        <v>231.5</v>
      </c>
      <c r="L249" s="6">
        <v>137.19999999999999</v>
      </c>
      <c r="M249" s="6">
        <v>114.7</v>
      </c>
      <c r="N249" s="6">
        <v>148</v>
      </c>
      <c r="O249" s="6">
        <v>130.80000000000001</v>
      </c>
      <c r="P249" s="6">
        <v>157.69999999999999</v>
      </c>
      <c r="Q249" s="6">
        <v>156.30000000000001</v>
      </c>
      <c r="R249" s="6">
        <v>170.4</v>
      </c>
      <c r="S249" s="6">
        <v>146.80000000000001</v>
      </c>
      <c r="T249" s="6">
        <v>132.80000000000001</v>
      </c>
      <c r="U249" s="6">
        <v>144.6</v>
      </c>
      <c r="V249" s="6">
        <v>152.80000000000001</v>
      </c>
      <c r="W249" s="6">
        <v>133.6</v>
      </c>
      <c r="X249" s="6">
        <v>139.80000000000001</v>
      </c>
      <c r="Y249" s="6">
        <v>143.19999999999999</v>
      </c>
      <c r="Z249" s="6">
        <v>125.2</v>
      </c>
      <c r="AA249" s="6">
        <v>136.80000000000001</v>
      </c>
      <c r="AB249" s="6">
        <v>151.9</v>
      </c>
      <c r="AC249" s="6">
        <v>140.19999999999999</v>
      </c>
      <c r="AD249" s="6">
        <v>137.69999999999999</v>
      </c>
      <c r="AE249" s="6">
        <v>148.30000000000001</v>
      </c>
      <c r="AF249" s="6" t="str">
        <f t="shared" si="7"/>
        <v>Pre Covid</v>
      </c>
      <c r="AG249" s="6"/>
    </row>
    <row r="250" spans="1:33">
      <c r="A250" s="4" t="s">
        <v>33</v>
      </c>
      <c r="B250" s="4">
        <v>2019</v>
      </c>
      <c r="C250" s="4" t="s">
        <v>44</v>
      </c>
      <c r="D250" s="4">
        <f t="shared" si="6"/>
        <v>12</v>
      </c>
      <c r="E250" s="4">
        <v>143.5</v>
      </c>
      <c r="F250" s="4">
        <v>165</v>
      </c>
      <c r="G250" s="4">
        <v>151.1</v>
      </c>
      <c r="H250" s="4">
        <v>148.30000000000001</v>
      </c>
      <c r="I250" s="4">
        <v>125.7</v>
      </c>
      <c r="J250" s="4">
        <v>145.69999999999999</v>
      </c>
      <c r="K250" s="4">
        <v>217</v>
      </c>
      <c r="L250" s="4">
        <v>138.30000000000001</v>
      </c>
      <c r="M250" s="4">
        <v>114</v>
      </c>
      <c r="N250" s="4">
        <v>148.69999999999999</v>
      </c>
      <c r="O250" s="4">
        <v>135.80000000000001</v>
      </c>
      <c r="P250" s="4">
        <v>158</v>
      </c>
      <c r="Q250" s="4">
        <v>155</v>
      </c>
      <c r="R250" s="4">
        <v>168.5</v>
      </c>
      <c r="S250" s="4">
        <v>150.30000000000001</v>
      </c>
      <c r="T250" s="4">
        <v>141.30000000000001</v>
      </c>
      <c r="U250" s="4">
        <v>149</v>
      </c>
      <c r="V250" s="4">
        <v>152.80000000000001</v>
      </c>
      <c r="W250" s="4">
        <v>143.69999999999999</v>
      </c>
      <c r="X250" s="4">
        <v>145.80000000000001</v>
      </c>
      <c r="Y250" s="4">
        <v>150.4</v>
      </c>
      <c r="Z250" s="4">
        <v>129.80000000000001</v>
      </c>
      <c r="AA250" s="4">
        <v>142.30000000000001</v>
      </c>
      <c r="AB250" s="4">
        <v>155.69999999999999</v>
      </c>
      <c r="AC250" s="4">
        <v>140.4</v>
      </c>
      <c r="AD250" s="4">
        <v>142.5</v>
      </c>
      <c r="AE250" s="4">
        <v>150.4</v>
      </c>
      <c r="AF250" s="4" t="str">
        <f t="shared" si="7"/>
        <v>Pre Covid</v>
      </c>
      <c r="AG250" s="4"/>
    </row>
    <row r="251" spans="1:33">
      <c r="A251" s="6" t="s">
        <v>30</v>
      </c>
      <c r="B251" s="6">
        <v>2020</v>
      </c>
      <c r="C251" s="6" t="s">
        <v>31</v>
      </c>
      <c r="D251" s="6">
        <f t="shared" si="6"/>
        <v>1</v>
      </c>
      <c r="E251" s="6">
        <v>143.69999999999999</v>
      </c>
      <c r="F251" s="6">
        <v>167.3</v>
      </c>
      <c r="G251" s="6">
        <v>153.5</v>
      </c>
      <c r="H251" s="6">
        <v>150.5</v>
      </c>
      <c r="I251" s="6">
        <v>132</v>
      </c>
      <c r="J251" s="6">
        <v>142.19999999999999</v>
      </c>
      <c r="K251" s="6">
        <v>191.5</v>
      </c>
      <c r="L251" s="6">
        <v>141.1</v>
      </c>
      <c r="M251" s="6">
        <v>113.8</v>
      </c>
      <c r="N251" s="6">
        <v>151.6</v>
      </c>
      <c r="O251" s="6">
        <v>139.69999999999999</v>
      </c>
      <c r="P251" s="6">
        <v>158.69999999999999</v>
      </c>
      <c r="Q251" s="6">
        <v>153</v>
      </c>
      <c r="R251" s="6">
        <v>168.6</v>
      </c>
      <c r="S251" s="6">
        <v>152.80000000000001</v>
      </c>
      <c r="T251" s="6">
        <v>147.4</v>
      </c>
      <c r="U251" s="6">
        <v>152.1</v>
      </c>
      <c r="V251" s="6">
        <v>0</v>
      </c>
      <c r="W251" s="6">
        <v>150.4</v>
      </c>
      <c r="X251" s="6">
        <v>151.69999999999999</v>
      </c>
      <c r="Y251" s="6">
        <v>155.69999999999999</v>
      </c>
      <c r="Z251" s="6">
        <v>136.30000000000001</v>
      </c>
      <c r="AA251" s="6">
        <v>150.1</v>
      </c>
      <c r="AB251" s="6">
        <v>161.69999999999999</v>
      </c>
      <c r="AC251" s="6">
        <v>142.5</v>
      </c>
      <c r="AD251" s="6">
        <v>148.1</v>
      </c>
      <c r="AE251" s="6">
        <v>151.9</v>
      </c>
      <c r="AF251" s="6" t="str">
        <f t="shared" si="7"/>
        <v>Pre Covid</v>
      </c>
      <c r="AG251" s="6"/>
    </row>
    <row r="252" spans="1:33">
      <c r="A252" s="4" t="s">
        <v>32</v>
      </c>
      <c r="B252" s="4">
        <v>2020</v>
      </c>
      <c r="C252" s="4" t="s">
        <v>31</v>
      </c>
      <c r="D252" s="4">
        <f t="shared" si="6"/>
        <v>1</v>
      </c>
      <c r="E252" s="4">
        <v>145.6</v>
      </c>
      <c r="F252" s="4">
        <v>167.6</v>
      </c>
      <c r="G252" s="4">
        <v>157</v>
      </c>
      <c r="H252" s="4">
        <v>149.30000000000001</v>
      </c>
      <c r="I252" s="4">
        <v>126.3</v>
      </c>
      <c r="J252" s="4">
        <v>144.4</v>
      </c>
      <c r="K252" s="4">
        <v>207.8</v>
      </c>
      <c r="L252" s="4">
        <v>139.1</v>
      </c>
      <c r="M252" s="4">
        <v>114.8</v>
      </c>
      <c r="N252" s="4">
        <v>149.5</v>
      </c>
      <c r="O252" s="4">
        <v>131.1</v>
      </c>
      <c r="P252" s="4">
        <v>158.5</v>
      </c>
      <c r="Q252" s="4">
        <v>154.4</v>
      </c>
      <c r="R252" s="4">
        <v>170.8</v>
      </c>
      <c r="S252" s="4">
        <v>147</v>
      </c>
      <c r="T252" s="4">
        <v>133.19999999999999</v>
      </c>
      <c r="U252" s="4">
        <v>144.9</v>
      </c>
      <c r="V252" s="4">
        <v>153.9</v>
      </c>
      <c r="W252" s="4">
        <v>135.1</v>
      </c>
      <c r="X252" s="4">
        <v>140.1</v>
      </c>
      <c r="Y252" s="4">
        <v>143.80000000000001</v>
      </c>
      <c r="Z252" s="4">
        <v>126.1</v>
      </c>
      <c r="AA252" s="4">
        <v>137.19999999999999</v>
      </c>
      <c r="AB252" s="4">
        <v>152.1</v>
      </c>
      <c r="AC252" s="4">
        <v>142.1</v>
      </c>
      <c r="AD252" s="4">
        <v>138.4</v>
      </c>
      <c r="AE252" s="4">
        <v>148.19999999999999</v>
      </c>
      <c r="AF252" s="4" t="str">
        <f t="shared" si="7"/>
        <v>Pre Covid</v>
      </c>
      <c r="AG252" s="4"/>
    </row>
    <row r="253" spans="1:33">
      <c r="A253" s="6" t="s">
        <v>33</v>
      </c>
      <c r="B253" s="6">
        <v>2020</v>
      </c>
      <c r="C253" s="6" t="s">
        <v>31</v>
      </c>
      <c r="D253" s="6">
        <f t="shared" si="6"/>
        <v>1</v>
      </c>
      <c r="E253" s="6">
        <v>144.30000000000001</v>
      </c>
      <c r="F253" s="6">
        <v>167.4</v>
      </c>
      <c r="G253" s="6">
        <v>154.9</v>
      </c>
      <c r="H253" s="6">
        <v>150.1</v>
      </c>
      <c r="I253" s="6">
        <v>129.9</v>
      </c>
      <c r="J253" s="6">
        <v>143.19999999999999</v>
      </c>
      <c r="K253" s="6">
        <v>197</v>
      </c>
      <c r="L253" s="6">
        <v>140.4</v>
      </c>
      <c r="M253" s="6">
        <v>114.1</v>
      </c>
      <c r="N253" s="6">
        <v>150.9</v>
      </c>
      <c r="O253" s="6">
        <v>136.1</v>
      </c>
      <c r="P253" s="6">
        <v>158.6</v>
      </c>
      <c r="Q253" s="6">
        <v>153.5</v>
      </c>
      <c r="R253" s="6">
        <v>169.2</v>
      </c>
      <c r="S253" s="6">
        <v>150.5</v>
      </c>
      <c r="T253" s="6">
        <v>141.5</v>
      </c>
      <c r="U253" s="6">
        <v>149.19999999999999</v>
      </c>
      <c r="V253" s="6">
        <v>153.9</v>
      </c>
      <c r="W253" s="6">
        <v>144.6</v>
      </c>
      <c r="X253" s="6">
        <v>146.19999999999999</v>
      </c>
      <c r="Y253" s="6">
        <v>151.19999999999999</v>
      </c>
      <c r="Z253" s="6">
        <v>130.9</v>
      </c>
      <c r="AA253" s="6">
        <v>142.80000000000001</v>
      </c>
      <c r="AB253" s="6">
        <v>156.1</v>
      </c>
      <c r="AC253" s="6">
        <v>142.30000000000001</v>
      </c>
      <c r="AD253" s="6">
        <v>143.4</v>
      </c>
      <c r="AE253" s="6">
        <v>150.19999999999999</v>
      </c>
      <c r="AF253" s="6" t="str">
        <f t="shared" si="7"/>
        <v>Pre Covid</v>
      </c>
      <c r="AG253" s="6"/>
    </row>
    <row r="254" spans="1:33">
      <c r="A254" s="4" t="s">
        <v>30</v>
      </c>
      <c r="B254" s="4">
        <v>2020</v>
      </c>
      <c r="C254" s="4" t="s">
        <v>34</v>
      </c>
      <c r="D254" s="4">
        <f t="shared" si="6"/>
        <v>2</v>
      </c>
      <c r="E254" s="4">
        <v>144.19999999999999</v>
      </c>
      <c r="F254" s="4">
        <v>167.5</v>
      </c>
      <c r="G254" s="4">
        <v>150.9</v>
      </c>
      <c r="H254" s="4">
        <v>150.9</v>
      </c>
      <c r="I254" s="4">
        <v>133.69999999999999</v>
      </c>
      <c r="J254" s="4">
        <v>140.69999999999999</v>
      </c>
      <c r="K254" s="4">
        <v>165.1</v>
      </c>
      <c r="L254" s="4">
        <v>141.80000000000001</v>
      </c>
      <c r="M254" s="4">
        <v>113.1</v>
      </c>
      <c r="N254" s="4">
        <v>152.80000000000001</v>
      </c>
      <c r="O254" s="4">
        <v>140.1</v>
      </c>
      <c r="P254" s="4">
        <v>159.19999999999999</v>
      </c>
      <c r="Q254" s="4">
        <v>149.80000000000001</v>
      </c>
      <c r="R254" s="4">
        <v>169.4</v>
      </c>
      <c r="S254" s="4">
        <v>153</v>
      </c>
      <c r="T254" s="4">
        <v>147.5</v>
      </c>
      <c r="U254" s="4">
        <v>152.30000000000001</v>
      </c>
      <c r="V254" s="4">
        <v>154.65</v>
      </c>
      <c r="W254" s="4">
        <v>152.30000000000001</v>
      </c>
      <c r="X254" s="4">
        <v>151.80000000000001</v>
      </c>
      <c r="Y254" s="4">
        <v>156.19999999999999</v>
      </c>
      <c r="Z254" s="4">
        <v>136</v>
      </c>
      <c r="AA254" s="4">
        <v>150.4</v>
      </c>
      <c r="AB254" s="4">
        <v>161.9</v>
      </c>
      <c r="AC254" s="4">
        <v>143.4</v>
      </c>
      <c r="AD254" s="4">
        <v>148.4</v>
      </c>
      <c r="AE254" s="4">
        <v>150.4</v>
      </c>
      <c r="AF254" s="4" t="str">
        <f t="shared" si="7"/>
        <v>Pre Covid</v>
      </c>
      <c r="AG254" s="4"/>
    </row>
    <row r="255" spans="1:33">
      <c r="A255" s="6" t="s">
        <v>32</v>
      </c>
      <c r="B255" s="6">
        <v>2020</v>
      </c>
      <c r="C255" s="6" t="s">
        <v>34</v>
      </c>
      <c r="D255" s="6">
        <f t="shared" si="6"/>
        <v>2</v>
      </c>
      <c r="E255" s="6">
        <v>146.19999999999999</v>
      </c>
      <c r="F255" s="6">
        <v>167.6</v>
      </c>
      <c r="G255" s="6">
        <v>153.1</v>
      </c>
      <c r="H255" s="6">
        <v>150.69999999999999</v>
      </c>
      <c r="I255" s="6">
        <v>127.4</v>
      </c>
      <c r="J255" s="6">
        <v>143.1</v>
      </c>
      <c r="K255" s="6">
        <v>181.7</v>
      </c>
      <c r="L255" s="6">
        <v>139.6</v>
      </c>
      <c r="M255" s="6">
        <v>114.6</v>
      </c>
      <c r="N255" s="6">
        <v>150.4</v>
      </c>
      <c r="O255" s="6">
        <v>131.5</v>
      </c>
      <c r="P255" s="6">
        <v>159</v>
      </c>
      <c r="Q255" s="6">
        <v>151.69999999999999</v>
      </c>
      <c r="R255" s="6">
        <v>172</v>
      </c>
      <c r="S255" s="6">
        <v>147.30000000000001</v>
      </c>
      <c r="T255" s="6">
        <v>133.5</v>
      </c>
      <c r="U255" s="6">
        <v>145.19999999999999</v>
      </c>
      <c r="V255" s="6">
        <v>154.80000000000001</v>
      </c>
      <c r="W255" s="6">
        <v>138.9</v>
      </c>
      <c r="X255" s="6">
        <v>140.4</v>
      </c>
      <c r="Y255" s="6">
        <v>144.4</v>
      </c>
      <c r="Z255" s="6">
        <v>125.2</v>
      </c>
      <c r="AA255" s="6">
        <v>137.69999999999999</v>
      </c>
      <c r="AB255" s="6">
        <v>152.19999999999999</v>
      </c>
      <c r="AC255" s="6">
        <v>143.5</v>
      </c>
      <c r="AD255" s="6">
        <v>138.4</v>
      </c>
      <c r="AE255" s="6">
        <v>147.69999999999999</v>
      </c>
      <c r="AF255" s="6" t="str">
        <f t="shared" si="7"/>
        <v>Pre Covid</v>
      </c>
      <c r="AG255" s="6"/>
    </row>
    <row r="256" spans="1:33">
      <c r="A256" s="4" t="s">
        <v>33</v>
      </c>
      <c r="B256" s="4">
        <v>2020</v>
      </c>
      <c r="C256" s="4" t="s">
        <v>34</v>
      </c>
      <c r="D256" s="4">
        <f t="shared" si="6"/>
        <v>2</v>
      </c>
      <c r="E256" s="4">
        <v>144.80000000000001</v>
      </c>
      <c r="F256" s="4">
        <v>167.5</v>
      </c>
      <c r="G256" s="4">
        <v>151.80000000000001</v>
      </c>
      <c r="H256" s="4">
        <v>150.80000000000001</v>
      </c>
      <c r="I256" s="4">
        <v>131.4</v>
      </c>
      <c r="J256" s="4">
        <v>141.80000000000001</v>
      </c>
      <c r="K256" s="4">
        <v>170.7</v>
      </c>
      <c r="L256" s="4">
        <v>141.1</v>
      </c>
      <c r="M256" s="4">
        <v>113.6</v>
      </c>
      <c r="N256" s="4">
        <v>152</v>
      </c>
      <c r="O256" s="4">
        <v>136.5</v>
      </c>
      <c r="P256" s="4">
        <v>159.1</v>
      </c>
      <c r="Q256" s="4">
        <v>150.5</v>
      </c>
      <c r="R256" s="4">
        <v>170.1</v>
      </c>
      <c r="S256" s="4">
        <v>150.80000000000001</v>
      </c>
      <c r="T256" s="4">
        <v>141.69999999999999</v>
      </c>
      <c r="U256" s="4">
        <v>149.5</v>
      </c>
      <c r="V256" s="4">
        <v>154.80000000000001</v>
      </c>
      <c r="W256" s="4">
        <v>147.19999999999999</v>
      </c>
      <c r="X256" s="4">
        <v>146.4</v>
      </c>
      <c r="Y256" s="4">
        <v>151.69999999999999</v>
      </c>
      <c r="Z256" s="4">
        <v>130.30000000000001</v>
      </c>
      <c r="AA256" s="4">
        <v>143.19999999999999</v>
      </c>
      <c r="AB256" s="4">
        <v>156.19999999999999</v>
      </c>
      <c r="AC256" s="4">
        <v>143.4</v>
      </c>
      <c r="AD256" s="4">
        <v>143.6</v>
      </c>
      <c r="AE256" s="4">
        <v>149.1</v>
      </c>
      <c r="AF256" s="4" t="str">
        <f t="shared" si="7"/>
        <v>Pre Covid</v>
      </c>
      <c r="AG256" s="4"/>
    </row>
    <row r="257" spans="1:33">
      <c r="A257" s="6" t="s">
        <v>30</v>
      </c>
      <c r="B257" s="6">
        <v>2020</v>
      </c>
      <c r="C257" s="6" t="s">
        <v>35</v>
      </c>
      <c r="D257" s="6">
        <f t="shared" si="6"/>
        <v>3</v>
      </c>
      <c r="E257" s="6">
        <v>144.4</v>
      </c>
      <c r="F257" s="6">
        <v>166.8</v>
      </c>
      <c r="G257" s="6">
        <v>147.6</v>
      </c>
      <c r="H257" s="6">
        <v>151.69999999999999</v>
      </c>
      <c r="I257" s="6">
        <v>133.30000000000001</v>
      </c>
      <c r="J257" s="6">
        <v>141.80000000000001</v>
      </c>
      <c r="K257" s="6">
        <v>152.30000000000001</v>
      </c>
      <c r="L257" s="6">
        <v>141.80000000000001</v>
      </c>
      <c r="M257" s="6">
        <v>112.6</v>
      </c>
      <c r="N257" s="6">
        <v>154</v>
      </c>
      <c r="O257" s="6">
        <v>140.1</v>
      </c>
      <c r="P257" s="6">
        <v>160</v>
      </c>
      <c r="Q257" s="6">
        <v>148.19999999999999</v>
      </c>
      <c r="R257" s="6">
        <v>170.5</v>
      </c>
      <c r="S257" s="6">
        <v>153.4</v>
      </c>
      <c r="T257" s="6">
        <v>147.6</v>
      </c>
      <c r="U257" s="6">
        <v>152.5</v>
      </c>
      <c r="V257" s="6">
        <v>0</v>
      </c>
      <c r="W257" s="6">
        <v>153.4</v>
      </c>
      <c r="X257" s="6">
        <v>151.5</v>
      </c>
      <c r="Y257" s="6">
        <v>156.69999999999999</v>
      </c>
      <c r="Z257" s="6">
        <v>135.80000000000001</v>
      </c>
      <c r="AA257" s="6">
        <v>151.19999999999999</v>
      </c>
      <c r="AB257" s="6">
        <v>161.19999999999999</v>
      </c>
      <c r="AC257" s="6">
        <v>145.1</v>
      </c>
      <c r="AD257" s="6">
        <v>148.6</v>
      </c>
      <c r="AE257" s="6">
        <v>149.80000000000001</v>
      </c>
      <c r="AF257" s="6" t="str">
        <f t="shared" si="7"/>
        <v>Pre Covid</v>
      </c>
      <c r="AG257" s="6"/>
    </row>
    <row r="258" spans="1:33">
      <c r="A258" s="4" t="s">
        <v>32</v>
      </c>
      <c r="B258" s="4">
        <v>2020</v>
      </c>
      <c r="C258" s="4" t="s">
        <v>35</v>
      </c>
      <c r="D258" s="4">
        <f t="shared" si="6"/>
        <v>3</v>
      </c>
      <c r="E258" s="4">
        <v>146.5</v>
      </c>
      <c r="F258" s="4">
        <v>167.5</v>
      </c>
      <c r="G258" s="4">
        <v>148.9</v>
      </c>
      <c r="H258" s="4">
        <v>151.1</v>
      </c>
      <c r="I258" s="4">
        <v>127.5</v>
      </c>
      <c r="J258" s="4">
        <v>143.30000000000001</v>
      </c>
      <c r="K258" s="4">
        <v>167</v>
      </c>
      <c r="L258" s="4">
        <v>139.69999999999999</v>
      </c>
      <c r="M258" s="4">
        <v>114.4</v>
      </c>
      <c r="N258" s="4">
        <v>151.5</v>
      </c>
      <c r="O258" s="4">
        <v>131.9</v>
      </c>
      <c r="P258" s="4">
        <v>159.1</v>
      </c>
      <c r="Q258" s="4">
        <v>150.1</v>
      </c>
      <c r="R258" s="4">
        <v>173.3</v>
      </c>
      <c r="S258" s="4">
        <v>147.69999999999999</v>
      </c>
      <c r="T258" s="4">
        <v>133.80000000000001</v>
      </c>
      <c r="U258" s="4">
        <v>145.6</v>
      </c>
      <c r="V258" s="4">
        <v>154.5</v>
      </c>
      <c r="W258" s="4">
        <v>141.4</v>
      </c>
      <c r="X258" s="4">
        <v>140.80000000000001</v>
      </c>
      <c r="Y258" s="4">
        <v>145</v>
      </c>
      <c r="Z258" s="4">
        <v>124.6</v>
      </c>
      <c r="AA258" s="4">
        <v>137.9</v>
      </c>
      <c r="AB258" s="4">
        <v>152.5</v>
      </c>
      <c r="AC258" s="4">
        <v>145.30000000000001</v>
      </c>
      <c r="AD258" s="4">
        <v>138.69999999999999</v>
      </c>
      <c r="AE258" s="4">
        <v>147.30000000000001</v>
      </c>
      <c r="AF258" s="4" t="str">
        <f t="shared" si="7"/>
        <v>Pre Covid</v>
      </c>
      <c r="AG258" s="4"/>
    </row>
    <row r="259" spans="1:33">
      <c r="A259" s="6" t="s">
        <v>33</v>
      </c>
      <c r="B259" s="6">
        <v>2020</v>
      </c>
      <c r="C259" s="6" t="s">
        <v>35</v>
      </c>
      <c r="D259" s="6">
        <f t="shared" ref="D259:D322" si="8">MONTH(DATEVALUE(C259 &amp; " 1"))</f>
        <v>3</v>
      </c>
      <c r="E259" s="6">
        <v>145.1</v>
      </c>
      <c r="F259" s="6">
        <v>167</v>
      </c>
      <c r="G259" s="6">
        <v>148.1</v>
      </c>
      <c r="H259" s="6">
        <v>151.5</v>
      </c>
      <c r="I259" s="6">
        <v>131.19999999999999</v>
      </c>
      <c r="J259" s="6">
        <v>142.5</v>
      </c>
      <c r="K259" s="6">
        <v>157.30000000000001</v>
      </c>
      <c r="L259" s="6">
        <v>141.1</v>
      </c>
      <c r="M259" s="6">
        <v>113.2</v>
      </c>
      <c r="N259" s="6">
        <v>153.19999999999999</v>
      </c>
      <c r="O259" s="6">
        <v>136.69999999999999</v>
      </c>
      <c r="P259" s="6">
        <v>159.6</v>
      </c>
      <c r="Q259" s="6">
        <v>148.9</v>
      </c>
      <c r="R259" s="6">
        <v>171.2</v>
      </c>
      <c r="S259" s="6">
        <v>151.19999999999999</v>
      </c>
      <c r="T259" s="6">
        <v>141.9</v>
      </c>
      <c r="U259" s="6">
        <v>149.80000000000001</v>
      </c>
      <c r="V259" s="6">
        <v>154.5</v>
      </c>
      <c r="W259" s="6">
        <v>148.9</v>
      </c>
      <c r="X259" s="6">
        <v>146.4</v>
      </c>
      <c r="Y259" s="6">
        <v>152.30000000000001</v>
      </c>
      <c r="Z259" s="6">
        <v>129.9</v>
      </c>
      <c r="AA259" s="6">
        <v>143.69999999999999</v>
      </c>
      <c r="AB259" s="6">
        <v>156.1</v>
      </c>
      <c r="AC259" s="6">
        <v>145.19999999999999</v>
      </c>
      <c r="AD259" s="6">
        <v>143.80000000000001</v>
      </c>
      <c r="AE259" s="6">
        <v>148.6</v>
      </c>
      <c r="AF259" s="6" t="str">
        <f t="shared" ref="AF259:AF322" si="9">IF(AND(B259=2020,D259&lt;4),"Pre Covid",IF(B259&lt;2020,"Pre Covid","Post Covid"))</f>
        <v>Pre Covid</v>
      </c>
      <c r="AG259" s="6"/>
    </row>
    <row r="260" spans="1:33">
      <c r="A260" s="4" t="s">
        <v>30</v>
      </c>
      <c r="B260" s="4">
        <v>2020</v>
      </c>
      <c r="C260" s="4" t="s">
        <v>36</v>
      </c>
      <c r="D260" s="4">
        <f t="shared" si="8"/>
        <v>4</v>
      </c>
      <c r="E260" s="4">
        <v>147.19999999999999</v>
      </c>
      <c r="F260" s="4">
        <f>167+(190.3-167)*(1/6)</f>
        <v>170.88333333333333</v>
      </c>
      <c r="G260" s="4">
        <v>146.9</v>
      </c>
      <c r="H260" s="4">
        <v>155.6</v>
      </c>
      <c r="I260" s="4">
        <v>137.1</v>
      </c>
      <c r="J260" s="4">
        <v>147.30000000000001</v>
      </c>
      <c r="K260" s="4">
        <v>162.69999999999999</v>
      </c>
      <c r="L260" s="4">
        <v>150.19999999999999</v>
      </c>
      <c r="M260" s="4">
        <v>119.8</v>
      </c>
      <c r="N260" s="4">
        <v>158.69999999999999</v>
      </c>
      <c r="O260" s="4">
        <v>139.19999999999999</v>
      </c>
      <c r="P260" s="4">
        <f>P259+(P266-P259)*1/6</f>
        <v>159.96666666666667</v>
      </c>
      <c r="Q260" s="4">
        <v>150.1</v>
      </c>
      <c r="R260" s="4">
        <f>R259+(R266-R259)*1/6</f>
        <v>173.06666666666666</v>
      </c>
      <c r="S260" s="4">
        <f t="shared" ref="S260:T260" si="10">S259+(S266-S259)*1/6</f>
        <v>151.78333333333333</v>
      </c>
      <c r="T260" s="4">
        <f t="shared" si="10"/>
        <v>143.25</v>
      </c>
      <c r="U260" s="4">
        <f>U259+(U266-U259)*1/6</f>
        <v>150.51666666666668</v>
      </c>
      <c r="V260" s="4">
        <v>155</v>
      </c>
      <c r="W260" s="4">
        <v>148.4</v>
      </c>
      <c r="X260" s="4">
        <f>X259+(X266-X259)*1/6</f>
        <v>147.28333333333333</v>
      </c>
      <c r="Y260" s="4">
        <v>154.30000000000001</v>
      </c>
      <c r="Z260" s="4">
        <f>Z259+(Z266-Z259)*1/6</f>
        <v>131.81666666666666</v>
      </c>
      <c r="AA260" s="4">
        <f t="shared" ref="AA260:AE260" si="11">AA259+(AA266-AA259)*1/6</f>
        <v>145.28333333333333</v>
      </c>
      <c r="AB260" s="4">
        <f t="shared" si="11"/>
        <v>157.05000000000001</v>
      </c>
      <c r="AC260" s="4">
        <f t="shared" si="11"/>
        <v>146.19999999999999</v>
      </c>
      <c r="AD260" s="4">
        <f t="shared" si="11"/>
        <v>145.11666666666667</v>
      </c>
      <c r="AE260" s="4">
        <f t="shared" si="11"/>
        <v>149.28333333333333</v>
      </c>
      <c r="AF260" s="4" t="str">
        <f t="shared" si="9"/>
        <v>Post Covid</v>
      </c>
      <c r="AG260" s="4"/>
    </row>
    <row r="261" spans="1:33">
      <c r="A261" s="6" t="s">
        <v>32</v>
      </c>
      <c r="B261" s="6">
        <v>2020</v>
      </c>
      <c r="C261" s="6" t="s">
        <v>36</v>
      </c>
      <c r="D261" s="6">
        <f t="shared" si="8"/>
        <v>4</v>
      </c>
      <c r="E261" s="6">
        <v>151.80000000000001</v>
      </c>
      <c r="F261" s="6">
        <f>167+(190.3-167)*(2/6)</f>
        <v>174.76666666666668</v>
      </c>
      <c r="G261" s="6">
        <v>151.9</v>
      </c>
      <c r="H261" s="6">
        <v>155.5</v>
      </c>
      <c r="I261" s="6">
        <v>131.6</v>
      </c>
      <c r="J261" s="6">
        <v>152.9</v>
      </c>
      <c r="K261" s="6">
        <v>180</v>
      </c>
      <c r="L261" s="6">
        <v>150.80000000000001</v>
      </c>
      <c r="M261" s="6">
        <v>121.2</v>
      </c>
      <c r="N261" s="6">
        <v>154</v>
      </c>
      <c r="O261" s="6">
        <v>133.5</v>
      </c>
      <c r="P261" s="6">
        <f>P259+(P266-P259)*2/6</f>
        <v>160.33333333333334</v>
      </c>
      <c r="Q261" s="6">
        <v>153.5</v>
      </c>
      <c r="R261" s="6">
        <f>R259+(R266-R259)*2/6</f>
        <v>174.93333333333334</v>
      </c>
      <c r="S261" s="6">
        <f t="shared" ref="S261:T261" si="12">S259+(S266-S259)*2/6</f>
        <v>152.36666666666665</v>
      </c>
      <c r="T261" s="6">
        <f t="shared" si="12"/>
        <v>144.6</v>
      </c>
      <c r="U261" s="6">
        <f>U259+(U266-U259)*2/6</f>
        <v>151.23333333333335</v>
      </c>
      <c r="V261" s="6">
        <v>155.6</v>
      </c>
      <c r="W261" s="6">
        <v>137.1</v>
      </c>
      <c r="X261" s="6">
        <f>X259+(X266-X259)*2/6</f>
        <v>148.16666666666666</v>
      </c>
      <c r="Y261" s="6">
        <v>144.80000000000001</v>
      </c>
      <c r="Z261" s="6">
        <f>Z259+(Z266-Z259)*2/6</f>
        <v>133.73333333333335</v>
      </c>
      <c r="AA261" s="6">
        <f t="shared" ref="AA261:AE261" si="13">AA259+(AA266-AA259)*2/6</f>
        <v>146.86666666666665</v>
      </c>
      <c r="AB261" s="6">
        <f t="shared" si="13"/>
        <v>158</v>
      </c>
      <c r="AC261" s="6">
        <f t="shared" si="13"/>
        <v>147.19999999999999</v>
      </c>
      <c r="AD261" s="6">
        <f t="shared" si="13"/>
        <v>146.43333333333334</v>
      </c>
      <c r="AE261" s="6">
        <f t="shared" si="13"/>
        <v>149.96666666666667</v>
      </c>
      <c r="AF261" s="6" t="str">
        <f t="shared" si="9"/>
        <v>Post Covid</v>
      </c>
      <c r="AG261" s="6"/>
    </row>
    <row r="262" spans="1:33">
      <c r="A262" s="4" t="s">
        <v>33</v>
      </c>
      <c r="B262" s="4">
        <v>2020</v>
      </c>
      <c r="C262" s="4" t="s">
        <v>36</v>
      </c>
      <c r="D262" s="4">
        <f t="shared" si="8"/>
        <v>4</v>
      </c>
      <c r="E262" s="4">
        <v>148.69999999999999</v>
      </c>
      <c r="F262" s="4">
        <f>167+(190.3-167)*(3/6)</f>
        <v>178.65</v>
      </c>
      <c r="G262" s="4">
        <v>148.80000000000001</v>
      </c>
      <c r="H262" s="4">
        <v>155.6</v>
      </c>
      <c r="I262" s="4">
        <v>135.1</v>
      </c>
      <c r="J262" s="4">
        <v>149.9</v>
      </c>
      <c r="K262" s="4">
        <v>168.6</v>
      </c>
      <c r="L262" s="4">
        <v>150.4</v>
      </c>
      <c r="M262" s="4">
        <v>120.3</v>
      </c>
      <c r="N262" s="4">
        <v>157.1</v>
      </c>
      <c r="O262" s="4">
        <v>136.80000000000001</v>
      </c>
      <c r="P262" s="4">
        <f>P259+(P266-P259)*3/6</f>
        <v>160.69999999999999</v>
      </c>
      <c r="Q262" s="4">
        <v>151.4</v>
      </c>
      <c r="R262" s="4">
        <f>R259+(R266-R259)*3/6</f>
        <v>176.8</v>
      </c>
      <c r="S262" s="4">
        <f t="shared" ref="S262:T262" si="14">S259+(S266-S259)*3/6</f>
        <v>152.94999999999999</v>
      </c>
      <c r="T262" s="4">
        <f t="shared" si="14"/>
        <v>145.94999999999999</v>
      </c>
      <c r="U262" s="4">
        <f>U259+(U266-U259)*3/6</f>
        <v>151.94999999999999</v>
      </c>
      <c r="V262" s="4">
        <v>155.6</v>
      </c>
      <c r="W262" s="4">
        <v>144.1</v>
      </c>
      <c r="X262" s="4">
        <f>X259+(X266-X259)*3/6</f>
        <v>149.05000000000001</v>
      </c>
      <c r="Y262" s="4">
        <v>150.69999999999999</v>
      </c>
      <c r="Z262" s="4">
        <f>Z259+(Z266-Z259)*3/6</f>
        <v>135.65</v>
      </c>
      <c r="AA262" s="4">
        <f t="shared" ref="AA262:AE262" si="15">AA259+(AA266-AA259)*3/6</f>
        <v>148.44999999999999</v>
      </c>
      <c r="AB262" s="4">
        <f t="shared" si="15"/>
        <v>158.94999999999999</v>
      </c>
      <c r="AC262" s="4">
        <f t="shared" si="15"/>
        <v>148.19999999999999</v>
      </c>
      <c r="AD262" s="4">
        <f t="shared" si="15"/>
        <v>147.75</v>
      </c>
      <c r="AE262" s="4">
        <f t="shared" si="15"/>
        <v>150.64999999999998</v>
      </c>
      <c r="AF262" s="4" t="str">
        <f t="shared" si="9"/>
        <v>Post Covid</v>
      </c>
      <c r="AG262" s="4"/>
    </row>
    <row r="263" spans="1:33">
      <c r="A263" s="6" t="s">
        <v>30</v>
      </c>
      <c r="B263" s="6">
        <v>2020</v>
      </c>
      <c r="C263" s="6" t="s">
        <v>37</v>
      </c>
      <c r="D263" s="6">
        <f t="shared" si="8"/>
        <v>5</v>
      </c>
      <c r="E263" s="6">
        <f>E262+(E266-E262)*(1/3)</f>
        <v>148.53333333333333</v>
      </c>
      <c r="F263" s="6">
        <f>167+(190.3-167)*(4/6)</f>
        <v>182.53333333333333</v>
      </c>
      <c r="G263" s="6">
        <f>G262+(G266-G262)*1/3</f>
        <v>149</v>
      </c>
      <c r="H263" s="6">
        <f>H262+(H266-H262)*1/3</f>
        <v>154.83333333333334</v>
      </c>
      <c r="I263" s="6">
        <f>I262+(I266-I262)*1/3</f>
        <v>136.13333333333333</v>
      </c>
      <c r="J263" s="6">
        <f t="shared" ref="J263:O263" si="16">J262+(J266-J262)*1/3</f>
        <v>147.66666666666666</v>
      </c>
      <c r="K263" s="6">
        <f t="shared" si="16"/>
        <v>162.03333333333333</v>
      </c>
      <c r="L263" s="6">
        <f t="shared" si="16"/>
        <v>150.36666666666667</v>
      </c>
      <c r="M263" s="6">
        <f t="shared" si="16"/>
        <v>117.93333333333334</v>
      </c>
      <c r="N263" s="6">
        <f t="shared" si="16"/>
        <v>158</v>
      </c>
      <c r="O263" s="6">
        <f t="shared" si="16"/>
        <v>138.56666666666666</v>
      </c>
      <c r="P263" s="6">
        <f>P259+(P266-P259)*4/6</f>
        <v>161.06666666666666</v>
      </c>
      <c r="Q263" s="6">
        <f t="shared" ref="Q263" si="17">Q262+(Q266-Q262)*1/3</f>
        <v>151.70000000000002</v>
      </c>
      <c r="R263" s="6">
        <f>R259+(R266-R259)*4/6</f>
        <v>178.66666666666666</v>
      </c>
      <c r="S263" s="6">
        <f t="shared" ref="S263:T263" si="18">S259+(S266-S259)*4/6</f>
        <v>153.53333333333333</v>
      </c>
      <c r="T263" s="6">
        <f t="shared" si="18"/>
        <v>147.30000000000001</v>
      </c>
      <c r="U263" s="6">
        <f>U259+(U266-U259)*4/6</f>
        <v>152.66666666666666</v>
      </c>
      <c r="V263" s="6">
        <v>155</v>
      </c>
      <c r="W263" s="6">
        <f>W262+(W266-W262)*1/3</f>
        <v>144.36666666666667</v>
      </c>
      <c r="X263" s="6">
        <f>X259+(X266-X259)*4/6</f>
        <v>149.93333333333334</v>
      </c>
      <c r="Y263" s="6">
        <f>Y262+(Y266-Y262)*1/3</f>
        <v>153.19999999999999</v>
      </c>
      <c r="Z263" s="6">
        <f>Z259+(Z266-Z259)*4/6</f>
        <v>137.56666666666666</v>
      </c>
      <c r="AA263" s="6">
        <f t="shared" ref="AA263:AE263" si="19">AA259+(AA266-AA259)*4/6</f>
        <v>150.03333333333333</v>
      </c>
      <c r="AB263" s="6">
        <f t="shared" si="19"/>
        <v>159.9</v>
      </c>
      <c r="AC263" s="6">
        <f t="shared" si="19"/>
        <v>149.19999999999999</v>
      </c>
      <c r="AD263" s="6">
        <f t="shared" si="19"/>
        <v>149.06666666666666</v>
      </c>
      <c r="AE263" s="6">
        <f t="shared" si="19"/>
        <v>151.33333333333331</v>
      </c>
      <c r="AF263" s="6" t="str">
        <f t="shared" si="9"/>
        <v>Post Covid</v>
      </c>
      <c r="AG263" s="6"/>
    </row>
    <row r="264" spans="1:33">
      <c r="A264" s="4" t="s">
        <v>32</v>
      </c>
      <c r="B264" s="4">
        <v>2020</v>
      </c>
      <c r="C264" s="4" t="s">
        <v>37</v>
      </c>
      <c r="D264" s="4">
        <f t="shared" si="8"/>
        <v>5</v>
      </c>
      <c r="E264" s="4">
        <f>E262+(E266-E262)*(2/3)</f>
        <v>148.36666666666665</v>
      </c>
      <c r="F264" s="4">
        <f>167+(190.3-167)*(5/6)</f>
        <v>186.41666666666669</v>
      </c>
      <c r="G264" s="4">
        <f>G262+(G266-G262)*2/3</f>
        <v>149.20000000000002</v>
      </c>
      <c r="H264" s="4">
        <f>H262+(H266-H262)*2/3</f>
        <v>154.06666666666666</v>
      </c>
      <c r="I264" s="4">
        <f t="shared" ref="I264:Q264" si="20">I262+(I266-I262)*2/3</f>
        <v>137.16666666666666</v>
      </c>
      <c r="J264" s="4">
        <f t="shared" si="20"/>
        <v>145.43333333333334</v>
      </c>
      <c r="K264" s="4">
        <f t="shared" si="20"/>
        <v>155.46666666666667</v>
      </c>
      <c r="L264" s="4">
        <f t="shared" si="20"/>
        <v>150.33333333333334</v>
      </c>
      <c r="M264" s="4">
        <f t="shared" si="20"/>
        <v>115.56666666666666</v>
      </c>
      <c r="N264" s="4">
        <f t="shared" si="20"/>
        <v>158.9</v>
      </c>
      <c r="O264" s="4">
        <f t="shared" si="20"/>
        <v>140.33333333333334</v>
      </c>
      <c r="P264" s="4">
        <f>P259+(P266-P259)*5/6</f>
        <v>161.43333333333334</v>
      </c>
      <c r="Q264" s="4">
        <f t="shared" si="20"/>
        <v>152</v>
      </c>
      <c r="R264" s="4">
        <f>R259+(R266-R259)*5/6</f>
        <v>180.53333333333333</v>
      </c>
      <c r="S264" s="4">
        <f t="shared" ref="S264:T264" si="21">S259+(S266-S259)*5/6</f>
        <v>154.11666666666665</v>
      </c>
      <c r="T264" s="4">
        <f t="shared" si="21"/>
        <v>148.65</v>
      </c>
      <c r="U264" s="4">
        <f>U259+(U266-U259)*5/6</f>
        <v>153.38333333333333</v>
      </c>
      <c r="V264" s="4">
        <v>155</v>
      </c>
      <c r="W264" s="4">
        <f>W262+(W266-W262)*2/3</f>
        <v>144.63333333333333</v>
      </c>
      <c r="X264" s="4">
        <f>X259+(X266-X259)*5/6</f>
        <v>150.81666666666666</v>
      </c>
      <c r="Y264" s="4">
        <f>Y262+(Y266-Y262)*2/3</f>
        <v>155.69999999999999</v>
      </c>
      <c r="Z264" s="4">
        <f>Z259+(Z266-Z259)*5/6</f>
        <v>139.48333333333335</v>
      </c>
      <c r="AA264" s="4">
        <f t="shared" ref="AA264:AE264" si="22">AA259+(AA266-AA259)*5/6</f>
        <v>151.61666666666665</v>
      </c>
      <c r="AB264" s="4">
        <f t="shared" si="22"/>
        <v>160.85000000000002</v>
      </c>
      <c r="AC264" s="4">
        <f t="shared" si="22"/>
        <v>150.19999999999999</v>
      </c>
      <c r="AD264" s="4">
        <f t="shared" si="22"/>
        <v>150.38333333333333</v>
      </c>
      <c r="AE264" s="4">
        <f t="shared" si="22"/>
        <v>152.01666666666665</v>
      </c>
      <c r="AF264" s="4" t="str">
        <f t="shared" si="9"/>
        <v>Post Covid</v>
      </c>
      <c r="AG264" s="4"/>
    </row>
    <row r="265" spans="1:33">
      <c r="A265" s="6" t="s">
        <v>33</v>
      </c>
      <c r="B265" s="6">
        <v>2020</v>
      </c>
      <c r="C265" s="6" t="s">
        <v>37</v>
      </c>
      <c r="D265" s="6">
        <f t="shared" si="8"/>
        <v>5</v>
      </c>
      <c r="E265" s="6">
        <f>E262+(E266-E262)*(3/3)</f>
        <v>148.19999999999999</v>
      </c>
      <c r="F265" s="6">
        <f>167+(190.3-167)*(6/6)</f>
        <v>190.3</v>
      </c>
      <c r="G265" s="6">
        <f>G262+(G266-G262)*3/3</f>
        <v>149.4</v>
      </c>
      <c r="H265" s="6">
        <f>H262+(H266-H262)*3/3</f>
        <v>153.30000000000001</v>
      </c>
      <c r="I265" s="6">
        <f t="shared" ref="I265:O265" si="23">I262+(I266-I262)*3/3</f>
        <v>138.19999999999999</v>
      </c>
      <c r="J265" s="6">
        <f t="shared" si="23"/>
        <v>143.19999999999999</v>
      </c>
      <c r="K265" s="6">
        <f t="shared" si="23"/>
        <v>148.9</v>
      </c>
      <c r="L265" s="6">
        <f t="shared" si="23"/>
        <v>150.30000000000001</v>
      </c>
      <c r="M265" s="6">
        <f t="shared" si="23"/>
        <v>113.2</v>
      </c>
      <c r="N265" s="6">
        <f t="shared" si="23"/>
        <v>159.80000000000001</v>
      </c>
      <c r="O265" s="6">
        <f t="shared" si="23"/>
        <v>142.1</v>
      </c>
      <c r="P265" s="6">
        <f>P259+(P266-P259)*6/6</f>
        <v>161.80000000000001</v>
      </c>
      <c r="Q265" s="6">
        <f t="shared" ref="Q265" si="24">Q262+(Q266-Q262)*3/3</f>
        <v>152.30000000000001</v>
      </c>
      <c r="R265" s="6">
        <f>R259+(R266-R259)*6/6</f>
        <v>182.4</v>
      </c>
      <c r="S265" s="6">
        <f t="shared" ref="S265:T265" si="25">S259+(S266-S259)*6/6</f>
        <v>154.69999999999999</v>
      </c>
      <c r="T265" s="6">
        <f t="shared" si="25"/>
        <v>150</v>
      </c>
      <c r="U265" s="6">
        <f>U259+(U266-U259)*6/6</f>
        <v>154.1</v>
      </c>
      <c r="V265" s="6">
        <v>155</v>
      </c>
      <c r="W265" s="6">
        <f>W262+(W266-W262)*3/3</f>
        <v>144.9</v>
      </c>
      <c r="X265" s="6">
        <f>X259+(X266-X259)*6/6</f>
        <v>151.69999999999999</v>
      </c>
      <c r="Y265" s="6">
        <f>Y262+(Y266-Y262)*3/3</f>
        <v>158.19999999999999</v>
      </c>
      <c r="Z265" s="6">
        <f>Z259+(Z266-Z259)*6/6</f>
        <v>141.4</v>
      </c>
      <c r="AA265" s="6">
        <f t="shared" ref="AA265:AE265" si="26">AA259+(AA266-AA259)*6/6</f>
        <v>153.19999999999999</v>
      </c>
      <c r="AB265" s="6">
        <f t="shared" si="26"/>
        <v>161.80000000000001</v>
      </c>
      <c r="AC265" s="6">
        <f t="shared" si="26"/>
        <v>151.19999999999999</v>
      </c>
      <c r="AD265" s="6">
        <f t="shared" si="26"/>
        <v>151.69999999999999</v>
      </c>
      <c r="AE265" s="6">
        <f t="shared" si="26"/>
        <v>152.69999999999999</v>
      </c>
      <c r="AF265" s="6" t="str">
        <f t="shared" si="9"/>
        <v>Post Covid</v>
      </c>
      <c r="AG265" s="6"/>
    </row>
    <row r="266" spans="1:33">
      <c r="A266" s="4" t="s">
        <v>30</v>
      </c>
      <c r="B266" s="4">
        <v>2020</v>
      </c>
      <c r="C266" s="4" t="s">
        <v>38</v>
      </c>
      <c r="D266" s="4">
        <f t="shared" si="8"/>
        <v>6</v>
      </c>
      <c r="E266" s="4">
        <v>148.19999999999999</v>
      </c>
      <c r="F266" s="4">
        <v>190.3</v>
      </c>
      <c r="G266" s="4">
        <v>149.4</v>
      </c>
      <c r="H266" s="4">
        <v>153.30000000000001</v>
      </c>
      <c r="I266" s="4">
        <v>138.19999999999999</v>
      </c>
      <c r="J266" s="4">
        <v>143.19999999999999</v>
      </c>
      <c r="K266" s="4">
        <v>148.9</v>
      </c>
      <c r="L266" s="4">
        <v>150.30000000000001</v>
      </c>
      <c r="M266" s="4">
        <v>113.2</v>
      </c>
      <c r="N266" s="4">
        <v>159.80000000000001</v>
      </c>
      <c r="O266" s="4">
        <v>142.1</v>
      </c>
      <c r="P266" s="4">
        <v>161.80000000000001</v>
      </c>
      <c r="Q266" s="4">
        <v>152.30000000000001</v>
      </c>
      <c r="R266" s="4">
        <v>182.4</v>
      </c>
      <c r="S266" s="4">
        <v>154.69999999999999</v>
      </c>
      <c r="T266" s="4">
        <v>150</v>
      </c>
      <c r="U266" s="4">
        <v>154.1</v>
      </c>
      <c r="V266" s="4">
        <v>155</v>
      </c>
      <c r="W266" s="4">
        <v>144.9</v>
      </c>
      <c r="X266" s="4">
        <v>151.69999999999999</v>
      </c>
      <c r="Y266" s="4">
        <v>158.19999999999999</v>
      </c>
      <c r="Z266" s="4">
        <v>141.4</v>
      </c>
      <c r="AA266" s="4">
        <v>153.19999999999999</v>
      </c>
      <c r="AB266" s="4">
        <v>161.80000000000001</v>
      </c>
      <c r="AC266" s="4">
        <v>151.19999999999999</v>
      </c>
      <c r="AD266" s="4">
        <v>151.69999999999999</v>
      </c>
      <c r="AE266" s="4">
        <v>152.69999999999999</v>
      </c>
      <c r="AF266" s="4" t="str">
        <f t="shared" si="9"/>
        <v>Post Covid</v>
      </c>
      <c r="AG266" s="4"/>
    </row>
    <row r="267" spans="1:33">
      <c r="A267" s="6" t="s">
        <v>32</v>
      </c>
      <c r="B267" s="6">
        <v>2020</v>
      </c>
      <c r="C267" s="6" t="s">
        <v>38</v>
      </c>
      <c r="D267" s="6">
        <f t="shared" si="8"/>
        <v>6</v>
      </c>
      <c r="E267" s="6">
        <v>152.69999999999999</v>
      </c>
      <c r="F267" s="6">
        <v>197</v>
      </c>
      <c r="G267" s="6">
        <v>154.6</v>
      </c>
      <c r="H267" s="6">
        <v>153.4</v>
      </c>
      <c r="I267" s="6">
        <v>132.9</v>
      </c>
      <c r="J267" s="6">
        <v>151.80000000000001</v>
      </c>
      <c r="K267" s="6">
        <v>171.2</v>
      </c>
      <c r="L267" s="6">
        <v>152</v>
      </c>
      <c r="M267" s="6">
        <v>116.3</v>
      </c>
      <c r="N267" s="6">
        <v>158.80000000000001</v>
      </c>
      <c r="O267" s="6">
        <v>135.6</v>
      </c>
      <c r="P267" s="6">
        <v>161.69999999999999</v>
      </c>
      <c r="Q267" s="6">
        <v>157</v>
      </c>
      <c r="R267" s="6">
        <v>186.7</v>
      </c>
      <c r="S267" s="6">
        <v>149.1</v>
      </c>
      <c r="T267" s="6">
        <v>136.6</v>
      </c>
      <c r="U267" s="6">
        <v>147.19999999999999</v>
      </c>
      <c r="V267" s="6">
        <v>154.69999999999999</v>
      </c>
      <c r="W267" s="6">
        <v>137.1</v>
      </c>
      <c r="X267" s="6">
        <v>140.4</v>
      </c>
      <c r="Y267" s="6">
        <v>148.1</v>
      </c>
      <c r="Z267" s="6">
        <v>129.30000000000001</v>
      </c>
      <c r="AA267" s="6">
        <v>144.5</v>
      </c>
      <c r="AB267" s="6">
        <v>152.5</v>
      </c>
      <c r="AC267" s="6">
        <v>152.19999999999999</v>
      </c>
      <c r="AD267" s="6">
        <v>142</v>
      </c>
      <c r="AE267" s="6">
        <v>150.80000000000001</v>
      </c>
      <c r="AF267" s="6" t="str">
        <f t="shared" si="9"/>
        <v>Post Covid</v>
      </c>
      <c r="AG267" s="6"/>
    </row>
    <row r="268" spans="1:33">
      <c r="A268" s="4" t="s">
        <v>33</v>
      </c>
      <c r="B268" s="4">
        <v>2020</v>
      </c>
      <c r="C268" s="4" t="s">
        <v>38</v>
      </c>
      <c r="D268" s="4">
        <f t="shared" si="8"/>
        <v>6</v>
      </c>
      <c r="E268" s="4">
        <v>149.6</v>
      </c>
      <c r="F268" s="4">
        <v>192.7</v>
      </c>
      <c r="G268" s="4">
        <v>151.4</v>
      </c>
      <c r="H268" s="4">
        <v>153.30000000000001</v>
      </c>
      <c r="I268" s="4">
        <v>136.30000000000001</v>
      </c>
      <c r="J268" s="4">
        <v>147.19999999999999</v>
      </c>
      <c r="K268" s="4">
        <v>156.5</v>
      </c>
      <c r="L268" s="4">
        <v>150.9</v>
      </c>
      <c r="M268" s="4">
        <v>114.2</v>
      </c>
      <c r="N268" s="4">
        <v>159.5</v>
      </c>
      <c r="O268" s="4">
        <v>139.4</v>
      </c>
      <c r="P268" s="4">
        <v>161.80000000000001</v>
      </c>
      <c r="Q268" s="4">
        <v>154</v>
      </c>
      <c r="R268" s="4">
        <v>183.5</v>
      </c>
      <c r="S268" s="4">
        <v>152.5</v>
      </c>
      <c r="T268" s="4">
        <v>144.4</v>
      </c>
      <c r="U268" s="4">
        <v>151.4</v>
      </c>
      <c r="V268" s="4">
        <v>154.69999999999999</v>
      </c>
      <c r="W268" s="4">
        <v>141.9</v>
      </c>
      <c r="X268" s="4">
        <v>146.4</v>
      </c>
      <c r="Y268" s="4">
        <v>154.4</v>
      </c>
      <c r="Z268" s="4">
        <v>135</v>
      </c>
      <c r="AA268" s="4">
        <v>148.30000000000001</v>
      </c>
      <c r="AB268" s="4">
        <v>156.4</v>
      </c>
      <c r="AC268" s="4">
        <v>151.6</v>
      </c>
      <c r="AD268" s="4">
        <v>147</v>
      </c>
      <c r="AE268" s="4">
        <v>151.80000000000001</v>
      </c>
      <c r="AF268" s="4" t="str">
        <f t="shared" si="9"/>
        <v>Post Covid</v>
      </c>
      <c r="AG268" s="4"/>
    </row>
    <row r="269" spans="1:33">
      <c r="A269" s="6" t="s">
        <v>30</v>
      </c>
      <c r="B269" s="6">
        <v>2020</v>
      </c>
      <c r="C269" s="6" t="s">
        <v>39</v>
      </c>
      <c r="D269" s="6">
        <f t="shared" si="8"/>
        <v>7</v>
      </c>
      <c r="E269" s="6">
        <v>148.19999999999999</v>
      </c>
      <c r="F269" s="6">
        <v>190.3</v>
      </c>
      <c r="G269" s="6">
        <v>149.4</v>
      </c>
      <c r="H269" s="6">
        <v>153.30000000000001</v>
      </c>
      <c r="I269" s="6">
        <v>138.19999999999999</v>
      </c>
      <c r="J269" s="6">
        <v>143.19999999999999</v>
      </c>
      <c r="K269" s="6">
        <v>148.9</v>
      </c>
      <c r="L269" s="6">
        <v>150.30000000000001</v>
      </c>
      <c r="M269" s="6">
        <v>113.2</v>
      </c>
      <c r="N269" s="6">
        <v>159.80000000000001</v>
      </c>
      <c r="O269" s="6">
        <v>142.1</v>
      </c>
      <c r="P269" s="6">
        <v>161.80000000000001</v>
      </c>
      <c r="Q269" s="6">
        <v>152.30000000000001</v>
      </c>
      <c r="R269" s="6">
        <v>182.4</v>
      </c>
      <c r="S269" s="6">
        <v>154.69999999999999</v>
      </c>
      <c r="T269" s="6">
        <v>150</v>
      </c>
      <c r="U269" s="6">
        <v>154.1</v>
      </c>
      <c r="V269" s="6">
        <v>155</v>
      </c>
      <c r="W269" s="6">
        <v>144.9</v>
      </c>
      <c r="X269" s="6">
        <v>151.69999999999999</v>
      </c>
      <c r="Y269" s="6">
        <v>158.19999999999999</v>
      </c>
      <c r="Z269" s="6">
        <v>141.4</v>
      </c>
      <c r="AA269" s="6">
        <v>153.19999999999999</v>
      </c>
      <c r="AB269" s="6">
        <v>161.80000000000001</v>
      </c>
      <c r="AC269" s="6">
        <v>151.19999999999999</v>
      </c>
      <c r="AD269" s="6">
        <v>151.69999999999999</v>
      </c>
      <c r="AE269" s="6">
        <v>152.69999999999999</v>
      </c>
      <c r="AF269" s="6" t="str">
        <f t="shared" si="9"/>
        <v>Post Covid</v>
      </c>
      <c r="AG269" s="6"/>
    </row>
    <row r="270" spans="1:33">
      <c r="A270" s="4" t="s">
        <v>32</v>
      </c>
      <c r="B270" s="4">
        <v>2020</v>
      </c>
      <c r="C270" s="4" t="s">
        <v>39</v>
      </c>
      <c r="D270" s="4">
        <f t="shared" si="8"/>
        <v>7</v>
      </c>
      <c r="E270" s="4">
        <v>152.69999999999999</v>
      </c>
      <c r="F270" s="4">
        <v>197</v>
      </c>
      <c r="G270" s="4">
        <v>154.6</v>
      </c>
      <c r="H270" s="4">
        <v>153.4</v>
      </c>
      <c r="I270" s="4">
        <v>132.9</v>
      </c>
      <c r="J270" s="4">
        <v>151.80000000000001</v>
      </c>
      <c r="K270" s="4">
        <v>171.2</v>
      </c>
      <c r="L270" s="4">
        <v>152</v>
      </c>
      <c r="M270" s="4">
        <v>116.3</v>
      </c>
      <c r="N270" s="4">
        <v>158.80000000000001</v>
      </c>
      <c r="O270" s="4">
        <v>135.6</v>
      </c>
      <c r="P270" s="4">
        <v>161.69999999999999</v>
      </c>
      <c r="Q270" s="4">
        <v>157</v>
      </c>
      <c r="R270" s="4">
        <v>186.7</v>
      </c>
      <c r="S270" s="4">
        <v>149.1</v>
      </c>
      <c r="T270" s="4">
        <v>136.6</v>
      </c>
      <c r="U270" s="4">
        <v>147.19999999999999</v>
      </c>
      <c r="V270" s="4">
        <v>154.69999999999999</v>
      </c>
      <c r="W270" s="4">
        <v>137.1</v>
      </c>
      <c r="X270" s="4">
        <v>140.4</v>
      </c>
      <c r="Y270" s="4">
        <v>148.1</v>
      </c>
      <c r="Z270" s="4">
        <v>129.30000000000001</v>
      </c>
      <c r="AA270" s="4">
        <v>144.5</v>
      </c>
      <c r="AB270" s="4">
        <v>152.5</v>
      </c>
      <c r="AC270" s="4">
        <v>152.19999999999999</v>
      </c>
      <c r="AD270" s="4">
        <v>142</v>
      </c>
      <c r="AE270" s="4">
        <v>150.80000000000001</v>
      </c>
      <c r="AF270" s="4" t="str">
        <f t="shared" si="9"/>
        <v>Post Covid</v>
      </c>
      <c r="AG270" s="4"/>
    </row>
    <row r="271" spans="1:33">
      <c r="A271" s="6" t="s">
        <v>33</v>
      </c>
      <c r="B271" s="6">
        <v>2020</v>
      </c>
      <c r="C271" s="6" t="s">
        <v>39</v>
      </c>
      <c r="D271" s="6">
        <f t="shared" si="8"/>
        <v>7</v>
      </c>
      <c r="E271" s="6">
        <v>149.6</v>
      </c>
      <c r="F271" s="6">
        <v>192.7</v>
      </c>
      <c r="G271" s="6">
        <v>151.4</v>
      </c>
      <c r="H271" s="6">
        <v>153.30000000000001</v>
      </c>
      <c r="I271" s="6">
        <v>136.30000000000001</v>
      </c>
      <c r="J271" s="6">
        <v>147.19999999999999</v>
      </c>
      <c r="K271" s="6">
        <v>156.5</v>
      </c>
      <c r="L271" s="6">
        <v>150.9</v>
      </c>
      <c r="M271" s="6">
        <v>114.2</v>
      </c>
      <c r="N271" s="6">
        <v>159.5</v>
      </c>
      <c r="O271" s="6">
        <v>139.4</v>
      </c>
      <c r="P271" s="6">
        <v>161.80000000000001</v>
      </c>
      <c r="Q271" s="6">
        <v>154</v>
      </c>
      <c r="R271" s="6">
        <v>183.5</v>
      </c>
      <c r="S271" s="6">
        <v>152.5</v>
      </c>
      <c r="T271" s="6">
        <v>144.4</v>
      </c>
      <c r="U271" s="6">
        <v>151.4</v>
      </c>
      <c r="V271" s="6">
        <v>154.69999999999999</v>
      </c>
      <c r="W271" s="6">
        <v>141.9</v>
      </c>
      <c r="X271" s="6">
        <v>146.4</v>
      </c>
      <c r="Y271" s="6">
        <v>154.4</v>
      </c>
      <c r="Z271" s="6">
        <v>135</v>
      </c>
      <c r="AA271" s="6">
        <v>148.30000000000001</v>
      </c>
      <c r="AB271" s="6">
        <v>156.4</v>
      </c>
      <c r="AC271" s="6">
        <v>151.6</v>
      </c>
      <c r="AD271" s="6">
        <v>147</v>
      </c>
      <c r="AE271" s="6">
        <v>151.80000000000001</v>
      </c>
      <c r="AF271" s="6" t="str">
        <f t="shared" si="9"/>
        <v>Post Covid</v>
      </c>
      <c r="AG271" s="6"/>
    </row>
    <row r="272" spans="1:33">
      <c r="A272" s="4" t="s">
        <v>30</v>
      </c>
      <c r="B272" s="4">
        <v>2020</v>
      </c>
      <c r="C272" s="4" t="s">
        <v>40</v>
      </c>
      <c r="D272" s="4">
        <f t="shared" si="8"/>
        <v>8</v>
      </c>
      <c r="E272" s="4">
        <v>147.6</v>
      </c>
      <c r="F272" s="4">
        <v>187.2</v>
      </c>
      <c r="G272" s="4">
        <v>148.4</v>
      </c>
      <c r="H272" s="4">
        <v>153.30000000000001</v>
      </c>
      <c r="I272" s="4">
        <v>139.80000000000001</v>
      </c>
      <c r="J272" s="4">
        <v>146.9</v>
      </c>
      <c r="K272" s="4">
        <v>171</v>
      </c>
      <c r="L272" s="4">
        <v>149.9</v>
      </c>
      <c r="M272" s="4">
        <v>114.2</v>
      </c>
      <c r="N272" s="4">
        <v>160</v>
      </c>
      <c r="O272" s="4">
        <v>143.5</v>
      </c>
      <c r="P272" s="4">
        <v>161.5</v>
      </c>
      <c r="Q272" s="4">
        <v>155.30000000000001</v>
      </c>
      <c r="R272" s="4">
        <v>180.9</v>
      </c>
      <c r="S272" s="4">
        <v>155.1</v>
      </c>
      <c r="T272" s="4">
        <v>149.30000000000001</v>
      </c>
      <c r="U272" s="4">
        <v>154.30000000000001</v>
      </c>
      <c r="V272" s="4">
        <v>155.9</v>
      </c>
      <c r="W272" s="4">
        <v>145.80000000000001</v>
      </c>
      <c r="X272" s="4">
        <v>151.9</v>
      </c>
      <c r="Y272" s="4">
        <v>158.80000000000001</v>
      </c>
      <c r="Z272" s="4">
        <v>143.6</v>
      </c>
      <c r="AA272" s="4">
        <v>152.19999999999999</v>
      </c>
      <c r="AB272" s="4">
        <v>162.69999999999999</v>
      </c>
      <c r="AC272" s="4">
        <v>153.6</v>
      </c>
      <c r="AD272" s="4">
        <v>153</v>
      </c>
      <c r="AE272" s="4">
        <v>154.69999999999999</v>
      </c>
      <c r="AF272" s="4" t="str">
        <f t="shared" si="9"/>
        <v>Post Covid</v>
      </c>
      <c r="AG272" s="4"/>
    </row>
    <row r="273" spans="1:33">
      <c r="A273" s="6" t="s">
        <v>32</v>
      </c>
      <c r="B273" s="6">
        <v>2020</v>
      </c>
      <c r="C273" s="6" t="s">
        <v>40</v>
      </c>
      <c r="D273" s="6">
        <f t="shared" si="8"/>
        <v>8</v>
      </c>
      <c r="E273" s="6">
        <v>151.6</v>
      </c>
      <c r="F273" s="6">
        <v>197.8</v>
      </c>
      <c r="G273" s="6">
        <v>154.5</v>
      </c>
      <c r="H273" s="6">
        <v>153.4</v>
      </c>
      <c r="I273" s="6">
        <v>133.4</v>
      </c>
      <c r="J273" s="6">
        <v>154.5</v>
      </c>
      <c r="K273" s="6">
        <v>191.9</v>
      </c>
      <c r="L273" s="6">
        <v>151.30000000000001</v>
      </c>
      <c r="M273" s="6">
        <v>116.8</v>
      </c>
      <c r="N273" s="6">
        <v>160</v>
      </c>
      <c r="O273" s="6">
        <v>136.5</v>
      </c>
      <c r="P273" s="6">
        <v>163.30000000000001</v>
      </c>
      <c r="Q273" s="6">
        <v>159.9</v>
      </c>
      <c r="R273" s="6">
        <v>187.2</v>
      </c>
      <c r="S273" s="6">
        <v>150</v>
      </c>
      <c r="T273" s="6">
        <v>135.19999999999999</v>
      </c>
      <c r="U273" s="6">
        <v>147.80000000000001</v>
      </c>
      <c r="V273" s="6">
        <v>155.5</v>
      </c>
      <c r="W273" s="6">
        <v>138.30000000000001</v>
      </c>
      <c r="X273" s="6">
        <v>144.5</v>
      </c>
      <c r="Y273" s="6">
        <v>148.69999999999999</v>
      </c>
      <c r="Z273" s="6">
        <v>133.9</v>
      </c>
      <c r="AA273" s="6">
        <v>141.19999999999999</v>
      </c>
      <c r="AB273" s="6">
        <v>155.5</v>
      </c>
      <c r="AC273" s="6">
        <v>155.19999999999999</v>
      </c>
      <c r="AD273" s="6">
        <v>144.80000000000001</v>
      </c>
      <c r="AE273" s="6">
        <v>152.9</v>
      </c>
      <c r="AF273" s="6" t="str">
        <f t="shared" si="9"/>
        <v>Post Covid</v>
      </c>
      <c r="AG273" s="6"/>
    </row>
    <row r="274" spans="1:33">
      <c r="A274" s="4" t="s">
        <v>33</v>
      </c>
      <c r="B274" s="4">
        <v>2020</v>
      </c>
      <c r="C274" s="4" t="s">
        <v>40</v>
      </c>
      <c r="D274" s="4">
        <f t="shared" si="8"/>
        <v>8</v>
      </c>
      <c r="E274" s="4">
        <v>148.9</v>
      </c>
      <c r="F274" s="4">
        <v>190.9</v>
      </c>
      <c r="G274" s="4">
        <v>150.80000000000001</v>
      </c>
      <c r="H274" s="4">
        <v>153.30000000000001</v>
      </c>
      <c r="I274" s="4">
        <v>137.4</v>
      </c>
      <c r="J274" s="4">
        <v>150.4</v>
      </c>
      <c r="K274" s="4">
        <v>178.1</v>
      </c>
      <c r="L274" s="4">
        <v>150.4</v>
      </c>
      <c r="M274" s="4">
        <v>115.1</v>
      </c>
      <c r="N274" s="4">
        <v>160</v>
      </c>
      <c r="O274" s="4">
        <v>140.6</v>
      </c>
      <c r="P274" s="4">
        <v>162.30000000000001</v>
      </c>
      <c r="Q274" s="4">
        <v>157</v>
      </c>
      <c r="R274" s="4">
        <v>182.6</v>
      </c>
      <c r="S274" s="4">
        <v>153.1</v>
      </c>
      <c r="T274" s="4">
        <v>143.4</v>
      </c>
      <c r="U274" s="4">
        <v>151.69999999999999</v>
      </c>
      <c r="V274" s="4">
        <v>155.5</v>
      </c>
      <c r="W274" s="4">
        <v>143</v>
      </c>
      <c r="X274" s="4">
        <v>148.4</v>
      </c>
      <c r="Y274" s="4">
        <v>155</v>
      </c>
      <c r="Z274" s="4">
        <v>138.5</v>
      </c>
      <c r="AA274" s="4">
        <v>146</v>
      </c>
      <c r="AB274" s="4">
        <v>158.5</v>
      </c>
      <c r="AC274" s="4">
        <v>154.30000000000001</v>
      </c>
      <c r="AD274" s="4">
        <v>149</v>
      </c>
      <c r="AE274" s="4">
        <v>153.9</v>
      </c>
      <c r="AF274" s="4" t="str">
        <f t="shared" si="9"/>
        <v>Post Covid</v>
      </c>
      <c r="AG274" s="4"/>
    </row>
    <row r="275" spans="1:33">
      <c r="A275" s="6" t="s">
        <v>30</v>
      </c>
      <c r="B275" s="6">
        <v>2020</v>
      </c>
      <c r="C275" s="6" t="s">
        <v>41</v>
      </c>
      <c r="D275" s="6">
        <f t="shared" si="8"/>
        <v>9</v>
      </c>
      <c r="E275" s="6">
        <v>146.9</v>
      </c>
      <c r="F275" s="6">
        <v>183.9</v>
      </c>
      <c r="G275" s="6">
        <v>149.5</v>
      </c>
      <c r="H275" s="6">
        <v>153.4</v>
      </c>
      <c r="I275" s="6">
        <v>140.4</v>
      </c>
      <c r="J275" s="6">
        <v>147</v>
      </c>
      <c r="K275" s="6">
        <v>178.8</v>
      </c>
      <c r="L275" s="6">
        <v>149.30000000000001</v>
      </c>
      <c r="M275" s="6">
        <v>115.1</v>
      </c>
      <c r="N275" s="6">
        <v>160</v>
      </c>
      <c r="O275" s="6">
        <v>145.4</v>
      </c>
      <c r="P275" s="6">
        <v>161.6</v>
      </c>
      <c r="Q275" s="6">
        <v>156.1</v>
      </c>
      <c r="R275" s="6">
        <v>182.9</v>
      </c>
      <c r="S275" s="6">
        <v>155.4</v>
      </c>
      <c r="T275" s="6">
        <v>149.9</v>
      </c>
      <c r="U275" s="6">
        <v>154.6</v>
      </c>
      <c r="V275" s="6">
        <v>155.9</v>
      </c>
      <c r="W275" s="6">
        <v>146.4</v>
      </c>
      <c r="X275" s="6">
        <v>151.6</v>
      </c>
      <c r="Y275" s="6">
        <v>159.1</v>
      </c>
      <c r="Z275" s="6">
        <v>144.6</v>
      </c>
      <c r="AA275" s="6">
        <v>152.80000000000001</v>
      </c>
      <c r="AB275" s="6">
        <v>161.1</v>
      </c>
      <c r="AC275" s="6">
        <v>157.4</v>
      </c>
      <c r="AD275" s="6">
        <v>153.69999999999999</v>
      </c>
      <c r="AE275" s="6">
        <v>155.4</v>
      </c>
      <c r="AF275" s="6" t="str">
        <f t="shared" si="9"/>
        <v>Post Covid</v>
      </c>
      <c r="AG275" s="6"/>
    </row>
    <row r="276" spans="1:33">
      <c r="A276" s="4" t="s">
        <v>32</v>
      </c>
      <c r="B276" s="4">
        <v>2020</v>
      </c>
      <c r="C276" s="4" t="s">
        <v>41</v>
      </c>
      <c r="D276" s="4">
        <f t="shared" si="8"/>
        <v>9</v>
      </c>
      <c r="E276" s="4">
        <v>151.5</v>
      </c>
      <c r="F276" s="4">
        <v>193.1</v>
      </c>
      <c r="G276" s="4">
        <v>157.30000000000001</v>
      </c>
      <c r="H276" s="4">
        <v>153.9</v>
      </c>
      <c r="I276" s="4">
        <v>134.4</v>
      </c>
      <c r="J276" s="4">
        <v>155.4</v>
      </c>
      <c r="K276" s="4">
        <v>202</v>
      </c>
      <c r="L276" s="4">
        <v>150.80000000000001</v>
      </c>
      <c r="M276" s="4">
        <v>118.9</v>
      </c>
      <c r="N276" s="4">
        <v>160.9</v>
      </c>
      <c r="O276" s="4">
        <v>137.69999999999999</v>
      </c>
      <c r="P276" s="4">
        <v>164.4</v>
      </c>
      <c r="Q276" s="4">
        <v>161.30000000000001</v>
      </c>
      <c r="R276" s="4">
        <v>188.7</v>
      </c>
      <c r="S276" s="4">
        <v>150.19999999999999</v>
      </c>
      <c r="T276" s="4">
        <v>136.30000000000001</v>
      </c>
      <c r="U276" s="4">
        <v>148.1</v>
      </c>
      <c r="V276" s="4">
        <v>156.30000000000001</v>
      </c>
      <c r="W276" s="4">
        <v>137.19999999999999</v>
      </c>
      <c r="X276" s="4">
        <v>145.4</v>
      </c>
      <c r="Y276" s="4">
        <v>150</v>
      </c>
      <c r="Z276" s="4">
        <v>135.1</v>
      </c>
      <c r="AA276" s="4">
        <v>141.80000000000001</v>
      </c>
      <c r="AB276" s="4">
        <v>154.9</v>
      </c>
      <c r="AC276" s="4">
        <v>159.80000000000001</v>
      </c>
      <c r="AD276" s="4">
        <v>146</v>
      </c>
      <c r="AE276" s="4">
        <v>154</v>
      </c>
      <c r="AF276" s="4" t="str">
        <f t="shared" si="9"/>
        <v>Post Covid</v>
      </c>
      <c r="AG276" s="4"/>
    </row>
    <row r="277" spans="1:33">
      <c r="A277" s="6" t="s">
        <v>33</v>
      </c>
      <c r="B277" s="6">
        <v>2020</v>
      </c>
      <c r="C277" s="6" t="s">
        <v>41</v>
      </c>
      <c r="D277" s="6">
        <f t="shared" si="8"/>
        <v>9</v>
      </c>
      <c r="E277" s="6">
        <v>148.4</v>
      </c>
      <c r="F277" s="6">
        <v>187.1</v>
      </c>
      <c r="G277" s="6">
        <v>152.5</v>
      </c>
      <c r="H277" s="6">
        <v>153.6</v>
      </c>
      <c r="I277" s="6">
        <v>138.19999999999999</v>
      </c>
      <c r="J277" s="6">
        <v>150.9</v>
      </c>
      <c r="K277" s="6">
        <v>186.7</v>
      </c>
      <c r="L277" s="6">
        <v>149.80000000000001</v>
      </c>
      <c r="M277" s="6">
        <v>116.4</v>
      </c>
      <c r="N277" s="6">
        <v>160.30000000000001</v>
      </c>
      <c r="O277" s="6">
        <v>142.19999999999999</v>
      </c>
      <c r="P277" s="6">
        <v>162.9</v>
      </c>
      <c r="Q277" s="6">
        <v>158</v>
      </c>
      <c r="R277" s="6">
        <v>184.4</v>
      </c>
      <c r="S277" s="6">
        <v>153.4</v>
      </c>
      <c r="T277" s="6">
        <v>144.30000000000001</v>
      </c>
      <c r="U277" s="6">
        <v>152</v>
      </c>
      <c r="V277" s="6">
        <v>156.30000000000001</v>
      </c>
      <c r="W277" s="6">
        <v>142.9</v>
      </c>
      <c r="X277" s="6">
        <v>148.69999999999999</v>
      </c>
      <c r="Y277" s="6">
        <v>155.6</v>
      </c>
      <c r="Z277" s="6">
        <v>139.6</v>
      </c>
      <c r="AA277" s="6">
        <v>146.6</v>
      </c>
      <c r="AB277" s="6">
        <v>157.5</v>
      </c>
      <c r="AC277" s="6">
        <v>158.4</v>
      </c>
      <c r="AD277" s="6">
        <v>150</v>
      </c>
      <c r="AE277" s="6">
        <v>154.69999999999999</v>
      </c>
      <c r="AF277" s="6" t="str">
        <f t="shared" si="9"/>
        <v>Post Covid</v>
      </c>
      <c r="AG277" s="6"/>
    </row>
    <row r="278" spans="1:33">
      <c r="A278" s="4" t="s">
        <v>30</v>
      </c>
      <c r="B278" s="4">
        <v>2020</v>
      </c>
      <c r="C278" s="4" t="s">
        <v>42</v>
      </c>
      <c r="D278" s="4">
        <f t="shared" si="8"/>
        <v>10</v>
      </c>
      <c r="E278" s="4">
        <v>146</v>
      </c>
      <c r="F278" s="4">
        <v>186.3</v>
      </c>
      <c r="G278" s="4">
        <v>159.19999999999999</v>
      </c>
      <c r="H278" s="4">
        <v>153.6</v>
      </c>
      <c r="I278" s="4">
        <v>142.6</v>
      </c>
      <c r="J278" s="4">
        <v>147.19999999999999</v>
      </c>
      <c r="K278" s="4">
        <v>200.6</v>
      </c>
      <c r="L278" s="4">
        <v>150.30000000000001</v>
      </c>
      <c r="M278" s="4">
        <v>115.3</v>
      </c>
      <c r="N278" s="4">
        <v>160.9</v>
      </c>
      <c r="O278" s="4">
        <v>147.4</v>
      </c>
      <c r="P278" s="4">
        <v>161.9</v>
      </c>
      <c r="Q278" s="4">
        <v>159.6</v>
      </c>
      <c r="R278" s="4">
        <v>182.7</v>
      </c>
      <c r="S278" s="4">
        <v>155.69999999999999</v>
      </c>
      <c r="T278" s="4">
        <v>150.6</v>
      </c>
      <c r="U278" s="4">
        <v>155</v>
      </c>
      <c r="V278" s="4">
        <v>157.25</v>
      </c>
      <c r="W278" s="4">
        <v>146.80000000000001</v>
      </c>
      <c r="X278" s="4">
        <v>152</v>
      </c>
      <c r="Y278" s="4">
        <v>159.5</v>
      </c>
      <c r="Z278" s="4">
        <v>146.4</v>
      </c>
      <c r="AA278" s="4">
        <v>152.4</v>
      </c>
      <c r="AB278" s="4">
        <v>162.5</v>
      </c>
      <c r="AC278" s="4">
        <v>156.19999999999999</v>
      </c>
      <c r="AD278" s="4">
        <v>154.30000000000001</v>
      </c>
      <c r="AE278" s="4">
        <v>157.5</v>
      </c>
      <c r="AF278" s="4" t="str">
        <f t="shared" si="9"/>
        <v>Post Covid</v>
      </c>
      <c r="AG278" s="4"/>
    </row>
    <row r="279" spans="1:33">
      <c r="A279" s="6" t="s">
        <v>32</v>
      </c>
      <c r="B279" s="6">
        <v>2020</v>
      </c>
      <c r="C279" s="6" t="s">
        <v>42</v>
      </c>
      <c r="D279" s="6">
        <f t="shared" si="8"/>
        <v>10</v>
      </c>
      <c r="E279" s="6">
        <v>150.6</v>
      </c>
      <c r="F279" s="6">
        <v>193.7</v>
      </c>
      <c r="G279" s="6">
        <v>164.8</v>
      </c>
      <c r="H279" s="6">
        <v>153.69999999999999</v>
      </c>
      <c r="I279" s="6">
        <v>135.69999999999999</v>
      </c>
      <c r="J279" s="6">
        <v>155.69999999999999</v>
      </c>
      <c r="K279" s="6">
        <v>226</v>
      </c>
      <c r="L279" s="6">
        <v>152.19999999999999</v>
      </c>
      <c r="M279" s="6">
        <v>118.1</v>
      </c>
      <c r="N279" s="6">
        <v>161.30000000000001</v>
      </c>
      <c r="O279" s="6">
        <v>139.19999999999999</v>
      </c>
      <c r="P279" s="6">
        <v>164.8</v>
      </c>
      <c r="Q279" s="6">
        <v>164.4</v>
      </c>
      <c r="R279" s="6">
        <v>188.7</v>
      </c>
      <c r="S279" s="6">
        <v>150.5</v>
      </c>
      <c r="T279" s="6">
        <v>136.1</v>
      </c>
      <c r="U279" s="6">
        <v>148.30000000000001</v>
      </c>
      <c r="V279" s="6">
        <v>156.5</v>
      </c>
      <c r="W279" s="6">
        <v>137.1</v>
      </c>
      <c r="X279" s="6">
        <v>145.1</v>
      </c>
      <c r="Y279" s="6">
        <v>151</v>
      </c>
      <c r="Z279" s="6">
        <v>135.4</v>
      </c>
      <c r="AA279" s="6">
        <v>142</v>
      </c>
      <c r="AB279" s="6">
        <v>155.69999999999999</v>
      </c>
      <c r="AC279" s="6">
        <v>158.1</v>
      </c>
      <c r="AD279" s="6">
        <v>146.19999999999999</v>
      </c>
      <c r="AE279" s="6">
        <v>155.19999999999999</v>
      </c>
      <c r="AF279" s="6" t="str">
        <f t="shared" si="9"/>
        <v>Post Covid</v>
      </c>
      <c r="AG279" s="6"/>
    </row>
    <row r="280" spans="1:33">
      <c r="A280" s="4" t="s">
        <v>33</v>
      </c>
      <c r="B280" s="4">
        <v>2020</v>
      </c>
      <c r="C280" s="4" t="s">
        <v>42</v>
      </c>
      <c r="D280" s="4">
        <f t="shared" si="8"/>
        <v>10</v>
      </c>
      <c r="E280" s="4">
        <v>147.5</v>
      </c>
      <c r="F280" s="4">
        <v>188.9</v>
      </c>
      <c r="G280" s="4">
        <v>161.4</v>
      </c>
      <c r="H280" s="4">
        <v>153.6</v>
      </c>
      <c r="I280" s="4">
        <v>140.1</v>
      </c>
      <c r="J280" s="4">
        <v>151.19999999999999</v>
      </c>
      <c r="K280" s="4">
        <v>209.2</v>
      </c>
      <c r="L280" s="4">
        <v>150.9</v>
      </c>
      <c r="M280" s="4">
        <v>116.2</v>
      </c>
      <c r="N280" s="4">
        <v>161</v>
      </c>
      <c r="O280" s="4">
        <v>144</v>
      </c>
      <c r="P280" s="4">
        <v>163.19999999999999</v>
      </c>
      <c r="Q280" s="4">
        <v>161.4</v>
      </c>
      <c r="R280" s="4">
        <v>184.3</v>
      </c>
      <c r="S280" s="4">
        <v>153.69999999999999</v>
      </c>
      <c r="T280" s="4">
        <v>144.6</v>
      </c>
      <c r="U280" s="4">
        <v>152.30000000000001</v>
      </c>
      <c r="V280" s="4">
        <v>156.5</v>
      </c>
      <c r="W280" s="4">
        <v>143.1</v>
      </c>
      <c r="X280" s="4">
        <v>148.69999999999999</v>
      </c>
      <c r="Y280" s="4">
        <v>156.30000000000001</v>
      </c>
      <c r="Z280" s="4">
        <v>140.6</v>
      </c>
      <c r="AA280" s="4">
        <v>146.5</v>
      </c>
      <c r="AB280" s="4">
        <v>158.5</v>
      </c>
      <c r="AC280" s="4">
        <v>157</v>
      </c>
      <c r="AD280" s="4">
        <v>150.4</v>
      </c>
      <c r="AE280" s="4">
        <v>156.4</v>
      </c>
      <c r="AF280" s="4" t="str">
        <f t="shared" si="9"/>
        <v>Post Covid</v>
      </c>
      <c r="AG280" s="4"/>
    </row>
    <row r="281" spans="1:33">
      <c r="A281" s="6" t="s">
        <v>30</v>
      </c>
      <c r="B281" s="6">
        <v>2020</v>
      </c>
      <c r="C281" s="6" t="s">
        <v>43</v>
      </c>
      <c r="D281" s="6">
        <f t="shared" si="8"/>
        <v>11</v>
      </c>
      <c r="E281" s="6">
        <v>145.4</v>
      </c>
      <c r="F281" s="6">
        <v>188.6</v>
      </c>
      <c r="G281" s="6">
        <v>171.6</v>
      </c>
      <c r="H281" s="6">
        <v>153.80000000000001</v>
      </c>
      <c r="I281" s="6">
        <v>145.4</v>
      </c>
      <c r="J281" s="6">
        <v>146.5</v>
      </c>
      <c r="K281" s="6">
        <v>222.2</v>
      </c>
      <c r="L281" s="6">
        <v>155.9</v>
      </c>
      <c r="M281" s="6">
        <v>114.9</v>
      </c>
      <c r="N281" s="6">
        <v>162</v>
      </c>
      <c r="O281" s="6">
        <v>150</v>
      </c>
      <c r="P281" s="6">
        <v>162.69999999999999</v>
      </c>
      <c r="Q281" s="6">
        <v>163.4</v>
      </c>
      <c r="R281" s="6">
        <v>183.4</v>
      </c>
      <c r="S281" s="6">
        <v>156.30000000000001</v>
      </c>
      <c r="T281" s="6">
        <v>151</v>
      </c>
      <c r="U281" s="6">
        <v>155.5</v>
      </c>
      <c r="V281" s="6">
        <v>157.25</v>
      </c>
      <c r="W281" s="6">
        <v>147.5</v>
      </c>
      <c r="X281" s="6">
        <v>152.80000000000001</v>
      </c>
      <c r="Y281" s="6">
        <v>160.4</v>
      </c>
      <c r="Z281" s="6">
        <v>146.1</v>
      </c>
      <c r="AA281" s="6">
        <v>153.6</v>
      </c>
      <c r="AB281" s="6">
        <v>161.6</v>
      </c>
      <c r="AC281" s="6">
        <v>156.19999999999999</v>
      </c>
      <c r="AD281" s="6">
        <v>154.5</v>
      </c>
      <c r="AE281" s="6">
        <v>159.80000000000001</v>
      </c>
      <c r="AF281" s="6" t="str">
        <f t="shared" si="9"/>
        <v>Post Covid</v>
      </c>
      <c r="AG281" s="6"/>
    </row>
    <row r="282" spans="1:33">
      <c r="A282" s="4" t="s">
        <v>32</v>
      </c>
      <c r="B282" s="4">
        <v>2020</v>
      </c>
      <c r="C282" s="4" t="s">
        <v>43</v>
      </c>
      <c r="D282" s="4">
        <f t="shared" si="8"/>
        <v>11</v>
      </c>
      <c r="E282" s="4">
        <v>149.69999999999999</v>
      </c>
      <c r="F282" s="4">
        <v>195.5</v>
      </c>
      <c r="G282" s="4">
        <v>176.9</v>
      </c>
      <c r="H282" s="4">
        <v>153.9</v>
      </c>
      <c r="I282" s="4">
        <v>138</v>
      </c>
      <c r="J282" s="4">
        <v>150.5</v>
      </c>
      <c r="K282" s="4">
        <v>245.3</v>
      </c>
      <c r="L282" s="4">
        <v>158.69999999999999</v>
      </c>
      <c r="M282" s="4">
        <v>117.2</v>
      </c>
      <c r="N282" s="4">
        <v>161.4</v>
      </c>
      <c r="O282" s="4">
        <v>141.5</v>
      </c>
      <c r="P282" s="4">
        <v>165.1</v>
      </c>
      <c r="Q282" s="4">
        <v>167</v>
      </c>
      <c r="R282" s="4">
        <v>188.8</v>
      </c>
      <c r="S282" s="4">
        <v>151.1</v>
      </c>
      <c r="T282" s="4">
        <v>136.4</v>
      </c>
      <c r="U282" s="4">
        <v>148.80000000000001</v>
      </c>
      <c r="V282" s="4">
        <v>158</v>
      </c>
      <c r="W282" s="4">
        <v>137.30000000000001</v>
      </c>
      <c r="X282" s="4">
        <v>145.1</v>
      </c>
      <c r="Y282" s="4">
        <v>152</v>
      </c>
      <c r="Z282" s="4">
        <v>135.19999999999999</v>
      </c>
      <c r="AA282" s="4">
        <v>144.4</v>
      </c>
      <c r="AB282" s="4">
        <v>156.4</v>
      </c>
      <c r="AC282" s="4">
        <v>157.9</v>
      </c>
      <c r="AD282" s="4">
        <v>146.6</v>
      </c>
      <c r="AE282" s="4">
        <v>156.69999999999999</v>
      </c>
      <c r="AF282" s="4" t="str">
        <f t="shared" si="9"/>
        <v>Post Covid</v>
      </c>
      <c r="AG282" s="4"/>
    </row>
    <row r="283" spans="1:33">
      <c r="A283" s="6" t="s">
        <v>33</v>
      </c>
      <c r="B283" s="6">
        <v>2020</v>
      </c>
      <c r="C283" s="6" t="s">
        <v>43</v>
      </c>
      <c r="D283" s="6">
        <f t="shared" si="8"/>
        <v>11</v>
      </c>
      <c r="E283" s="6">
        <v>146.80000000000001</v>
      </c>
      <c r="F283" s="6">
        <v>191</v>
      </c>
      <c r="G283" s="6">
        <v>173.6</v>
      </c>
      <c r="H283" s="6">
        <v>153.80000000000001</v>
      </c>
      <c r="I283" s="6">
        <v>142.69999999999999</v>
      </c>
      <c r="J283" s="6">
        <v>148.4</v>
      </c>
      <c r="K283" s="6">
        <v>230</v>
      </c>
      <c r="L283" s="6">
        <v>156.80000000000001</v>
      </c>
      <c r="M283" s="6">
        <v>115.7</v>
      </c>
      <c r="N283" s="6">
        <v>161.80000000000001</v>
      </c>
      <c r="O283" s="6">
        <v>146.5</v>
      </c>
      <c r="P283" s="6">
        <v>163.80000000000001</v>
      </c>
      <c r="Q283" s="6">
        <v>164.7</v>
      </c>
      <c r="R283" s="6">
        <v>184.8</v>
      </c>
      <c r="S283" s="6">
        <v>154.30000000000001</v>
      </c>
      <c r="T283" s="6">
        <v>144.9</v>
      </c>
      <c r="U283" s="6">
        <v>152.80000000000001</v>
      </c>
      <c r="V283" s="6">
        <v>158</v>
      </c>
      <c r="W283" s="6">
        <v>143.6</v>
      </c>
      <c r="X283" s="6">
        <v>149.19999999999999</v>
      </c>
      <c r="Y283" s="6">
        <v>157.19999999999999</v>
      </c>
      <c r="Z283" s="6">
        <v>140.4</v>
      </c>
      <c r="AA283" s="6">
        <v>148.4</v>
      </c>
      <c r="AB283" s="6">
        <v>158.6</v>
      </c>
      <c r="AC283" s="6">
        <v>156.9</v>
      </c>
      <c r="AD283" s="6">
        <v>150.69999999999999</v>
      </c>
      <c r="AE283" s="6">
        <v>158.4</v>
      </c>
      <c r="AF283" s="6" t="str">
        <f t="shared" si="9"/>
        <v>Post Covid</v>
      </c>
      <c r="AG283" s="6"/>
    </row>
    <row r="284" spans="1:33">
      <c r="A284" s="4" t="s">
        <v>30</v>
      </c>
      <c r="B284" s="4">
        <v>2020</v>
      </c>
      <c r="C284" s="4" t="s">
        <v>44</v>
      </c>
      <c r="D284" s="4">
        <f t="shared" si="8"/>
        <v>12</v>
      </c>
      <c r="E284" s="4">
        <v>144.6</v>
      </c>
      <c r="F284" s="4">
        <v>188.5</v>
      </c>
      <c r="G284" s="4">
        <v>173.4</v>
      </c>
      <c r="H284" s="4">
        <v>154</v>
      </c>
      <c r="I284" s="4">
        <v>150</v>
      </c>
      <c r="J284" s="4">
        <v>145.9</v>
      </c>
      <c r="K284" s="4">
        <v>225.2</v>
      </c>
      <c r="L284" s="4">
        <v>159.5</v>
      </c>
      <c r="M284" s="4">
        <v>114.4</v>
      </c>
      <c r="N284" s="4">
        <v>163.5</v>
      </c>
      <c r="O284" s="4">
        <v>153.4</v>
      </c>
      <c r="P284" s="4">
        <v>163.6</v>
      </c>
      <c r="Q284" s="4">
        <v>164.5</v>
      </c>
      <c r="R284" s="4">
        <v>183.6</v>
      </c>
      <c r="S284" s="4">
        <v>157</v>
      </c>
      <c r="T284" s="4">
        <v>151.6</v>
      </c>
      <c r="U284" s="4">
        <v>156.30000000000001</v>
      </c>
      <c r="V284" s="4">
        <v>158.05000000000001</v>
      </c>
      <c r="W284" s="4">
        <v>148.69999999999999</v>
      </c>
      <c r="X284" s="4">
        <v>153.4</v>
      </c>
      <c r="Y284" s="4">
        <v>161.6</v>
      </c>
      <c r="Z284" s="4">
        <v>146.4</v>
      </c>
      <c r="AA284" s="4">
        <v>153.9</v>
      </c>
      <c r="AB284" s="4">
        <v>162.9</v>
      </c>
      <c r="AC284" s="4">
        <v>156.6</v>
      </c>
      <c r="AD284" s="4">
        <v>155.19999999999999</v>
      </c>
      <c r="AE284" s="4">
        <v>160.69999999999999</v>
      </c>
      <c r="AF284" s="4" t="str">
        <f t="shared" si="9"/>
        <v>Post Covid</v>
      </c>
      <c r="AG284" s="4"/>
    </row>
    <row r="285" spans="1:33">
      <c r="A285" s="6" t="s">
        <v>32</v>
      </c>
      <c r="B285" s="6">
        <v>2020</v>
      </c>
      <c r="C285" s="6" t="s">
        <v>44</v>
      </c>
      <c r="D285" s="6">
        <f t="shared" si="8"/>
        <v>12</v>
      </c>
      <c r="E285" s="6">
        <v>149</v>
      </c>
      <c r="F285" s="6">
        <v>195.7</v>
      </c>
      <c r="G285" s="6">
        <v>178.3</v>
      </c>
      <c r="H285" s="6">
        <v>154.19999999999999</v>
      </c>
      <c r="I285" s="6">
        <v>140.69999999999999</v>
      </c>
      <c r="J285" s="6">
        <v>149.69999999999999</v>
      </c>
      <c r="K285" s="6">
        <v>240.9</v>
      </c>
      <c r="L285" s="6">
        <v>161.5</v>
      </c>
      <c r="M285" s="6">
        <v>117.1</v>
      </c>
      <c r="N285" s="6">
        <v>161.9</v>
      </c>
      <c r="O285" s="6">
        <v>143.30000000000001</v>
      </c>
      <c r="P285" s="6">
        <v>166.1</v>
      </c>
      <c r="Q285" s="6">
        <v>167</v>
      </c>
      <c r="R285" s="6">
        <v>190.2</v>
      </c>
      <c r="S285" s="6">
        <v>151.9</v>
      </c>
      <c r="T285" s="6">
        <v>136.69999999999999</v>
      </c>
      <c r="U285" s="6">
        <v>149.6</v>
      </c>
      <c r="V285" s="6">
        <v>158.4</v>
      </c>
      <c r="W285" s="6">
        <v>137.9</v>
      </c>
      <c r="X285" s="6">
        <v>145.5</v>
      </c>
      <c r="Y285" s="6">
        <v>152.9</v>
      </c>
      <c r="Z285" s="6">
        <v>135.5</v>
      </c>
      <c r="AA285" s="6">
        <v>144.30000000000001</v>
      </c>
      <c r="AB285" s="6">
        <v>156.9</v>
      </c>
      <c r="AC285" s="6">
        <v>157.9</v>
      </c>
      <c r="AD285" s="6">
        <v>146.9</v>
      </c>
      <c r="AE285" s="6">
        <v>156.9</v>
      </c>
      <c r="AF285" s="6" t="str">
        <f t="shared" si="9"/>
        <v>Post Covid</v>
      </c>
      <c r="AG285" s="6"/>
    </row>
    <row r="286" spans="1:33">
      <c r="A286" s="4" t="s">
        <v>33</v>
      </c>
      <c r="B286" s="4">
        <v>2020</v>
      </c>
      <c r="C286" s="4" t="s">
        <v>44</v>
      </c>
      <c r="D286" s="4">
        <f t="shared" si="8"/>
        <v>12</v>
      </c>
      <c r="E286" s="4">
        <v>146</v>
      </c>
      <c r="F286" s="4">
        <v>191</v>
      </c>
      <c r="G286" s="4">
        <v>175.3</v>
      </c>
      <c r="H286" s="4">
        <v>154.1</v>
      </c>
      <c r="I286" s="4">
        <v>146.6</v>
      </c>
      <c r="J286" s="4">
        <v>147.69999999999999</v>
      </c>
      <c r="K286" s="4">
        <v>230.5</v>
      </c>
      <c r="L286" s="4">
        <v>160.19999999999999</v>
      </c>
      <c r="M286" s="4">
        <v>115.3</v>
      </c>
      <c r="N286" s="4">
        <v>163</v>
      </c>
      <c r="O286" s="4">
        <v>149.19999999999999</v>
      </c>
      <c r="P286" s="4">
        <v>164.8</v>
      </c>
      <c r="Q286" s="4">
        <v>165.4</v>
      </c>
      <c r="R286" s="4">
        <v>185.4</v>
      </c>
      <c r="S286" s="4">
        <v>155</v>
      </c>
      <c r="T286" s="4">
        <v>145.4</v>
      </c>
      <c r="U286" s="4">
        <v>153.6</v>
      </c>
      <c r="V286" s="4">
        <v>158.4</v>
      </c>
      <c r="W286" s="4">
        <v>144.6</v>
      </c>
      <c r="X286" s="4">
        <v>149.69999999999999</v>
      </c>
      <c r="Y286" s="4">
        <v>158.30000000000001</v>
      </c>
      <c r="Z286" s="4">
        <v>140.69999999999999</v>
      </c>
      <c r="AA286" s="4">
        <v>148.5</v>
      </c>
      <c r="AB286" s="4">
        <v>159.4</v>
      </c>
      <c r="AC286" s="4">
        <v>157.1</v>
      </c>
      <c r="AD286" s="4">
        <v>151.19999999999999</v>
      </c>
      <c r="AE286" s="4">
        <v>158.9</v>
      </c>
      <c r="AF286" s="4" t="str">
        <f t="shared" si="9"/>
        <v>Post Covid</v>
      </c>
      <c r="AG286" s="4"/>
    </row>
    <row r="287" spans="1:33">
      <c r="A287" s="6" t="s">
        <v>30</v>
      </c>
      <c r="B287" s="6">
        <v>2021</v>
      </c>
      <c r="C287" s="6" t="s">
        <v>31</v>
      </c>
      <c r="D287" s="6">
        <f t="shared" si="8"/>
        <v>1</v>
      </c>
      <c r="E287" s="6">
        <v>143.4</v>
      </c>
      <c r="F287" s="6">
        <v>187.5</v>
      </c>
      <c r="G287" s="6">
        <v>173.4</v>
      </c>
      <c r="H287" s="6">
        <v>154</v>
      </c>
      <c r="I287" s="6">
        <v>154.80000000000001</v>
      </c>
      <c r="J287" s="6">
        <v>147</v>
      </c>
      <c r="K287" s="6">
        <v>187.8</v>
      </c>
      <c r="L287" s="6">
        <v>159.5</v>
      </c>
      <c r="M287" s="6">
        <v>113.8</v>
      </c>
      <c r="N287" s="6">
        <v>164.5</v>
      </c>
      <c r="O287" s="6">
        <v>156.1</v>
      </c>
      <c r="P287" s="6">
        <v>164.3</v>
      </c>
      <c r="Q287" s="6">
        <v>159.6</v>
      </c>
      <c r="R287" s="6">
        <v>184.6</v>
      </c>
      <c r="S287" s="6">
        <v>157.5</v>
      </c>
      <c r="T287" s="6">
        <v>152.4</v>
      </c>
      <c r="U287" s="6">
        <v>156.80000000000001</v>
      </c>
      <c r="V287" s="6">
        <v>158.05000000000001</v>
      </c>
      <c r="W287" s="6">
        <v>150.9</v>
      </c>
      <c r="X287" s="6">
        <v>153.9</v>
      </c>
      <c r="Y287" s="6">
        <v>162.5</v>
      </c>
      <c r="Z287" s="6">
        <v>147.5</v>
      </c>
      <c r="AA287" s="6">
        <v>155.1</v>
      </c>
      <c r="AB287" s="6">
        <v>163.5</v>
      </c>
      <c r="AC287" s="6">
        <v>156.19999999999999</v>
      </c>
      <c r="AD287" s="6">
        <v>155.9</v>
      </c>
      <c r="AE287" s="6">
        <v>158.5</v>
      </c>
      <c r="AF287" s="6" t="str">
        <f t="shared" si="9"/>
        <v>Post Covid</v>
      </c>
      <c r="AG287" s="6"/>
    </row>
    <row r="288" spans="1:33">
      <c r="A288" s="4" t="s">
        <v>32</v>
      </c>
      <c r="B288" s="4">
        <v>2021</v>
      </c>
      <c r="C288" s="4" t="s">
        <v>31</v>
      </c>
      <c r="D288" s="4">
        <f t="shared" si="8"/>
        <v>1</v>
      </c>
      <c r="E288" s="4">
        <v>148</v>
      </c>
      <c r="F288" s="4">
        <v>194.8</v>
      </c>
      <c r="G288" s="4">
        <v>178.4</v>
      </c>
      <c r="H288" s="4">
        <v>154.4</v>
      </c>
      <c r="I288" s="4">
        <v>144.1</v>
      </c>
      <c r="J288" s="4">
        <v>152.6</v>
      </c>
      <c r="K288" s="4">
        <v>206.8</v>
      </c>
      <c r="L288" s="4">
        <v>162.1</v>
      </c>
      <c r="M288" s="4">
        <v>116.3</v>
      </c>
      <c r="N288" s="4">
        <v>163</v>
      </c>
      <c r="O288" s="4">
        <v>145.9</v>
      </c>
      <c r="P288" s="4">
        <v>167.2</v>
      </c>
      <c r="Q288" s="4">
        <v>163.4</v>
      </c>
      <c r="R288" s="4">
        <v>191.8</v>
      </c>
      <c r="S288" s="4">
        <v>152.5</v>
      </c>
      <c r="T288" s="4">
        <v>137.30000000000001</v>
      </c>
      <c r="U288" s="4">
        <v>150.19999999999999</v>
      </c>
      <c r="V288" s="4">
        <v>157.69999999999999</v>
      </c>
      <c r="W288" s="4">
        <v>142.9</v>
      </c>
      <c r="X288" s="4">
        <v>145.69999999999999</v>
      </c>
      <c r="Y288" s="4">
        <v>154.1</v>
      </c>
      <c r="Z288" s="4">
        <v>136.9</v>
      </c>
      <c r="AA288" s="4">
        <v>145.4</v>
      </c>
      <c r="AB288" s="4">
        <v>156.1</v>
      </c>
      <c r="AC288" s="4">
        <v>157.69999999999999</v>
      </c>
      <c r="AD288" s="4">
        <v>147.6</v>
      </c>
      <c r="AE288" s="4">
        <v>156</v>
      </c>
      <c r="AF288" s="4" t="str">
        <f t="shared" si="9"/>
        <v>Post Covid</v>
      </c>
      <c r="AG288" s="4"/>
    </row>
    <row r="289" spans="1:33">
      <c r="A289" s="6" t="s">
        <v>33</v>
      </c>
      <c r="B289" s="6">
        <v>2021</v>
      </c>
      <c r="C289" s="6" t="s">
        <v>31</v>
      </c>
      <c r="D289" s="6">
        <f t="shared" si="8"/>
        <v>1</v>
      </c>
      <c r="E289" s="6">
        <v>144.9</v>
      </c>
      <c r="F289" s="6">
        <v>190.1</v>
      </c>
      <c r="G289" s="6">
        <v>175.3</v>
      </c>
      <c r="H289" s="6">
        <v>154.1</v>
      </c>
      <c r="I289" s="6">
        <v>150.9</v>
      </c>
      <c r="J289" s="6">
        <v>149.6</v>
      </c>
      <c r="K289" s="6">
        <v>194.2</v>
      </c>
      <c r="L289" s="6">
        <v>160.4</v>
      </c>
      <c r="M289" s="6">
        <v>114.6</v>
      </c>
      <c r="N289" s="6">
        <v>164</v>
      </c>
      <c r="O289" s="6">
        <v>151.80000000000001</v>
      </c>
      <c r="P289" s="6">
        <v>165.6</v>
      </c>
      <c r="Q289" s="6">
        <v>161</v>
      </c>
      <c r="R289" s="6">
        <v>186.5</v>
      </c>
      <c r="S289" s="6">
        <v>155.5</v>
      </c>
      <c r="T289" s="6">
        <v>146.1</v>
      </c>
      <c r="U289" s="6">
        <v>154.19999999999999</v>
      </c>
      <c r="V289" s="6">
        <v>157.69999999999999</v>
      </c>
      <c r="W289" s="6">
        <v>147.9</v>
      </c>
      <c r="X289" s="6">
        <v>150</v>
      </c>
      <c r="Y289" s="6">
        <v>159.30000000000001</v>
      </c>
      <c r="Z289" s="6">
        <v>141.9</v>
      </c>
      <c r="AA289" s="6">
        <v>149.6</v>
      </c>
      <c r="AB289" s="6">
        <v>159.19999999999999</v>
      </c>
      <c r="AC289" s="6">
        <v>156.80000000000001</v>
      </c>
      <c r="AD289" s="6">
        <v>151.9</v>
      </c>
      <c r="AE289" s="6">
        <v>157.30000000000001</v>
      </c>
      <c r="AF289" s="6" t="str">
        <f t="shared" si="9"/>
        <v>Post Covid</v>
      </c>
      <c r="AG289" s="6"/>
    </row>
    <row r="290" spans="1:33">
      <c r="A290" s="4" t="s">
        <v>30</v>
      </c>
      <c r="B290" s="4">
        <v>2021</v>
      </c>
      <c r="C290" s="4" t="s">
        <v>34</v>
      </c>
      <c r="D290" s="4">
        <f t="shared" si="8"/>
        <v>2</v>
      </c>
      <c r="E290" s="4">
        <v>142.80000000000001</v>
      </c>
      <c r="F290" s="4">
        <v>184</v>
      </c>
      <c r="G290" s="4">
        <v>168</v>
      </c>
      <c r="H290" s="4">
        <v>154.4</v>
      </c>
      <c r="I290" s="4">
        <v>163</v>
      </c>
      <c r="J290" s="4">
        <v>147.80000000000001</v>
      </c>
      <c r="K290" s="4">
        <v>149.69999999999999</v>
      </c>
      <c r="L290" s="4">
        <v>158.30000000000001</v>
      </c>
      <c r="M290" s="4">
        <v>111.8</v>
      </c>
      <c r="N290" s="4">
        <v>165</v>
      </c>
      <c r="O290" s="4">
        <v>160</v>
      </c>
      <c r="P290" s="4">
        <v>165.8</v>
      </c>
      <c r="Q290" s="4">
        <v>154.69999999999999</v>
      </c>
      <c r="R290" s="4">
        <v>186.5</v>
      </c>
      <c r="S290" s="4">
        <v>159.1</v>
      </c>
      <c r="T290" s="4">
        <v>153.9</v>
      </c>
      <c r="U290" s="4">
        <v>158.4</v>
      </c>
      <c r="V290" s="4">
        <v>159.85</v>
      </c>
      <c r="W290" s="4">
        <v>154.4</v>
      </c>
      <c r="X290" s="4">
        <v>154.80000000000001</v>
      </c>
      <c r="Y290" s="4">
        <v>164.3</v>
      </c>
      <c r="Z290" s="4">
        <v>150.19999999999999</v>
      </c>
      <c r="AA290" s="4">
        <v>157</v>
      </c>
      <c r="AB290" s="4">
        <v>163.6</v>
      </c>
      <c r="AC290" s="4">
        <v>155.19999999999999</v>
      </c>
      <c r="AD290" s="4">
        <v>157.19999999999999</v>
      </c>
      <c r="AE290" s="4">
        <v>156.69999999999999</v>
      </c>
      <c r="AF290" s="4" t="str">
        <f t="shared" si="9"/>
        <v>Post Covid</v>
      </c>
      <c r="AG290" s="4"/>
    </row>
    <row r="291" spans="1:33">
      <c r="A291" s="6" t="s">
        <v>32</v>
      </c>
      <c r="B291" s="6">
        <v>2021</v>
      </c>
      <c r="C291" s="6" t="s">
        <v>34</v>
      </c>
      <c r="D291" s="6">
        <f t="shared" si="8"/>
        <v>2</v>
      </c>
      <c r="E291" s="6">
        <v>147.6</v>
      </c>
      <c r="F291" s="6">
        <v>191.2</v>
      </c>
      <c r="G291" s="6">
        <v>169.9</v>
      </c>
      <c r="H291" s="6">
        <v>155.1</v>
      </c>
      <c r="I291" s="6">
        <v>151.4</v>
      </c>
      <c r="J291" s="6">
        <v>154</v>
      </c>
      <c r="K291" s="6">
        <v>180.2</v>
      </c>
      <c r="L291" s="6">
        <v>159.80000000000001</v>
      </c>
      <c r="M291" s="6">
        <v>114.9</v>
      </c>
      <c r="N291" s="6">
        <v>162.5</v>
      </c>
      <c r="O291" s="6">
        <v>149.19999999999999</v>
      </c>
      <c r="P291" s="6">
        <v>169.4</v>
      </c>
      <c r="Q291" s="6">
        <v>160.80000000000001</v>
      </c>
      <c r="R291" s="6">
        <v>193.3</v>
      </c>
      <c r="S291" s="6">
        <v>154.19999999999999</v>
      </c>
      <c r="T291" s="6">
        <v>138.19999999999999</v>
      </c>
      <c r="U291" s="6">
        <v>151.80000000000001</v>
      </c>
      <c r="V291" s="6">
        <v>159.80000000000001</v>
      </c>
      <c r="W291" s="6">
        <v>149.1</v>
      </c>
      <c r="X291" s="6">
        <v>146.5</v>
      </c>
      <c r="Y291" s="6">
        <v>156.30000000000001</v>
      </c>
      <c r="Z291" s="6">
        <v>140.5</v>
      </c>
      <c r="AA291" s="6">
        <v>147.30000000000001</v>
      </c>
      <c r="AB291" s="6">
        <v>156.6</v>
      </c>
      <c r="AC291" s="6">
        <v>156.69999999999999</v>
      </c>
      <c r="AD291" s="6">
        <v>149.30000000000001</v>
      </c>
      <c r="AE291" s="6">
        <v>156.5</v>
      </c>
      <c r="AF291" s="6" t="str">
        <f t="shared" si="9"/>
        <v>Post Covid</v>
      </c>
      <c r="AG291" s="6"/>
    </row>
    <row r="292" spans="1:33">
      <c r="A292" s="4" t="s">
        <v>33</v>
      </c>
      <c r="B292" s="4">
        <v>2021</v>
      </c>
      <c r="C292" s="4" t="s">
        <v>34</v>
      </c>
      <c r="D292" s="4">
        <f t="shared" si="8"/>
        <v>2</v>
      </c>
      <c r="E292" s="4">
        <v>144.30000000000001</v>
      </c>
      <c r="F292" s="4">
        <v>186.5</v>
      </c>
      <c r="G292" s="4">
        <v>168.7</v>
      </c>
      <c r="H292" s="4">
        <v>154.69999999999999</v>
      </c>
      <c r="I292" s="4">
        <v>158.69999999999999</v>
      </c>
      <c r="J292" s="4">
        <v>150.69999999999999</v>
      </c>
      <c r="K292" s="4">
        <v>160</v>
      </c>
      <c r="L292" s="4">
        <v>158.80000000000001</v>
      </c>
      <c r="M292" s="4">
        <v>112.8</v>
      </c>
      <c r="N292" s="4">
        <v>164.2</v>
      </c>
      <c r="O292" s="4">
        <v>155.5</v>
      </c>
      <c r="P292" s="4">
        <v>167.5</v>
      </c>
      <c r="Q292" s="4">
        <v>156.9</v>
      </c>
      <c r="R292" s="4">
        <v>188.3</v>
      </c>
      <c r="S292" s="4">
        <v>157.19999999999999</v>
      </c>
      <c r="T292" s="4">
        <v>147.4</v>
      </c>
      <c r="U292" s="4">
        <v>155.80000000000001</v>
      </c>
      <c r="V292" s="4">
        <v>159.80000000000001</v>
      </c>
      <c r="W292" s="4">
        <v>152.4</v>
      </c>
      <c r="X292" s="4">
        <v>150.9</v>
      </c>
      <c r="Y292" s="4">
        <v>161.30000000000001</v>
      </c>
      <c r="Z292" s="4">
        <v>145.1</v>
      </c>
      <c r="AA292" s="4">
        <v>151.5</v>
      </c>
      <c r="AB292" s="4">
        <v>159.5</v>
      </c>
      <c r="AC292" s="4">
        <v>155.80000000000001</v>
      </c>
      <c r="AD292" s="4">
        <v>153.4</v>
      </c>
      <c r="AE292" s="4">
        <v>156.6</v>
      </c>
      <c r="AF292" s="4" t="str">
        <f t="shared" si="9"/>
        <v>Post Covid</v>
      </c>
      <c r="AG292" s="4"/>
    </row>
    <row r="293" spans="1:33">
      <c r="A293" s="6" t="s">
        <v>30</v>
      </c>
      <c r="B293" s="6">
        <v>2021</v>
      </c>
      <c r="C293" s="6" t="s">
        <v>35</v>
      </c>
      <c r="D293" s="6">
        <f t="shared" si="8"/>
        <v>3</v>
      </c>
      <c r="E293" s="6">
        <v>142.5</v>
      </c>
      <c r="F293" s="6">
        <v>189.4</v>
      </c>
      <c r="G293" s="6">
        <v>163.19999999999999</v>
      </c>
      <c r="H293" s="6">
        <v>154.5</v>
      </c>
      <c r="I293" s="6">
        <v>168.2</v>
      </c>
      <c r="J293" s="6">
        <v>150.5</v>
      </c>
      <c r="K293" s="6">
        <v>141</v>
      </c>
      <c r="L293" s="6">
        <v>159.19999999999999</v>
      </c>
      <c r="M293" s="6">
        <v>111.7</v>
      </c>
      <c r="N293" s="6">
        <v>164</v>
      </c>
      <c r="O293" s="6">
        <v>160.6</v>
      </c>
      <c r="P293" s="6">
        <v>166.4</v>
      </c>
      <c r="Q293" s="6">
        <v>154.5</v>
      </c>
      <c r="R293" s="6">
        <v>186.1</v>
      </c>
      <c r="S293" s="6">
        <v>159.6</v>
      </c>
      <c r="T293" s="6">
        <v>154.4</v>
      </c>
      <c r="U293" s="6">
        <v>158.9</v>
      </c>
      <c r="V293" s="6">
        <v>159.85</v>
      </c>
      <c r="W293" s="6">
        <v>156</v>
      </c>
      <c r="X293" s="6">
        <v>154.80000000000001</v>
      </c>
      <c r="Y293" s="6">
        <v>164.6</v>
      </c>
      <c r="Z293" s="6">
        <v>151.30000000000001</v>
      </c>
      <c r="AA293" s="6">
        <v>157.80000000000001</v>
      </c>
      <c r="AB293" s="6">
        <v>163.80000000000001</v>
      </c>
      <c r="AC293" s="6">
        <v>153.1</v>
      </c>
      <c r="AD293" s="6">
        <v>157.30000000000001</v>
      </c>
      <c r="AE293" s="6">
        <v>156.69999999999999</v>
      </c>
      <c r="AF293" s="6" t="str">
        <f t="shared" si="9"/>
        <v>Post Covid</v>
      </c>
      <c r="AG293" s="6"/>
    </row>
    <row r="294" spans="1:33">
      <c r="A294" s="4" t="s">
        <v>32</v>
      </c>
      <c r="B294" s="4">
        <v>2021</v>
      </c>
      <c r="C294" s="4" t="s">
        <v>35</v>
      </c>
      <c r="D294" s="4">
        <f t="shared" si="8"/>
        <v>3</v>
      </c>
      <c r="E294" s="4">
        <v>147.5</v>
      </c>
      <c r="F294" s="4">
        <v>197.5</v>
      </c>
      <c r="G294" s="4">
        <v>164.7</v>
      </c>
      <c r="H294" s="4">
        <v>155.6</v>
      </c>
      <c r="I294" s="4">
        <v>156.4</v>
      </c>
      <c r="J294" s="4">
        <v>157.30000000000001</v>
      </c>
      <c r="K294" s="4">
        <v>166.1</v>
      </c>
      <c r="L294" s="4">
        <v>161.1</v>
      </c>
      <c r="M294" s="4">
        <v>114.3</v>
      </c>
      <c r="N294" s="4">
        <v>162.6</v>
      </c>
      <c r="O294" s="4">
        <v>150.69999999999999</v>
      </c>
      <c r="P294" s="4">
        <v>170.3</v>
      </c>
      <c r="Q294" s="4">
        <v>160.4</v>
      </c>
      <c r="R294" s="4">
        <v>193.5</v>
      </c>
      <c r="S294" s="4">
        <v>155.1</v>
      </c>
      <c r="T294" s="4">
        <v>138.69999999999999</v>
      </c>
      <c r="U294" s="4">
        <v>152.6</v>
      </c>
      <c r="V294" s="4">
        <v>159.9</v>
      </c>
      <c r="W294" s="4">
        <v>154.80000000000001</v>
      </c>
      <c r="X294" s="4">
        <v>147.19999999999999</v>
      </c>
      <c r="Y294" s="4">
        <v>156.9</v>
      </c>
      <c r="Z294" s="4">
        <v>141.69999999999999</v>
      </c>
      <c r="AA294" s="4">
        <v>148.6</v>
      </c>
      <c r="AB294" s="4">
        <v>157.6</v>
      </c>
      <c r="AC294" s="4">
        <v>154.9</v>
      </c>
      <c r="AD294" s="4">
        <v>150</v>
      </c>
      <c r="AE294" s="4">
        <v>156.9</v>
      </c>
      <c r="AF294" s="4" t="str">
        <f t="shared" si="9"/>
        <v>Post Covid</v>
      </c>
      <c r="AG294" s="4"/>
    </row>
    <row r="295" spans="1:33">
      <c r="A295" s="6" t="s">
        <v>33</v>
      </c>
      <c r="B295" s="6">
        <v>2021</v>
      </c>
      <c r="C295" s="6" t="s">
        <v>35</v>
      </c>
      <c r="D295" s="6">
        <f t="shared" si="8"/>
        <v>3</v>
      </c>
      <c r="E295" s="6">
        <v>144.1</v>
      </c>
      <c r="F295" s="6">
        <v>192.2</v>
      </c>
      <c r="G295" s="6">
        <v>163.80000000000001</v>
      </c>
      <c r="H295" s="6">
        <v>154.9</v>
      </c>
      <c r="I295" s="6">
        <v>163.9</v>
      </c>
      <c r="J295" s="6">
        <v>153.69999999999999</v>
      </c>
      <c r="K295" s="6">
        <v>149.5</v>
      </c>
      <c r="L295" s="6">
        <v>159.80000000000001</v>
      </c>
      <c r="M295" s="6">
        <v>112.6</v>
      </c>
      <c r="N295" s="6">
        <v>163.5</v>
      </c>
      <c r="O295" s="6">
        <v>156.5</v>
      </c>
      <c r="P295" s="6">
        <v>168.2</v>
      </c>
      <c r="Q295" s="6">
        <v>156.69999999999999</v>
      </c>
      <c r="R295" s="6">
        <v>188.1</v>
      </c>
      <c r="S295" s="6">
        <v>157.80000000000001</v>
      </c>
      <c r="T295" s="6">
        <v>147.9</v>
      </c>
      <c r="U295" s="6">
        <v>156.4</v>
      </c>
      <c r="V295" s="6">
        <v>159.9</v>
      </c>
      <c r="W295" s="6">
        <v>155.5</v>
      </c>
      <c r="X295" s="6">
        <v>151.19999999999999</v>
      </c>
      <c r="Y295" s="6">
        <v>161.69999999999999</v>
      </c>
      <c r="Z295" s="6">
        <v>146.19999999999999</v>
      </c>
      <c r="AA295" s="6">
        <v>152.6</v>
      </c>
      <c r="AB295" s="6">
        <v>160.19999999999999</v>
      </c>
      <c r="AC295" s="6">
        <v>153.80000000000001</v>
      </c>
      <c r="AD295" s="6">
        <v>153.80000000000001</v>
      </c>
      <c r="AE295" s="6">
        <v>156.80000000000001</v>
      </c>
      <c r="AF295" s="6" t="str">
        <f t="shared" si="9"/>
        <v>Post Covid</v>
      </c>
      <c r="AG295" s="6"/>
    </row>
    <row r="296" spans="1:33">
      <c r="A296" s="4" t="s">
        <v>30</v>
      </c>
      <c r="B296" s="4">
        <v>2021</v>
      </c>
      <c r="C296" s="4" t="s">
        <v>36</v>
      </c>
      <c r="D296" s="4">
        <f t="shared" si="8"/>
        <v>4</v>
      </c>
      <c r="E296" s="4">
        <v>142.69999999999999</v>
      </c>
      <c r="F296" s="4">
        <v>195.5</v>
      </c>
      <c r="G296" s="4">
        <v>163.4</v>
      </c>
      <c r="H296" s="4">
        <v>155</v>
      </c>
      <c r="I296" s="4">
        <v>175.2</v>
      </c>
      <c r="J296" s="4">
        <v>160.6</v>
      </c>
      <c r="K296" s="4">
        <v>135.1</v>
      </c>
      <c r="L296" s="4">
        <v>161.1</v>
      </c>
      <c r="M296" s="4">
        <v>112.2</v>
      </c>
      <c r="N296" s="4">
        <v>164.4</v>
      </c>
      <c r="O296" s="4">
        <v>161.9</v>
      </c>
      <c r="P296" s="4">
        <v>166.8</v>
      </c>
      <c r="Q296" s="4">
        <v>155.6</v>
      </c>
      <c r="R296" s="4">
        <v>186.8</v>
      </c>
      <c r="S296" s="4">
        <v>160.69999999999999</v>
      </c>
      <c r="T296" s="4">
        <v>155.1</v>
      </c>
      <c r="U296" s="4">
        <v>159.9</v>
      </c>
      <c r="V296" s="4">
        <v>161.5</v>
      </c>
      <c r="W296" s="4">
        <v>156</v>
      </c>
      <c r="X296" s="4">
        <v>155.5</v>
      </c>
      <c r="Y296" s="4">
        <v>165.3</v>
      </c>
      <c r="Z296" s="4">
        <v>151.69999999999999</v>
      </c>
      <c r="AA296" s="4">
        <v>158.6</v>
      </c>
      <c r="AB296" s="4">
        <v>164.1</v>
      </c>
      <c r="AC296" s="4">
        <v>154.6</v>
      </c>
      <c r="AD296" s="4">
        <v>158</v>
      </c>
      <c r="AE296" s="4">
        <v>157.6</v>
      </c>
      <c r="AF296" s="4" t="str">
        <f t="shared" si="9"/>
        <v>Post Covid</v>
      </c>
      <c r="AG296" s="4"/>
    </row>
    <row r="297" spans="1:33">
      <c r="A297" s="6" t="s">
        <v>32</v>
      </c>
      <c r="B297" s="6">
        <v>2021</v>
      </c>
      <c r="C297" s="6" t="s">
        <v>36</v>
      </c>
      <c r="D297" s="6">
        <f t="shared" si="8"/>
        <v>4</v>
      </c>
      <c r="E297" s="6">
        <v>147.6</v>
      </c>
      <c r="F297" s="6">
        <v>202.5</v>
      </c>
      <c r="G297" s="6">
        <v>166.4</v>
      </c>
      <c r="H297" s="6">
        <v>156</v>
      </c>
      <c r="I297" s="6">
        <v>161.4</v>
      </c>
      <c r="J297" s="6">
        <v>168.8</v>
      </c>
      <c r="K297" s="6">
        <v>161.6</v>
      </c>
      <c r="L297" s="6">
        <v>162.80000000000001</v>
      </c>
      <c r="M297" s="6">
        <v>114.8</v>
      </c>
      <c r="N297" s="6">
        <v>162.80000000000001</v>
      </c>
      <c r="O297" s="6">
        <v>151.5</v>
      </c>
      <c r="P297" s="6">
        <v>171.4</v>
      </c>
      <c r="Q297" s="6">
        <v>162</v>
      </c>
      <c r="R297" s="6">
        <v>194.4</v>
      </c>
      <c r="S297" s="6">
        <v>155.9</v>
      </c>
      <c r="T297" s="6">
        <v>139.30000000000001</v>
      </c>
      <c r="U297" s="6">
        <v>153.4</v>
      </c>
      <c r="V297" s="6">
        <v>161.4</v>
      </c>
      <c r="W297" s="6">
        <v>154.9</v>
      </c>
      <c r="X297" s="6">
        <v>147.6</v>
      </c>
      <c r="Y297" s="6">
        <v>157.5</v>
      </c>
      <c r="Z297" s="6">
        <v>142.1</v>
      </c>
      <c r="AA297" s="6">
        <v>149.1</v>
      </c>
      <c r="AB297" s="6">
        <v>157.6</v>
      </c>
      <c r="AC297" s="6">
        <v>156.6</v>
      </c>
      <c r="AD297" s="6">
        <v>150.5</v>
      </c>
      <c r="AE297" s="6">
        <v>158</v>
      </c>
      <c r="AF297" s="6" t="str">
        <f t="shared" si="9"/>
        <v>Post Covid</v>
      </c>
      <c r="AG297" s="6"/>
    </row>
    <row r="298" spans="1:33">
      <c r="A298" s="4" t="s">
        <v>33</v>
      </c>
      <c r="B298" s="4">
        <v>2021</v>
      </c>
      <c r="C298" s="4" t="s">
        <v>36</v>
      </c>
      <c r="D298" s="4">
        <f t="shared" si="8"/>
        <v>4</v>
      </c>
      <c r="E298" s="4">
        <v>144.30000000000001</v>
      </c>
      <c r="F298" s="4">
        <v>198</v>
      </c>
      <c r="G298" s="4">
        <v>164.6</v>
      </c>
      <c r="H298" s="4">
        <v>155.4</v>
      </c>
      <c r="I298" s="4">
        <v>170.1</v>
      </c>
      <c r="J298" s="4">
        <v>164.4</v>
      </c>
      <c r="K298" s="4">
        <v>144.1</v>
      </c>
      <c r="L298" s="4">
        <v>161.69999999999999</v>
      </c>
      <c r="M298" s="4">
        <v>113.1</v>
      </c>
      <c r="N298" s="4">
        <v>163.9</v>
      </c>
      <c r="O298" s="4">
        <v>157.6</v>
      </c>
      <c r="P298" s="4">
        <v>168.9</v>
      </c>
      <c r="Q298" s="4">
        <v>158</v>
      </c>
      <c r="R298" s="4">
        <v>188.8</v>
      </c>
      <c r="S298" s="4">
        <v>158.80000000000001</v>
      </c>
      <c r="T298" s="4">
        <v>148.5</v>
      </c>
      <c r="U298" s="4">
        <v>157.30000000000001</v>
      </c>
      <c r="V298" s="4">
        <v>161.4</v>
      </c>
      <c r="W298" s="4">
        <v>155.6</v>
      </c>
      <c r="X298" s="4">
        <v>151.80000000000001</v>
      </c>
      <c r="Y298" s="4">
        <v>162.30000000000001</v>
      </c>
      <c r="Z298" s="4">
        <v>146.6</v>
      </c>
      <c r="AA298" s="4">
        <v>153.19999999999999</v>
      </c>
      <c r="AB298" s="4">
        <v>160.30000000000001</v>
      </c>
      <c r="AC298" s="4">
        <v>155.4</v>
      </c>
      <c r="AD298" s="4">
        <v>154.4</v>
      </c>
      <c r="AE298" s="4">
        <v>157.80000000000001</v>
      </c>
      <c r="AF298" s="4" t="str">
        <f t="shared" si="9"/>
        <v>Post Covid</v>
      </c>
      <c r="AG298" s="4"/>
    </row>
    <row r="299" spans="1:33">
      <c r="A299" s="6" t="s">
        <v>30</v>
      </c>
      <c r="B299" s="6">
        <v>2021</v>
      </c>
      <c r="C299" s="6" t="s">
        <v>37</v>
      </c>
      <c r="D299" s="6">
        <f t="shared" si="8"/>
        <v>5</v>
      </c>
      <c r="E299" s="6">
        <v>145.1</v>
      </c>
      <c r="F299" s="6">
        <v>198.5</v>
      </c>
      <c r="G299" s="6">
        <v>168.6</v>
      </c>
      <c r="H299" s="6">
        <v>155.80000000000001</v>
      </c>
      <c r="I299" s="6">
        <v>184.4</v>
      </c>
      <c r="J299" s="6">
        <v>162.30000000000001</v>
      </c>
      <c r="K299" s="6">
        <v>138.4</v>
      </c>
      <c r="L299" s="6">
        <v>165.1</v>
      </c>
      <c r="M299" s="6">
        <v>114.3</v>
      </c>
      <c r="N299" s="6">
        <v>169.7</v>
      </c>
      <c r="O299" s="6">
        <v>164.6</v>
      </c>
      <c r="P299" s="6">
        <v>169.8</v>
      </c>
      <c r="Q299" s="6">
        <v>158.69999999999999</v>
      </c>
      <c r="R299" s="6">
        <v>189.6</v>
      </c>
      <c r="S299" s="6">
        <v>165.3</v>
      </c>
      <c r="T299" s="6">
        <v>160.6</v>
      </c>
      <c r="U299" s="6">
        <v>164.5</v>
      </c>
      <c r="V299" s="6">
        <v>161.5</v>
      </c>
      <c r="W299" s="6">
        <v>161.69999999999999</v>
      </c>
      <c r="X299" s="6">
        <v>158.80000000000001</v>
      </c>
      <c r="Y299" s="6">
        <v>169.1</v>
      </c>
      <c r="Z299" s="6">
        <v>153.19999999999999</v>
      </c>
      <c r="AA299" s="6">
        <v>160</v>
      </c>
      <c r="AB299" s="6">
        <v>167.6</v>
      </c>
      <c r="AC299" s="6">
        <v>159.30000000000001</v>
      </c>
      <c r="AD299" s="6">
        <v>161.1</v>
      </c>
      <c r="AE299" s="6">
        <v>161.1</v>
      </c>
      <c r="AF299" s="6" t="str">
        <f t="shared" si="9"/>
        <v>Post Covid</v>
      </c>
      <c r="AG299" s="6"/>
    </row>
    <row r="300" spans="1:33">
      <c r="A300" s="4" t="s">
        <v>32</v>
      </c>
      <c r="B300" s="4">
        <v>2021</v>
      </c>
      <c r="C300" s="4" t="s">
        <v>37</v>
      </c>
      <c r="D300" s="4">
        <f t="shared" si="8"/>
        <v>5</v>
      </c>
      <c r="E300" s="4">
        <v>148.80000000000001</v>
      </c>
      <c r="F300" s="4">
        <v>204.3</v>
      </c>
      <c r="G300" s="4">
        <v>173</v>
      </c>
      <c r="H300" s="4">
        <v>156.5</v>
      </c>
      <c r="I300" s="4">
        <v>168.8</v>
      </c>
      <c r="J300" s="4">
        <v>172.5</v>
      </c>
      <c r="K300" s="4">
        <v>166.5</v>
      </c>
      <c r="L300" s="4">
        <v>165.9</v>
      </c>
      <c r="M300" s="4">
        <v>115.9</v>
      </c>
      <c r="N300" s="4">
        <v>165.2</v>
      </c>
      <c r="O300" s="4">
        <v>152</v>
      </c>
      <c r="P300" s="4">
        <v>171.1</v>
      </c>
      <c r="Q300" s="4">
        <v>164.2</v>
      </c>
      <c r="R300" s="4">
        <v>198.2</v>
      </c>
      <c r="S300" s="4">
        <v>156.5</v>
      </c>
      <c r="T300" s="4">
        <v>140.19999999999999</v>
      </c>
      <c r="U300" s="4">
        <v>154.1</v>
      </c>
      <c r="V300" s="4">
        <v>161.6</v>
      </c>
      <c r="W300" s="4">
        <v>155.5</v>
      </c>
      <c r="X300" s="4">
        <v>150.1</v>
      </c>
      <c r="Y300" s="4">
        <v>160.4</v>
      </c>
      <c r="Z300" s="4">
        <v>145</v>
      </c>
      <c r="AA300" s="4">
        <v>152.6</v>
      </c>
      <c r="AB300" s="4">
        <v>156.6</v>
      </c>
      <c r="AC300" s="4">
        <v>157.5</v>
      </c>
      <c r="AD300" s="4">
        <v>152.30000000000001</v>
      </c>
      <c r="AE300" s="4">
        <v>159.5</v>
      </c>
      <c r="AF300" s="4" t="str">
        <f t="shared" si="9"/>
        <v>Post Covid</v>
      </c>
      <c r="AG300" s="4"/>
    </row>
    <row r="301" spans="1:33">
      <c r="A301" s="6" t="s">
        <v>33</v>
      </c>
      <c r="B301" s="6">
        <v>2021</v>
      </c>
      <c r="C301" s="6" t="s">
        <v>37</v>
      </c>
      <c r="D301" s="6">
        <f t="shared" si="8"/>
        <v>5</v>
      </c>
      <c r="E301" s="6">
        <v>146.30000000000001</v>
      </c>
      <c r="F301" s="6">
        <v>200.5</v>
      </c>
      <c r="G301" s="6">
        <v>170.3</v>
      </c>
      <c r="H301" s="6">
        <v>156.1</v>
      </c>
      <c r="I301" s="6">
        <v>178.7</v>
      </c>
      <c r="J301" s="6">
        <v>167.1</v>
      </c>
      <c r="K301" s="6">
        <v>147.9</v>
      </c>
      <c r="L301" s="6">
        <v>165.4</v>
      </c>
      <c r="M301" s="6">
        <v>114.8</v>
      </c>
      <c r="N301" s="6">
        <v>168.2</v>
      </c>
      <c r="O301" s="6">
        <v>159.30000000000001</v>
      </c>
      <c r="P301" s="6">
        <v>170.4</v>
      </c>
      <c r="Q301" s="6">
        <v>160.69999999999999</v>
      </c>
      <c r="R301" s="6">
        <v>191.9</v>
      </c>
      <c r="S301" s="6">
        <v>161.80000000000001</v>
      </c>
      <c r="T301" s="6">
        <v>152.1</v>
      </c>
      <c r="U301" s="6">
        <v>160.4</v>
      </c>
      <c r="V301" s="6">
        <v>161.6</v>
      </c>
      <c r="W301" s="6">
        <v>159.4</v>
      </c>
      <c r="X301" s="6">
        <v>154.69999999999999</v>
      </c>
      <c r="Y301" s="6">
        <v>165.8</v>
      </c>
      <c r="Z301" s="6">
        <v>148.9</v>
      </c>
      <c r="AA301" s="6">
        <v>155.80000000000001</v>
      </c>
      <c r="AB301" s="6">
        <v>161.19999999999999</v>
      </c>
      <c r="AC301" s="6">
        <v>158.6</v>
      </c>
      <c r="AD301" s="6">
        <v>156.80000000000001</v>
      </c>
      <c r="AE301" s="6">
        <v>160.4</v>
      </c>
      <c r="AF301" s="6" t="str">
        <f t="shared" si="9"/>
        <v>Post Covid</v>
      </c>
      <c r="AG301" s="6"/>
    </row>
    <row r="302" spans="1:33">
      <c r="A302" s="4" t="s">
        <v>30</v>
      </c>
      <c r="B302" s="4">
        <v>2021</v>
      </c>
      <c r="C302" s="4" t="s">
        <v>38</v>
      </c>
      <c r="D302" s="4">
        <f t="shared" si="8"/>
        <v>6</v>
      </c>
      <c r="E302" s="4">
        <v>145.6</v>
      </c>
      <c r="F302" s="4">
        <v>200.1</v>
      </c>
      <c r="G302" s="4">
        <v>179.3</v>
      </c>
      <c r="H302" s="4">
        <v>156.1</v>
      </c>
      <c r="I302" s="4">
        <v>190.4</v>
      </c>
      <c r="J302" s="4">
        <v>158.6</v>
      </c>
      <c r="K302" s="4">
        <v>144.69999999999999</v>
      </c>
      <c r="L302" s="4">
        <v>165.5</v>
      </c>
      <c r="M302" s="4">
        <v>114.6</v>
      </c>
      <c r="N302" s="4">
        <v>170</v>
      </c>
      <c r="O302" s="4">
        <v>165.5</v>
      </c>
      <c r="P302" s="4">
        <v>171.7</v>
      </c>
      <c r="Q302" s="4">
        <v>160.5</v>
      </c>
      <c r="R302" s="4">
        <v>189.1</v>
      </c>
      <c r="S302" s="4">
        <v>165.3</v>
      </c>
      <c r="T302" s="4">
        <v>159.9</v>
      </c>
      <c r="U302" s="4">
        <v>164.6</v>
      </c>
      <c r="V302" s="4">
        <v>161</v>
      </c>
      <c r="W302" s="4">
        <v>162.1</v>
      </c>
      <c r="X302" s="4">
        <v>159.19999999999999</v>
      </c>
      <c r="Y302" s="4">
        <v>169.7</v>
      </c>
      <c r="Z302" s="4">
        <v>154.19999999999999</v>
      </c>
      <c r="AA302" s="4">
        <v>160.4</v>
      </c>
      <c r="AB302" s="4">
        <v>166.8</v>
      </c>
      <c r="AC302" s="4">
        <v>159.4</v>
      </c>
      <c r="AD302" s="4">
        <v>161.5</v>
      </c>
      <c r="AE302" s="4">
        <v>162.1</v>
      </c>
      <c r="AF302" s="4" t="str">
        <f t="shared" si="9"/>
        <v>Post Covid</v>
      </c>
      <c r="AG302" s="4"/>
    </row>
    <row r="303" spans="1:33">
      <c r="A303" s="6" t="s">
        <v>32</v>
      </c>
      <c r="B303" s="6">
        <v>2021</v>
      </c>
      <c r="C303" s="6" t="s">
        <v>38</v>
      </c>
      <c r="D303" s="6">
        <f t="shared" si="8"/>
        <v>6</v>
      </c>
      <c r="E303" s="6">
        <v>149.19999999999999</v>
      </c>
      <c r="F303" s="6">
        <v>205.5</v>
      </c>
      <c r="G303" s="6">
        <v>182.8</v>
      </c>
      <c r="H303" s="6">
        <v>156.5</v>
      </c>
      <c r="I303" s="6">
        <v>172.2</v>
      </c>
      <c r="J303" s="6">
        <v>171.5</v>
      </c>
      <c r="K303" s="6">
        <v>176.2</v>
      </c>
      <c r="L303" s="6">
        <v>166.9</v>
      </c>
      <c r="M303" s="6">
        <v>116.1</v>
      </c>
      <c r="N303" s="6">
        <v>165.5</v>
      </c>
      <c r="O303" s="6">
        <v>152.30000000000001</v>
      </c>
      <c r="P303" s="6">
        <v>173.3</v>
      </c>
      <c r="Q303" s="6">
        <v>166.2</v>
      </c>
      <c r="R303" s="6">
        <v>195.6</v>
      </c>
      <c r="S303" s="6">
        <v>157.30000000000001</v>
      </c>
      <c r="T303" s="6">
        <v>140.5</v>
      </c>
      <c r="U303" s="6">
        <v>154.80000000000001</v>
      </c>
      <c r="V303" s="6">
        <v>160.5</v>
      </c>
      <c r="W303" s="6">
        <v>156.1</v>
      </c>
      <c r="X303" s="6">
        <v>149.80000000000001</v>
      </c>
      <c r="Y303" s="6">
        <v>160.80000000000001</v>
      </c>
      <c r="Z303" s="6">
        <v>147.5</v>
      </c>
      <c r="AA303" s="6">
        <v>150.69999999999999</v>
      </c>
      <c r="AB303" s="6">
        <v>158.1</v>
      </c>
      <c r="AC303" s="6">
        <v>158</v>
      </c>
      <c r="AD303" s="6">
        <v>153.4</v>
      </c>
      <c r="AE303" s="6">
        <v>160.4</v>
      </c>
      <c r="AF303" s="6" t="str">
        <f t="shared" si="9"/>
        <v>Post Covid</v>
      </c>
      <c r="AG303" s="6"/>
    </row>
    <row r="304" spans="1:33">
      <c r="A304" s="4" t="s">
        <v>33</v>
      </c>
      <c r="B304" s="4">
        <v>2021</v>
      </c>
      <c r="C304" s="4" t="s">
        <v>38</v>
      </c>
      <c r="D304" s="4">
        <f t="shared" si="8"/>
        <v>6</v>
      </c>
      <c r="E304" s="4">
        <v>146.69999999999999</v>
      </c>
      <c r="F304" s="4">
        <v>202</v>
      </c>
      <c r="G304" s="4">
        <v>180.7</v>
      </c>
      <c r="H304" s="4">
        <v>156.19999999999999</v>
      </c>
      <c r="I304" s="4">
        <v>183.7</v>
      </c>
      <c r="J304" s="4">
        <v>164.6</v>
      </c>
      <c r="K304" s="4">
        <v>155.4</v>
      </c>
      <c r="L304" s="4">
        <v>166</v>
      </c>
      <c r="M304" s="4">
        <v>115.1</v>
      </c>
      <c r="N304" s="4">
        <v>168.5</v>
      </c>
      <c r="O304" s="4">
        <v>160</v>
      </c>
      <c r="P304" s="4">
        <v>172.4</v>
      </c>
      <c r="Q304" s="4">
        <v>162.6</v>
      </c>
      <c r="R304" s="4">
        <v>190.8</v>
      </c>
      <c r="S304" s="4">
        <v>162.19999999999999</v>
      </c>
      <c r="T304" s="4">
        <v>151.80000000000001</v>
      </c>
      <c r="U304" s="4">
        <v>160.69999999999999</v>
      </c>
      <c r="V304" s="4">
        <v>160.5</v>
      </c>
      <c r="W304" s="4">
        <v>159.80000000000001</v>
      </c>
      <c r="X304" s="4">
        <v>154.80000000000001</v>
      </c>
      <c r="Y304" s="4">
        <v>166.3</v>
      </c>
      <c r="Z304" s="4">
        <v>150.69999999999999</v>
      </c>
      <c r="AA304" s="4">
        <v>154.9</v>
      </c>
      <c r="AB304" s="4">
        <v>161.69999999999999</v>
      </c>
      <c r="AC304" s="4">
        <v>158.80000000000001</v>
      </c>
      <c r="AD304" s="4">
        <v>157.6</v>
      </c>
      <c r="AE304" s="4">
        <v>161.30000000000001</v>
      </c>
      <c r="AF304" s="4" t="str">
        <f t="shared" si="9"/>
        <v>Post Covid</v>
      </c>
      <c r="AG304" s="4"/>
    </row>
    <row r="305" spans="1:33">
      <c r="A305" s="6" t="s">
        <v>30</v>
      </c>
      <c r="B305" s="6">
        <v>2021</v>
      </c>
      <c r="C305" s="6" t="s">
        <v>39</v>
      </c>
      <c r="D305" s="6">
        <f t="shared" si="8"/>
        <v>7</v>
      </c>
      <c r="E305" s="6">
        <v>145.1</v>
      </c>
      <c r="F305" s="6">
        <v>204.5</v>
      </c>
      <c r="G305" s="6">
        <v>180.4</v>
      </c>
      <c r="H305" s="6">
        <v>157.1</v>
      </c>
      <c r="I305" s="6">
        <v>188.7</v>
      </c>
      <c r="J305" s="6">
        <v>157.69999999999999</v>
      </c>
      <c r="K305" s="6">
        <v>152.80000000000001</v>
      </c>
      <c r="L305" s="6">
        <v>163.6</v>
      </c>
      <c r="M305" s="6">
        <v>113.9</v>
      </c>
      <c r="N305" s="6">
        <v>169.7</v>
      </c>
      <c r="O305" s="6">
        <v>166.2</v>
      </c>
      <c r="P305" s="6">
        <v>171</v>
      </c>
      <c r="Q305" s="6">
        <v>161.69999999999999</v>
      </c>
      <c r="R305" s="6">
        <v>189.7</v>
      </c>
      <c r="S305" s="6">
        <v>166</v>
      </c>
      <c r="T305" s="6">
        <v>161.1</v>
      </c>
      <c r="U305" s="6">
        <v>165.3</v>
      </c>
      <c r="V305" s="6">
        <v>161</v>
      </c>
      <c r="W305" s="6">
        <v>162.5</v>
      </c>
      <c r="X305" s="6">
        <v>160.30000000000001</v>
      </c>
      <c r="Y305" s="6">
        <v>170.4</v>
      </c>
      <c r="Z305" s="6">
        <v>157.1</v>
      </c>
      <c r="AA305" s="6">
        <v>160.69999999999999</v>
      </c>
      <c r="AB305" s="6">
        <v>167.2</v>
      </c>
      <c r="AC305" s="6">
        <v>160.4</v>
      </c>
      <c r="AD305" s="6">
        <v>162.80000000000001</v>
      </c>
      <c r="AE305" s="6">
        <v>163.19999999999999</v>
      </c>
      <c r="AF305" s="6" t="str">
        <f t="shared" si="9"/>
        <v>Post Covid</v>
      </c>
      <c r="AG305" s="6"/>
    </row>
    <row r="306" spans="1:33">
      <c r="A306" s="4" t="s">
        <v>32</v>
      </c>
      <c r="B306" s="4">
        <v>2021</v>
      </c>
      <c r="C306" s="4" t="s">
        <v>39</v>
      </c>
      <c r="D306" s="4">
        <f t="shared" si="8"/>
        <v>7</v>
      </c>
      <c r="E306" s="4">
        <v>149.1</v>
      </c>
      <c r="F306" s="4">
        <v>210.9</v>
      </c>
      <c r="G306" s="4">
        <v>185</v>
      </c>
      <c r="H306" s="4">
        <v>158.19999999999999</v>
      </c>
      <c r="I306" s="4">
        <v>170.6</v>
      </c>
      <c r="J306" s="4">
        <v>170.9</v>
      </c>
      <c r="K306" s="4">
        <v>186.4</v>
      </c>
      <c r="L306" s="4">
        <v>164.7</v>
      </c>
      <c r="M306" s="4">
        <v>115.7</v>
      </c>
      <c r="N306" s="4">
        <v>165.5</v>
      </c>
      <c r="O306" s="4">
        <v>153.4</v>
      </c>
      <c r="P306" s="4">
        <v>173.5</v>
      </c>
      <c r="Q306" s="4">
        <v>167.9</v>
      </c>
      <c r="R306" s="4">
        <v>195.5</v>
      </c>
      <c r="S306" s="4">
        <v>157.9</v>
      </c>
      <c r="T306" s="4">
        <v>141.9</v>
      </c>
      <c r="U306" s="4">
        <v>155.5</v>
      </c>
      <c r="V306" s="4">
        <v>161.5</v>
      </c>
      <c r="W306" s="4">
        <v>157.69999999999999</v>
      </c>
      <c r="X306" s="4">
        <v>150.69999999999999</v>
      </c>
      <c r="Y306" s="4">
        <v>161.5</v>
      </c>
      <c r="Z306" s="4">
        <v>149.5</v>
      </c>
      <c r="AA306" s="4">
        <v>151.19999999999999</v>
      </c>
      <c r="AB306" s="4">
        <v>160.30000000000001</v>
      </c>
      <c r="AC306" s="4">
        <v>159.6</v>
      </c>
      <c r="AD306" s="4">
        <v>155</v>
      </c>
      <c r="AE306" s="4">
        <v>161.80000000000001</v>
      </c>
      <c r="AF306" s="4" t="str">
        <f t="shared" si="9"/>
        <v>Post Covid</v>
      </c>
      <c r="AG306" s="4"/>
    </row>
    <row r="307" spans="1:33">
      <c r="A307" s="6" t="s">
        <v>33</v>
      </c>
      <c r="B307" s="6">
        <v>2021</v>
      </c>
      <c r="C307" s="6" t="s">
        <v>39</v>
      </c>
      <c r="D307" s="6">
        <f t="shared" si="8"/>
        <v>7</v>
      </c>
      <c r="E307" s="6">
        <v>146.4</v>
      </c>
      <c r="F307" s="6">
        <v>206.8</v>
      </c>
      <c r="G307" s="6">
        <v>182.2</v>
      </c>
      <c r="H307" s="6">
        <v>157.5</v>
      </c>
      <c r="I307" s="6">
        <v>182.1</v>
      </c>
      <c r="J307" s="6">
        <v>163.9</v>
      </c>
      <c r="K307" s="6">
        <v>164.2</v>
      </c>
      <c r="L307" s="6">
        <v>164</v>
      </c>
      <c r="M307" s="6">
        <v>114.5</v>
      </c>
      <c r="N307" s="6">
        <v>168.3</v>
      </c>
      <c r="O307" s="6">
        <v>160.9</v>
      </c>
      <c r="P307" s="6">
        <v>172.2</v>
      </c>
      <c r="Q307" s="6">
        <v>164</v>
      </c>
      <c r="R307" s="6">
        <v>191.2</v>
      </c>
      <c r="S307" s="6">
        <v>162.80000000000001</v>
      </c>
      <c r="T307" s="6">
        <v>153.1</v>
      </c>
      <c r="U307" s="6">
        <v>161.4</v>
      </c>
      <c r="V307" s="6">
        <v>161.5</v>
      </c>
      <c r="W307" s="6">
        <v>160.69999999999999</v>
      </c>
      <c r="X307" s="6">
        <v>155.80000000000001</v>
      </c>
      <c r="Y307" s="6">
        <v>167</v>
      </c>
      <c r="Z307" s="6">
        <v>153.1</v>
      </c>
      <c r="AA307" s="6">
        <v>155.30000000000001</v>
      </c>
      <c r="AB307" s="6">
        <v>163.19999999999999</v>
      </c>
      <c r="AC307" s="6">
        <v>160.1</v>
      </c>
      <c r="AD307" s="6">
        <v>159</v>
      </c>
      <c r="AE307" s="6">
        <v>162.5</v>
      </c>
      <c r="AF307" s="6" t="str">
        <f t="shared" si="9"/>
        <v>Post Covid</v>
      </c>
      <c r="AG307" s="6"/>
    </row>
    <row r="308" spans="1:33">
      <c r="A308" s="4" t="s">
        <v>30</v>
      </c>
      <c r="B308" s="4">
        <v>2021</v>
      </c>
      <c r="C308" s="4" t="s">
        <v>40</v>
      </c>
      <c r="D308" s="4">
        <f t="shared" si="8"/>
        <v>8</v>
      </c>
      <c r="E308" s="4">
        <v>144.9</v>
      </c>
      <c r="F308" s="4">
        <v>202.3</v>
      </c>
      <c r="G308" s="4">
        <v>176.5</v>
      </c>
      <c r="H308" s="4">
        <v>157.5</v>
      </c>
      <c r="I308" s="4">
        <v>190.9</v>
      </c>
      <c r="J308" s="4">
        <v>155.69999999999999</v>
      </c>
      <c r="K308" s="4">
        <v>153.9</v>
      </c>
      <c r="L308" s="4">
        <v>162.80000000000001</v>
      </c>
      <c r="M308" s="4">
        <v>115.2</v>
      </c>
      <c r="N308" s="4">
        <v>169.8</v>
      </c>
      <c r="O308" s="4">
        <v>167.6</v>
      </c>
      <c r="P308" s="4">
        <v>171.9</v>
      </c>
      <c r="Q308" s="4">
        <v>161.80000000000001</v>
      </c>
      <c r="R308" s="4">
        <v>190.2</v>
      </c>
      <c r="S308" s="4">
        <v>167</v>
      </c>
      <c r="T308" s="4">
        <v>162.6</v>
      </c>
      <c r="U308" s="4">
        <v>166.3</v>
      </c>
      <c r="V308" s="4">
        <v>162.1</v>
      </c>
      <c r="W308" s="4">
        <v>163.1</v>
      </c>
      <c r="X308" s="4">
        <v>160.9</v>
      </c>
      <c r="Y308" s="4">
        <v>171.1</v>
      </c>
      <c r="Z308" s="4">
        <v>157.69999999999999</v>
      </c>
      <c r="AA308" s="4">
        <v>161.1</v>
      </c>
      <c r="AB308" s="4">
        <v>167.5</v>
      </c>
      <c r="AC308" s="4">
        <v>160.30000000000001</v>
      </c>
      <c r="AD308" s="4">
        <v>163.30000000000001</v>
      </c>
      <c r="AE308" s="4">
        <v>163.6</v>
      </c>
      <c r="AF308" s="4" t="str">
        <f t="shared" si="9"/>
        <v>Post Covid</v>
      </c>
      <c r="AG308" s="4"/>
    </row>
    <row r="309" spans="1:33">
      <c r="A309" s="6" t="s">
        <v>32</v>
      </c>
      <c r="B309" s="6">
        <v>2021</v>
      </c>
      <c r="C309" s="6" t="s">
        <v>40</v>
      </c>
      <c r="D309" s="6">
        <f t="shared" si="8"/>
        <v>8</v>
      </c>
      <c r="E309" s="6">
        <v>149.30000000000001</v>
      </c>
      <c r="F309" s="6">
        <v>207.4</v>
      </c>
      <c r="G309" s="6">
        <v>174.1</v>
      </c>
      <c r="H309" s="6">
        <v>159.19999999999999</v>
      </c>
      <c r="I309" s="6">
        <v>175</v>
      </c>
      <c r="J309" s="6">
        <v>161.30000000000001</v>
      </c>
      <c r="K309" s="6">
        <v>183.3</v>
      </c>
      <c r="L309" s="6">
        <v>164.5</v>
      </c>
      <c r="M309" s="6">
        <v>120.4</v>
      </c>
      <c r="N309" s="6">
        <v>166.2</v>
      </c>
      <c r="O309" s="6">
        <v>154.80000000000001</v>
      </c>
      <c r="P309" s="6">
        <v>175.1</v>
      </c>
      <c r="Q309" s="6">
        <v>167.3</v>
      </c>
      <c r="R309" s="6">
        <v>196.5</v>
      </c>
      <c r="S309" s="6">
        <v>159.80000000000001</v>
      </c>
      <c r="T309" s="6">
        <v>143.6</v>
      </c>
      <c r="U309" s="6">
        <v>157.30000000000001</v>
      </c>
      <c r="V309" s="6">
        <v>162.1</v>
      </c>
      <c r="W309" s="6">
        <v>160.69999999999999</v>
      </c>
      <c r="X309" s="6">
        <v>153.19999999999999</v>
      </c>
      <c r="Y309" s="6">
        <v>162.80000000000001</v>
      </c>
      <c r="Z309" s="6">
        <v>150.4</v>
      </c>
      <c r="AA309" s="6">
        <v>153.69999999999999</v>
      </c>
      <c r="AB309" s="6">
        <v>160.4</v>
      </c>
      <c r="AC309" s="6">
        <v>159.6</v>
      </c>
      <c r="AD309" s="6">
        <v>156</v>
      </c>
      <c r="AE309" s="6">
        <v>162.30000000000001</v>
      </c>
      <c r="AF309" s="6" t="str">
        <f t="shared" si="9"/>
        <v>Post Covid</v>
      </c>
      <c r="AG309" s="6"/>
    </row>
    <row r="310" spans="1:33">
      <c r="A310" s="4" t="s">
        <v>33</v>
      </c>
      <c r="B310" s="4">
        <v>2021</v>
      </c>
      <c r="C310" s="4" t="s">
        <v>40</v>
      </c>
      <c r="D310" s="4">
        <f t="shared" si="8"/>
        <v>8</v>
      </c>
      <c r="E310" s="4">
        <v>146.6</v>
      </c>
      <c r="F310" s="4">
        <v>204</v>
      </c>
      <c r="G310" s="4">
        <v>172.8</v>
      </c>
      <c r="H310" s="4">
        <v>158.4</v>
      </c>
      <c r="I310" s="4">
        <v>188</v>
      </c>
      <c r="J310" s="4">
        <v>156.80000000000001</v>
      </c>
      <c r="K310" s="4">
        <v>162.19999999999999</v>
      </c>
      <c r="L310" s="4">
        <v>164.1</v>
      </c>
      <c r="M310" s="4">
        <v>119.7</v>
      </c>
      <c r="N310" s="4">
        <v>168.8</v>
      </c>
      <c r="O310" s="4">
        <v>162.69999999999999</v>
      </c>
      <c r="P310" s="4">
        <v>173.9</v>
      </c>
      <c r="Q310" s="4">
        <v>164</v>
      </c>
      <c r="R310" s="4">
        <v>192.1</v>
      </c>
      <c r="S310" s="4">
        <v>164.5</v>
      </c>
      <c r="T310" s="4">
        <v>155.30000000000001</v>
      </c>
      <c r="U310" s="4">
        <v>163.19999999999999</v>
      </c>
      <c r="V310" s="4">
        <v>162.1</v>
      </c>
      <c r="W310" s="4">
        <v>162.6</v>
      </c>
      <c r="X310" s="4">
        <v>157.5</v>
      </c>
      <c r="Y310" s="4">
        <v>168.4</v>
      </c>
      <c r="Z310" s="4">
        <v>154</v>
      </c>
      <c r="AA310" s="4">
        <v>157.6</v>
      </c>
      <c r="AB310" s="4">
        <v>163.80000000000001</v>
      </c>
      <c r="AC310" s="4">
        <v>160</v>
      </c>
      <c r="AD310" s="4">
        <v>160</v>
      </c>
      <c r="AE310" s="4">
        <v>163.19999999999999</v>
      </c>
      <c r="AF310" s="4" t="str">
        <f t="shared" si="9"/>
        <v>Post Covid</v>
      </c>
      <c r="AG310" s="4"/>
    </row>
    <row r="311" spans="1:33">
      <c r="A311" s="6" t="s">
        <v>30</v>
      </c>
      <c r="B311" s="6">
        <v>2021</v>
      </c>
      <c r="C311" s="6" t="s">
        <v>41</v>
      </c>
      <c r="D311" s="6">
        <f t="shared" si="8"/>
        <v>9</v>
      </c>
      <c r="E311" s="6">
        <v>145.4</v>
      </c>
      <c r="F311" s="6">
        <v>202.1</v>
      </c>
      <c r="G311" s="6">
        <v>172</v>
      </c>
      <c r="H311" s="6">
        <v>158</v>
      </c>
      <c r="I311" s="6">
        <v>195.5</v>
      </c>
      <c r="J311" s="6">
        <v>152.69999999999999</v>
      </c>
      <c r="K311" s="6">
        <v>151.4</v>
      </c>
      <c r="L311" s="6">
        <v>163.9</v>
      </c>
      <c r="M311" s="6">
        <v>119.3</v>
      </c>
      <c r="N311" s="6">
        <v>170.1</v>
      </c>
      <c r="O311" s="6">
        <v>168.3</v>
      </c>
      <c r="P311" s="6">
        <v>172.8</v>
      </c>
      <c r="Q311" s="6">
        <v>162.1</v>
      </c>
      <c r="R311" s="6">
        <v>190.5</v>
      </c>
      <c r="S311" s="6">
        <v>167.7</v>
      </c>
      <c r="T311" s="6">
        <v>163.6</v>
      </c>
      <c r="U311" s="6">
        <v>167.1</v>
      </c>
      <c r="V311" s="6">
        <v>162.1</v>
      </c>
      <c r="W311" s="6">
        <v>163.69999999999999</v>
      </c>
      <c r="X311" s="6">
        <v>161.30000000000001</v>
      </c>
      <c r="Y311" s="6">
        <v>171.9</v>
      </c>
      <c r="Z311" s="6">
        <v>157.80000000000001</v>
      </c>
      <c r="AA311" s="6">
        <v>162.69999999999999</v>
      </c>
      <c r="AB311" s="6">
        <v>168.5</v>
      </c>
      <c r="AC311" s="6">
        <v>160.19999999999999</v>
      </c>
      <c r="AD311" s="6">
        <v>163.80000000000001</v>
      </c>
      <c r="AE311" s="6">
        <v>164</v>
      </c>
      <c r="AF311" s="6" t="str">
        <f t="shared" si="9"/>
        <v>Post Covid</v>
      </c>
      <c r="AG311" s="6"/>
    </row>
    <row r="312" spans="1:33">
      <c r="A312" s="4" t="s">
        <v>32</v>
      </c>
      <c r="B312" s="4">
        <v>2021</v>
      </c>
      <c r="C312" s="4" t="s">
        <v>41</v>
      </c>
      <c r="D312" s="4">
        <f t="shared" si="8"/>
        <v>9</v>
      </c>
      <c r="E312" s="4">
        <v>149.30000000000001</v>
      </c>
      <c r="F312" s="4">
        <v>207.4</v>
      </c>
      <c r="G312" s="4">
        <v>174.1</v>
      </c>
      <c r="H312" s="4">
        <v>159.1</v>
      </c>
      <c r="I312" s="4">
        <v>175</v>
      </c>
      <c r="J312" s="4">
        <v>161.19999999999999</v>
      </c>
      <c r="K312" s="4">
        <v>183.5</v>
      </c>
      <c r="L312" s="4">
        <v>164.5</v>
      </c>
      <c r="M312" s="4">
        <v>120.4</v>
      </c>
      <c r="N312" s="4">
        <v>166.2</v>
      </c>
      <c r="O312" s="4">
        <v>154.80000000000001</v>
      </c>
      <c r="P312" s="4">
        <v>175.1</v>
      </c>
      <c r="Q312" s="4">
        <v>167.3</v>
      </c>
      <c r="R312" s="4">
        <v>196.5</v>
      </c>
      <c r="S312" s="4">
        <v>159.80000000000001</v>
      </c>
      <c r="T312" s="4">
        <v>143.6</v>
      </c>
      <c r="U312" s="4">
        <v>157.4</v>
      </c>
      <c r="V312" s="4">
        <v>162.1</v>
      </c>
      <c r="W312" s="4">
        <v>160.80000000000001</v>
      </c>
      <c r="X312" s="4">
        <v>153.30000000000001</v>
      </c>
      <c r="Y312" s="4">
        <v>162.80000000000001</v>
      </c>
      <c r="Z312" s="4">
        <v>150.5</v>
      </c>
      <c r="AA312" s="4">
        <v>153.9</v>
      </c>
      <c r="AB312" s="4">
        <v>160.30000000000001</v>
      </c>
      <c r="AC312" s="4">
        <v>159.6</v>
      </c>
      <c r="AD312" s="4">
        <v>156</v>
      </c>
      <c r="AE312" s="4">
        <v>162.30000000000001</v>
      </c>
      <c r="AF312" s="4" t="str">
        <f t="shared" si="9"/>
        <v>Post Covid</v>
      </c>
      <c r="AG312" s="4"/>
    </row>
    <row r="313" spans="1:33">
      <c r="A313" s="6" t="s">
        <v>33</v>
      </c>
      <c r="B313" s="6">
        <v>2021</v>
      </c>
      <c r="C313" s="6" t="s">
        <v>41</v>
      </c>
      <c r="D313" s="6">
        <f t="shared" si="8"/>
        <v>9</v>
      </c>
      <c r="E313" s="6">
        <v>146.6</v>
      </c>
      <c r="F313" s="6">
        <v>204</v>
      </c>
      <c r="G313" s="6">
        <v>172.8</v>
      </c>
      <c r="H313" s="6">
        <v>158.4</v>
      </c>
      <c r="I313" s="6">
        <v>188</v>
      </c>
      <c r="J313" s="6">
        <v>156.69999999999999</v>
      </c>
      <c r="K313" s="6">
        <v>162.30000000000001</v>
      </c>
      <c r="L313" s="6">
        <v>164.1</v>
      </c>
      <c r="M313" s="6">
        <v>119.7</v>
      </c>
      <c r="N313" s="6">
        <v>168.8</v>
      </c>
      <c r="O313" s="6">
        <v>162.69999999999999</v>
      </c>
      <c r="P313" s="6">
        <v>173.9</v>
      </c>
      <c r="Q313" s="6">
        <v>164</v>
      </c>
      <c r="R313" s="6">
        <v>192.1</v>
      </c>
      <c r="S313" s="6">
        <v>164.6</v>
      </c>
      <c r="T313" s="6">
        <v>155.30000000000001</v>
      </c>
      <c r="U313" s="6">
        <v>163.30000000000001</v>
      </c>
      <c r="V313" s="6">
        <v>162.1</v>
      </c>
      <c r="W313" s="6">
        <v>162.6</v>
      </c>
      <c r="X313" s="6">
        <v>157.5</v>
      </c>
      <c r="Y313" s="6">
        <v>168.4</v>
      </c>
      <c r="Z313" s="6">
        <v>154</v>
      </c>
      <c r="AA313" s="6">
        <v>157.69999999999999</v>
      </c>
      <c r="AB313" s="6">
        <v>163.69999999999999</v>
      </c>
      <c r="AC313" s="6">
        <v>160</v>
      </c>
      <c r="AD313" s="6">
        <v>160</v>
      </c>
      <c r="AE313" s="6">
        <v>163.19999999999999</v>
      </c>
      <c r="AF313" s="6" t="str">
        <f t="shared" si="9"/>
        <v>Post Covid</v>
      </c>
      <c r="AG313" s="6"/>
    </row>
    <row r="314" spans="1:33">
      <c r="A314" s="4" t="s">
        <v>30</v>
      </c>
      <c r="B314" s="4">
        <v>2021</v>
      </c>
      <c r="C314" s="4" t="s">
        <v>42</v>
      </c>
      <c r="D314" s="4">
        <f t="shared" si="8"/>
        <v>10</v>
      </c>
      <c r="E314" s="4">
        <v>146.1</v>
      </c>
      <c r="F314" s="4">
        <v>202.5</v>
      </c>
      <c r="G314" s="4">
        <v>170.1</v>
      </c>
      <c r="H314" s="4">
        <v>158.4</v>
      </c>
      <c r="I314" s="4">
        <v>198.8</v>
      </c>
      <c r="J314" s="4">
        <v>152.6</v>
      </c>
      <c r="K314" s="4">
        <v>170.4</v>
      </c>
      <c r="L314" s="4">
        <v>165.2</v>
      </c>
      <c r="M314" s="4">
        <v>121.6</v>
      </c>
      <c r="N314" s="4">
        <v>170.6</v>
      </c>
      <c r="O314" s="4">
        <v>168.8</v>
      </c>
      <c r="P314" s="4">
        <v>173.6</v>
      </c>
      <c r="Q314" s="4">
        <v>165.5</v>
      </c>
      <c r="R314" s="4">
        <v>191.2</v>
      </c>
      <c r="S314" s="4">
        <v>168.9</v>
      </c>
      <c r="T314" s="4">
        <v>164.8</v>
      </c>
      <c r="U314" s="4">
        <v>168.3</v>
      </c>
      <c r="V314" s="4">
        <v>163.89999999999998</v>
      </c>
      <c r="W314" s="4">
        <v>165.5</v>
      </c>
      <c r="X314" s="4">
        <v>162</v>
      </c>
      <c r="Y314" s="4">
        <v>172.5</v>
      </c>
      <c r="Z314" s="4">
        <v>159.5</v>
      </c>
      <c r="AA314" s="4">
        <v>163.19999999999999</v>
      </c>
      <c r="AB314" s="4">
        <v>169</v>
      </c>
      <c r="AC314" s="4">
        <v>161.1</v>
      </c>
      <c r="AD314" s="4">
        <v>164.7</v>
      </c>
      <c r="AE314" s="4">
        <v>166.3</v>
      </c>
      <c r="AF314" s="4" t="str">
        <f t="shared" si="9"/>
        <v>Post Covid</v>
      </c>
      <c r="AG314" s="4"/>
    </row>
    <row r="315" spans="1:33">
      <c r="A315" s="6" t="s">
        <v>32</v>
      </c>
      <c r="B315" s="6">
        <v>2021</v>
      </c>
      <c r="C315" s="6" t="s">
        <v>42</v>
      </c>
      <c r="D315" s="6">
        <f t="shared" si="8"/>
        <v>10</v>
      </c>
      <c r="E315" s="6">
        <v>150.1</v>
      </c>
      <c r="F315" s="6">
        <v>208.4</v>
      </c>
      <c r="G315" s="6">
        <v>173</v>
      </c>
      <c r="H315" s="6">
        <v>159.19999999999999</v>
      </c>
      <c r="I315" s="6">
        <v>176.6</v>
      </c>
      <c r="J315" s="6">
        <v>159.30000000000001</v>
      </c>
      <c r="K315" s="6">
        <v>214.4</v>
      </c>
      <c r="L315" s="6">
        <v>165.3</v>
      </c>
      <c r="M315" s="6">
        <v>122.5</v>
      </c>
      <c r="N315" s="6">
        <v>166.8</v>
      </c>
      <c r="O315" s="6">
        <v>155.4</v>
      </c>
      <c r="P315" s="6">
        <v>175.9</v>
      </c>
      <c r="Q315" s="6">
        <v>171.5</v>
      </c>
      <c r="R315" s="6">
        <v>197</v>
      </c>
      <c r="S315" s="6">
        <v>160.80000000000001</v>
      </c>
      <c r="T315" s="6">
        <v>144.4</v>
      </c>
      <c r="U315" s="6">
        <v>158.30000000000001</v>
      </c>
      <c r="V315" s="6">
        <v>163.6</v>
      </c>
      <c r="W315" s="6">
        <v>162.19999999999999</v>
      </c>
      <c r="X315" s="6">
        <v>154.30000000000001</v>
      </c>
      <c r="Y315" s="6">
        <v>163.5</v>
      </c>
      <c r="Z315" s="6">
        <v>152.19999999999999</v>
      </c>
      <c r="AA315" s="6">
        <v>155.1</v>
      </c>
      <c r="AB315" s="6">
        <v>160.30000000000001</v>
      </c>
      <c r="AC315" s="6">
        <v>160.30000000000001</v>
      </c>
      <c r="AD315" s="6">
        <v>157</v>
      </c>
      <c r="AE315" s="6">
        <v>164.6</v>
      </c>
      <c r="AF315" s="6" t="str">
        <f t="shared" si="9"/>
        <v>Post Covid</v>
      </c>
      <c r="AG315" s="6"/>
    </row>
    <row r="316" spans="1:33">
      <c r="A316" s="4" t="s">
        <v>33</v>
      </c>
      <c r="B316" s="4">
        <v>2021</v>
      </c>
      <c r="C316" s="4" t="s">
        <v>42</v>
      </c>
      <c r="D316" s="4">
        <f t="shared" si="8"/>
        <v>10</v>
      </c>
      <c r="E316" s="4">
        <v>147.4</v>
      </c>
      <c r="F316" s="4">
        <v>204.6</v>
      </c>
      <c r="G316" s="4">
        <v>171.2</v>
      </c>
      <c r="H316" s="4">
        <v>158.69999999999999</v>
      </c>
      <c r="I316" s="4">
        <v>190.6</v>
      </c>
      <c r="J316" s="4">
        <v>155.69999999999999</v>
      </c>
      <c r="K316" s="4">
        <v>185.3</v>
      </c>
      <c r="L316" s="4">
        <v>165.2</v>
      </c>
      <c r="M316" s="4">
        <v>121.9</v>
      </c>
      <c r="N316" s="4">
        <v>169.3</v>
      </c>
      <c r="O316" s="4">
        <v>163.19999999999999</v>
      </c>
      <c r="P316" s="4">
        <v>174.7</v>
      </c>
      <c r="Q316" s="4">
        <v>167.7</v>
      </c>
      <c r="R316" s="4">
        <v>192.7</v>
      </c>
      <c r="S316" s="4">
        <v>165.7</v>
      </c>
      <c r="T316" s="4">
        <v>156.30000000000001</v>
      </c>
      <c r="U316" s="4">
        <v>164.3</v>
      </c>
      <c r="V316" s="4">
        <v>163.6</v>
      </c>
      <c r="W316" s="4">
        <v>164.2</v>
      </c>
      <c r="X316" s="4">
        <v>158.4</v>
      </c>
      <c r="Y316" s="4">
        <v>169.1</v>
      </c>
      <c r="Z316" s="4">
        <v>155.69999999999999</v>
      </c>
      <c r="AA316" s="4">
        <v>158.6</v>
      </c>
      <c r="AB316" s="4">
        <v>163.9</v>
      </c>
      <c r="AC316" s="4">
        <v>160.80000000000001</v>
      </c>
      <c r="AD316" s="4">
        <v>161</v>
      </c>
      <c r="AE316" s="4">
        <v>165.5</v>
      </c>
      <c r="AF316" s="4" t="str">
        <f t="shared" si="9"/>
        <v>Post Covid</v>
      </c>
      <c r="AG316" s="4"/>
    </row>
    <row r="317" spans="1:33">
      <c r="A317" s="6" t="s">
        <v>30</v>
      </c>
      <c r="B317" s="6">
        <v>2021</v>
      </c>
      <c r="C317" s="6" t="s">
        <v>43</v>
      </c>
      <c r="D317" s="6">
        <f t="shared" si="8"/>
        <v>11</v>
      </c>
      <c r="E317" s="6">
        <v>146.9</v>
      </c>
      <c r="F317" s="6">
        <v>199.8</v>
      </c>
      <c r="G317" s="6">
        <v>171.5</v>
      </c>
      <c r="H317" s="6">
        <v>159.1</v>
      </c>
      <c r="I317" s="6">
        <v>198.4</v>
      </c>
      <c r="J317" s="6">
        <v>153.19999999999999</v>
      </c>
      <c r="K317" s="6">
        <v>183.9</v>
      </c>
      <c r="L317" s="6">
        <v>165.4</v>
      </c>
      <c r="M317" s="6">
        <v>122.1</v>
      </c>
      <c r="N317" s="6">
        <v>170.8</v>
      </c>
      <c r="O317" s="6">
        <v>169.1</v>
      </c>
      <c r="P317" s="6">
        <v>174.3</v>
      </c>
      <c r="Q317" s="6">
        <v>167.5</v>
      </c>
      <c r="R317" s="6">
        <v>191.4</v>
      </c>
      <c r="S317" s="6">
        <v>170.4</v>
      </c>
      <c r="T317" s="6">
        <v>166</v>
      </c>
      <c r="U317" s="6">
        <v>169.8</v>
      </c>
      <c r="V317" s="6">
        <v>163.9</v>
      </c>
      <c r="W317" s="6">
        <v>165.3</v>
      </c>
      <c r="X317" s="6">
        <v>162.9</v>
      </c>
      <c r="Y317" s="6">
        <v>173.4</v>
      </c>
      <c r="Z317" s="6">
        <v>158.9</v>
      </c>
      <c r="AA317" s="6">
        <v>163.80000000000001</v>
      </c>
      <c r="AB317" s="6">
        <v>169.3</v>
      </c>
      <c r="AC317" s="6">
        <v>162.4</v>
      </c>
      <c r="AD317" s="6">
        <v>165.2</v>
      </c>
      <c r="AE317" s="6">
        <v>167.6</v>
      </c>
      <c r="AF317" s="6" t="str">
        <f t="shared" si="9"/>
        <v>Post Covid</v>
      </c>
      <c r="AG317" s="6"/>
    </row>
    <row r="318" spans="1:33">
      <c r="A318" s="4" t="s">
        <v>32</v>
      </c>
      <c r="B318" s="4">
        <v>2021</v>
      </c>
      <c r="C318" s="4" t="s">
        <v>43</v>
      </c>
      <c r="D318" s="4">
        <f t="shared" si="8"/>
        <v>11</v>
      </c>
      <c r="E318" s="4">
        <v>151</v>
      </c>
      <c r="F318" s="4">
        <v>204.9</v>
      </c>
      <c r="G318" s="4">
        <v>175.4</v>
      </c>
      <c r="H318" s="4">
        <v>159.6</v>
      </c>
      <c r="I318" s="4">
        <v>175.8</v>
      </c>
      <c r="J318" s="4">
        <v>160.30000000000001</v>
      </c>
      <c r="K318" s="4">
        <v>229.1</v>
      </c>
      <c r="L318" s="4">
        <v>165.1</v>
      </c>
      <c r="M318" s="4">
        <v>123.1</v>
      </c>
      <c r="N318" s="4">
        <v>167.2</v>
      </c>
      <c r="O318" s="4">
        <v>156.1</v>
      </c>
      <c r="P318" s="4">
        <v>176.8</v>
      </c>
      <c r="Q318" s="4">
        <v>173.5</v>
      </c>
      <c r="R318" s="4">
        <v>197</v>
      </c>
      <c r="S318" s="4">
        <v>162.30000000000001</v>
      </c>
      <c r="T318" s="4">
        <v>145.30000000000001</v>
      </c>
      <c r="U318" s="4">
        <v>159.69999999999999</v>
      </c>
      <c r="V318" s="4">
        <v>164.2</v>
      </c>
      <c r="W318" s="4">
        <v>161.6</v>
      </c>
      <c r="X318" s="4">
        <v>155.19999999999999</v>
      </c>
      <c r="Y318" s="4">
        <v>164.2</v>
      </c>
      <c r="Z318" s="4">
        <v>151.19999999999999</v>
      </c>
      <c r="AA318" s="4">
        <v>156.69999999999999</v>
      </c>
      <c r="AB318" s="4">
        <v>160.80000000000001</v>
      </c>
      <c r="AC318" s="4">
        <v>161.80000000000001</v>
      </c>
      <c r="AD318" s="4">
        <v>157.30000000000001</v>
      </c>
      <c r="AE318" s="4">
        <v>165.6</v>
      </c>
      <c r="AF318" s="4" t="str">
        <f t="shared" si="9"/>
        <v>Post Covid</v>
      </c>
      <c r="AG318" s="4"/>
    </row>
    <row r="319" spans="1:33">
      <c r="A319" s="6" t="s">
        <v>33</v>
      </c>
      <c r="B319" s="6">
        <v>2021</v>
      </c>
      <c r="C319" s="6" t="s">
        <v>43</v>
      </c>
      <c r="D319" s="6">
        <f t="shared" si="8"/>
        <v>11</v>
      </c>
      <c r="E319" s="6">
        <v>148.19999999999999</v>
      </c>
      <c r="F319" s="6">
        <v>201.6</v>
      </c>
      <c r="G319" s="6">
        <v>173</v>
      </c>
      <c r="H319" s="6">
        <v>159.30000000000001</v>
      </c>
      <c r="I319" s="6">
        <v>190.1</v>
      </c>
      <c r="J319" s="6">
        <v>156.5</v>
      </c>
      <c r="K319" s="6">
        <v>199.2</v>
      </c>
      <c r="L319" s="6">
        <v>165.3</v>
      </c>
      <c r="M319" s="6">
        <v>122.4</v>
      </c>
      <c r="N319" s="6">
        <v>169.6</v>
      </c>
      <c r="O319" s="6">
        <v>163.69999999999999</v>
      </c>
      <c r="P319" s="6">
        <v>175.5</v>
      </c>
      <c r="Q319" s="6">
        <v>169.7</v>
      </c>
      <c r="R319" s="6">
        <v>192.9</v>
      </c>
      <c r="S319" s="6">
        <v>167.2</v>
      </c>
      <c r="T319" s="6">
        <v>157.4</v>
      </c>
      <c r="U319" s="6">
        <v>165.8</v>
      </c>
      <c r="V319" s="6">
        <v>164.2</v>
      </c>
      <c r="W319" s="6">
        <v>163.9</v>
      </c>
      <c r="X319" s="6">
        <v>159.30000000000001</v>
      </c>
      <c r="Y319" s="6">
        <v>169.9</v>
      </c>
      <c r="Z319" s="6">
        <v>154.80000000000001</v>
      </c>
      <c r="AA319" s="6">
        <v>159.80000000000001</v>
      </c>
      <c r="AB319" s="6">
        <v>164.3</v>
      </c>
      <c r="AC319" s="6">
        <v>162.19999999999999</v>
      </c>
      <c r="AD319" s="6">
        <v>161.4</v>
      </c>
      <c r="AE319" s="6">
        <v>166.7</v>
      </c>
      <c r="AF319" s="6" t="str">
        <f t="shared" si="9"/>
        <v>Post Covid</v>
      </c>
      <c r="AG319" s="6"/>
    </row>
    <row r="320" spans="1:33">
      <c r="A320" s="4" t="s">
        <v>30</v>
      </c>
      <c r="B320" s="4">
        <v>2021</v>
      </c>
      <c r="C320" s="4" t="s">
        <v>44</v>
      </c>
      <c r="D320" s="4">
        <f t="shared" si="8"/>
        <v>12</v>
      </c>
      <c r="E320" s="4">
        <v>147.4</v>
      </c>
      <c r="F320" s="4">
        <v>197</v>
      </c>
      <c r="G320" s="4">
        <v>176.5</v>
      </c>
      <c r="H320" s="4">
        <v>159.80000000000001</v>
      </c>
      <c r="I320" s="4">
        <v>195.8</v>
      </c>
      <c r="J320" s="4">
        <v>152</v>
      </c>
      <c r="K320" s="4">
        <v>172.3</v>
      </c>
      <c r="L320" s="4">
        <v>164.5</v>
      </c>
      <c r="M320" s="4">
        <v>120.6</v>
      </c>
      <c r="N320" s="4">
        <v>171.7</v>
      </c>
      <c r="O320" s="4">
        <v>169.7</v>
      </c>
      <c r="P320" s="4">
        <v>175.1</v>
      </c>
      <c r="Q320" s="4">
        <v>165.8</v>
      </c>
      <c r="R320" s="4">
        <v>190.8</v>
      </c>
      <c r="S320" s="4">
        <v>171.8</v>
      </c>
      <c r="T320" s="4">
        <v>167.3</v>
      </c>
      <c r="U320" s="4">
        <v>171.2</v>
      </c>
      <c r="V320" s="4">
        <v>163.95</v>
      </c>
      <c r="W320" s="4">
        <v>165.6</v>
      </c>
      <c r="X320" s="4">
        <v>163.9</v>
      </c>
      <c r="Y320" s="4">
        <v>174</v>
      </c>
      <c r="Z320" s="4">
        <v>160.1</v>
      </c>
      <c r="AA320" s="4">
        <v>164.5</v>
      </c>
      <c r="AB320" s="4">
        <v>169.7</v>
      </c>
      <c r="AC320" s="4">
        <v>162.80000000000001</v>
      </c>
      <c r="AD320" s="4">
        <v>166</v>
      </c>
      <c r="AE320" s="4">
        <v>167</v>
      </c>
      <c r="AF320" s="4" t="str">
        <f t="shared" si="9"/>
        <v>Post Covid</v>
      </c>
      <c r="AG320" s="4"/>
    </row>
    <row r="321" spans="1:33">
      <c r="A321" s="6" t="s">
        <v>32</v>
      </c>
      <c r="B321" s="6">
        <v>2021</v>
      </c>
      <c r="C321" s="6" t="s">
        <v>44</v>
      </c>
      <c r="D321" s="6">
        <f t="shared" si="8"/>
        <v>12</v>
      </c>
      <c r="E321" s="6">
        <v>151.6</v>
      </c>
      <c r="F321" s="6">
        <v>202.2</v>
      </c>
      <c r="G321" s="6">
        <v>180</v>
      </c>
      <c r="H321" s="6">
        <v>160</v>
      </c>
      <c r="I321" s="6">
        <v>173.5</v>
      </c>
      <c r="J321" s="6">
        <v>158.30000000000001</v>
      </c>
      <c r="K321" s="6">
        <v>219.5</v>
      </c>
      <c r="L321" s="6">
        <v>164.2</v>
      </c>
      <c r="M321" s="6">
        <v>121.9</v>
      </c>
      <c r="N321" s="6">
        <v>168.2</v>
      </c>
      <c r="O321" s="6">
        <v>156.5</v>
      </c>
      <c r="P321" s="6">
        <v>178.2</v>
      </c>
      <c r="Q321" s="6">
        <v>172.2</v>
      </c>
      <c r="R321" s="6">
        <v>196.8</v>
      </c>
      <c r="S321" s="6">
        <v>163.30000000000001</v>
      </c>
      <c r="T321" s="6">
        <v>146.69999999999999</v>
      </c>
      <c r="U321" s="6">
        <v>160.69999999999999</v>
      </c>
      <c r="V321" s="6">
        <v>163.4</v>
      </c>
      <c r="W321" s="6">
        <v>161.69999999999999</v>
      </c>
      <c r="X321" s="6">
        <v>156</v>
      </c>
      <c r="Y321" s="6">
        <v>165.1</v>
      </c>
      <c r="Z321" s="6">
        <v>151.80000000000001</v>
      </c>
      <c r="AA321" s="6">
        <v>157.6</v>
      </c>
      <c r="AB321" s="6">
        <v>160.6</v>
      </c>
      <c r="AC321" s="6">
        <v>162.4</v>
      </c>
      <c r="AD321" s="6">
        <v>157.80000000000001</v>
      </c>
      <c r="AE321" s="6">
        <v>165.2</v>
      </c>
      <c r="AF321" s="6" t="str">
        <f t="shared" si="9"/>
        <v>Post Covid</v>
      </c>
      <c r="AG321" s="6"/>
    </row>
    <row r="322" spans="1:33">
      <c r="A322" s="4" t="s">
        <v>33</v>
      </c>
      <c r="B322" s="4">
        <v>2021</v>
      </c>
      <c r="C322" s="4" t="s">
        <v>44</v>
      </c>
      <c r="D322" s="4">
        <f t="shared" si="8"/>
        <v>12</v>
      </c>
      <c r="E322" s="4">
        <v>148.69999999999999</v>
      </c>
      <c r="F322" s="4">
        <v>198.8</v>
      </c>
      <c r="G322" s="4">
        <v>177.9</v>
      </c>
      <c r="H322" s="4">
        <v>159.9</v>
      </c>
      <c r="I322" s="4">
        <v>187.6</v>
      </c>
      <c r="J322" s="4">
        <v>154.9</v>
      </c>
      <c r="K322" s="4">
        <v>188.3</v>
      </c>
      <c r="L322" s="4">
        <v>164.4</v>
      </c>
      <c r="M322" s="4">
        <v>121</v>
      </c>
      <c r="N322" s="4">
        <v>170.5</v>
      </c>
      <c r="O322" s="4">
        <v>164.2</v>
      </c>
      <c r="P322" s="4">
        <v>176.5</v>
      </c>
      <c r="Q322" s="4">
        <v>168.2</v>
      </c>
      <c r="R322" s="4">
        <v>192.4</v>
      </c>
      <c r="S322" s="4">
        <v>168.5</v>
      </c>
      <c r="T322" s="4">
        <v>158.69999999999999</v>
      </c>
      <c r="U322" s="4">
        <v>167</v>
      </c>
      <c r="V322" s="4">
        <v>163.4</v>
      </c>
      <c r="W322" s="4">
        <v>164.1</v>
      </c>
      <c r="X322" s="4">
        <v>160.19999999999999</v>
      </c>
      <c r="Y322" s="4">
        <v>170.6</v>
      </c>
      <c r="Z322" s="4">
        <v>155.69999999999999</v>
      </c>
      <c r="AA322" s="4">
        <v>160.6</v>
      </c>
      <c r="AB322" s="4">
        <v>164.4</v>
      </c>
      <c r="AC322" s="4">
        <v>162.6</v>
      </c>
      <c r="AD322" s="4">
        <v>162</v>
      </c>
      <c r="AE322" s="4">
        <v>166.2</v>
      </c>
      <c r="AF322" s="4" t="str">
        <f t="shared" si="9"/>
        <v>Post Covid</v>
      </c>
      <c r="AG322" s="4"/>
    </row>
    <row r="323" spans="1:33">
      <c r="A323" s="6" t="s">
        <v>30</v>
      </c>
      <c r="B323" s="6">
        <v>2022</v>
      </c>
      <c r="C323" s="6" t="s">
        <v>31</v>
      </c>
      <c r="D323" s="6">
        <f t="shared" ref="D323:D373" si="27">MONTH(DATEVALUE(C323 &amp; " 1"))</f>
        <v>1</v>
      </c>
      <c r="E323" s="6">
        <v>148.30000000000001</v>
      </c>
      <c r="F323" s="6">
        <v>196.9</v>
      </c>
      <c r="G323" s="6">
        <v>178</v>
      </c>
      <c r="H323" s="6">
        <v>160.5</v>
      </c>
      <c r="I323" s="6">
        <v>192.6</v>
      </c>
      <c r="J323" s="6">
        <v>151.19999999999999</v>
      </c>
      <c r="K323" s="6">
        <v>159.19999999999999</v>
      </c>
      <c r="L323" s="6">
        <v>164</v>
      </c>
      <c r="M323" s="6">
        <v>119.3</v>
      </c>
      <c r="N323" s="6">
        <v>173.3</v>
      </c>
      <c r="O323" s="6">
        <v>169.8</v>
      </c>
      <c r="P323" s="6">
        <v>175.8</v>
      </c>
      <c r="Q323" s="6">
        <v>164.1</v>
      </c>
      <c r="R323" s="6">
        <v>190.7</v>
      </c>
      <c r="S323" s="6">
        <v>173.2</v>
      </c>
      <c r="T323" s="6">
        <v>169.3</v>
      </c>
      <c r="U323" s="6">
        <v>172.7</v>
      </c>
      <c r="V323" s="6">
        <v>163.95</v>
      </c>
      <c r="W323" s="6">
        <v>165.8</v>
      </c>
      <c r="X323" s="6">
        <v>164.9</v>
      </c>
      <c r="Y323" s="6">
        <v>174.7</v>
      </c>
      <c r="Z323" s="6">
        <v>160.80000000000001</v>
      </c>
      <c r="AA323" s="6">
        <v>164.9</v>
      </c>
      <c r="AB323" s="6">
        <v>169.9</v>
      </c>
      <c r="AC323" s="6">
        <v>163.19999999999999</v>
      </c>
      <c r="AD323" s="6">
        <v>166.6</v>
      </c>
      <c r="AE323" s="6">
        <v>166.4</v>
      </c>
      <c r="AF323" s="6" t="str">
        <f t="shared" ref="AF323:AF373" si="28">IF(AND(B323=2020,D323&lt;4),"Pre Covid",IF(B323&lt;2020,"Pre Covid","Post Covid"))</f>
        <v>Post Covid</v>
      </c>
      <c r="AG323" s="6"/>
    </row>
    <row r="324" spans="1:33">
      <c r="A324" s="4" t="s">
        <v>32</v>
      </c>
      <c r="B324" s="4">
        <v>2022</v>
      </c>
      <c r="C324" s="4" t="s">
        <v>31</v>
      </c>
      <c r="D324" s="4">
        <f t="shared" si="27"/>
        <v>1</v>
      </c>
      <c r="E324" s="4">
        <v>152.19999999999999</v>
      </c>
      <c r="F324" s="4">
        <v>202.1</v>
      </c>
      <c r="G324" s="4">
        <v>180.1</v>
      </c>
      <c r="H324" s="4">
        <v>160.4</v>
      </c>
      <c r="I324" s="4">
        <v>171</v>
      </c>
      <c r="J324" s="4">
        <v>156.5</v>
      </c>
      <c r="K324" s="4">
        <v>203.6</v>
      </c>
      <c r="L324" s="4">
        <v>163.80000000000001</v>
      </c>
      <c r="M324" s="4">
        <v>121.3</v>
      </c>
      <c r="N324" s="4">
        <v>169.8</v>
      </c>
      <c r="O324" s="4">
        <v>156.6</v>
      </c>
      <c r="P324" s="4">
        <v>179</v>
      </c>
      <c r="Q324" s="4">
        <v>170.3</v>
      </c>
      <c r="R324" s="4">
        <v>196.4</v>
      </c>
      <c r="S324" s="4">
        <v>164.7</v>
      </c>
      <c r="T324" s="4">
        <v>148.5</v>
      </c>
      <c r="U324" s="4">
        <v>162.19999999999999</v>
      </c>
      <c r="V324" s="4">
        <v>164.5</v>
      </c>
      <c r="W324" s="4">
        <v>161.6</v>
      </c>
      <c r="X324" s="4">
        <v>156.80000000000001</v>
      </c>
      <c r="Y324" s="4">
        <v>166.1</v>
      </c>
      <c r="Z324" s="4">
        <v>152.69999999999999</v>
      </c>
      <c r="AA324" s="4">
        <v>158.4</v>
      </c>
      <c r="AB324" s="4">
        <v>161</v>
      </c>
      <c r="AC324" s="4">
        <v>162.80000000000001</v>
      </c>
      <c r="AD324" s="4">
        <v>158.6</v>
      </c>
      <c r="AE324" s="4">
        <v>165</v>
      </c>
      <c r="AF324" s="4" t="str">
        <f t="shared" si="28"/>
        <v>Post Covid</v>
      </c>
      <c r="AG324" s="4"/>
    </row>
    <row r="325" spans="1:33">
      <c r="A325" s="6" t="s">
        <v>33</v>
      </c>
      <c r="B325" s="6">
        <v>2022</v>
      </c>
      <c r="C325" s="6" t="s">
        <v>31</v>
      </c>
      <c r="D325" s="6">
        <f t="shared" si="27"/>
        <v>1</v>
      </c>
      <c r="E325" s="6">
        <v>149.5</v>
      </c>
      <c r="F325" s="6">
        <v>198.7</v>
      </c>
      <c r="G325" s="6">
        <v>178.8</v>
      </c>
      <c r="H325" s="6">
        <v>160.5</v>
      </c>
      <c r="I325" s="6">
        <v>184.7</v>
      </c>
      <c r="J325" s="6">
        <v>153.69999999999999</v>
      </c>
      <c r="K325" s="6">
        <v>174.3</v>
      </c>
      <c r="L325" s="6">
        <v>163.9</v>
      </c>
      <c r="M325" s="6">
        <v>120</v>
      </c>
      <c r="N325" s="6">
        <v>172.1</v>
      </c>
      <c r="O325" s="6">
        <v>164.3</v>
      </c>
      <c r="P325" s="6">
        <v>177.3</v>
      </c>
      <c r="Q325" s="6">
        <v>166.4</v>
      </c>
      <c r="R325" s="6">
        <v>192.2</v>
      </c>
      <c r="S325" s="6">
        <v>169.9</v>
      </c>
      <c r="T325" s="6">
        <v>160.69999999999999</v>
      </c>
      <c r="U325" s="6">
        <v>168.5</v>
      </c>
      <c r="V325" s="6">
        <v>164.5</v>
      </c>
      <c r="W325" s="6">
        <v>164.2</v>
      </c>
      <c r="X325" s="6">
        <v>161.1</v>
      </c>
      <c r="Y325" s="6">
        <v>171.4</v>
      </c>
      <c r="Z325" s="6">
        <v>156.5</v>
      </c>
      <c r="AA325" s="6">
        <v>161.19999999999999</v>
      </c>
      <c r="AB325" s="6">
        <v>164.7</v>
      </c>
      <c r="AC325" s="6">
        <v>163</v>
      </c>
      <c r="AD325" s="6">
        <v>162.69999999999999</v>
      </c>
      <c r="AE325" s="6">
        <v>165.7</v>
      </c>
      <c r="AF325" s="6" t="str">
        <f t="shared" si="28"/>
        <v>Post Covid</v>
      </c>
      <c r="AG325" s="6"/>
    </row>
    <row r="326" spans="1:33">
      <c r="A326" s="4" t="s">
        <v>30</v>
      </c>
      <c r="B326" s="4">
        <v>2022</v>
      </c>
      <c r="C326" s="4" t="s">
        <v>34</v>
      </c>
      <c r="D326" s="4">
        <f t="shared" si="27"/>
        <v>2</v>
      </c>
      <c r="E326" s="4">
        <v>148.80000000000001</v>
      </c>
      <c r="F326" s="4">
        <v>198.1</v>
      </c>
      <c r="G326" s="4">
        <v>175.5</v>
      </c>
      <c r="H326" s="4">
        <v>160.69999999999999</v>
      </c>
      <c r="I326" s="4">
        <v>192.6</v>
      </c>
      <c r="J326" s="4">
        <v>151.4</v>
      </c>
      <c r="K326" s="4">
        <v>155.19999999999999</v>
      </c>
      <c r="L326" s="4">
        <v>163.9</v>
      </c>
      <c r="M326" s="4">
        <v>118.1</v>
      </c>
      <c r="N326" s="4">
        <v>175.4</v>
      </c>
      <c r="O326" s="4">
        <v>170.5</v>
      </c>
      <c r="P326" s="4">
        <v>176.3</v>
      </c>
      <c r="Q326" s="4">
        <v>163.9</v>
      </c>
      <c r="R326" s="4">
        <v>191.5</v>
      </c>
      <c r="S326" s="4">
        <v>174.1</v>
      </c>
      <c r="T326" s="4">
        <v>171</v>
      </c>
      <c r="U326" s="4">
        <v>173.7</v>
      </c>
      <c r="V326" s="4">
        <v>165.4</v>
      </c>
      <c r="W326" s="4">
        <v>167.4</v>
      </c>
      <c r="X326" s="4">
        <v>165.7</v>
      </c>
      <c r="Y326" s="4">
        <v>175.3</v>
      </c>
      <c r="Z326" s="4">
        <v>161.19999999999999</v>
      </c>
      <c r="AA326" s="4">
        <v>165.5</v>
      </c>
      <c r="AB326" s="4">
        <v>170.3</v>
      </c>
      <c r="AC326" s="4">
        <v>164.5</v>
      </c>
      <c r="AD326" s="4">
        <v>167.3</v>
      </c>
      <c r="AE326" s="4">
        <v>166.7</v>
      </c>
      <c r="AF326" s="4" t="str">
        <f t="shared" si="28"/>
        <v>Post Covid</v>
      </c>
      <c r="AG326" s="4"/>
    </row>
    <row r="327" spans="1:33">
      <c r="A327" s="6" t="s">
        <v>32</v>
      </c>
      <c r="B327" s="6">
        <v>2022</v>
      </c>
      <c r="C327" s="6" t="s">
        <v>34</v>
      </c>
      <c r="D327" s="6">
        <f t="shared" si="27"/>
        <v>2</v>
      </c>
      <c r="E327" s="6">
        <v>152.5</v>
      </c>
      <c r="F327" s="6">
        <v>205.2</v>
      </c>
      <c r="G327" s="6">
        <v>176.4</v>
      </c>
      <c r="H327" s="6">
        <v>160.6</v>
      </c>
      <c r="I327" s="6">
        <v>171.5</v>
      </c>
      <c r="J327" s="6">
        <v>156.4</v>
      </c>
      <c r="K327" s="6">
        <v>198</v>
      </c>
      <c r="L327" s="6">
        <v>163.19999999999999</v>
      </c>
      <c r="M327" s="6">
        <v>120.6</v>
      </c>
      <c r="N327" s="6">
        <v>172.2</v>
      </c>
      <c r="O327" s="6">
        <v>156.69999999999999</v>
      </c>
      <c r="P327" s="6">
        <v>180</v>
      </c>
      <c r="Q327" s="6">
        <v>170.2</v>
      </c>
      <c r="R327" s="6">
        <v>196.5</v>
      </c>
      <c r="S327" s="6">
        <v>165.7</v>
      </c>
      <c r="T327" s="6">
        <v>150.4</v>
      </c>
      <c r="U327" s="6">
        <v>163.4</v>
      </c>
      <c r="V327" s="6">
        <v>165.5</v>
      </c>
      <c r="W327" s="6">
        <v>163</v>
      </c>
      <c r="X327" s="6">
        <v>157.4</v>
      </c>
      <c r="Y327" s="6">
        <v>167.2</v>
      </c>
      <c r="Z327" s="6">
        <v>153.1</v>
      </c>
      <c r="AA327" s="6">
        <v>159.5</v>
      </c>
      <c r="AB327" s="6">
        <v>162</v>
      </c>
      <c r="AC327" s="6">
        <v>164.2</v>
      </c>
      <c r="AD327" s="6">
        <v>159.4</v>
      </c>
      <c r="AE327" s="6">
        <v>165.5</v>
      </c>
      <c r="AF327" s="6" t="str">
        <f t="shared" si="28"/>
        <v>Post Covid</v>
      </c>
      <c r="AG327" s="6"/>
    </row>
    <row r="328" spans="1:33">
      <c r="A328" s="4" t="s">
        <v>33</v>
      </c>
      <c r="B328" s="4">
        <v>2022</v>
      </c>
      <c r="C328" s="4" t="s">
        <v>34</v>
      </c>
      <c r="D328" s="4">
        <f t="shared" si="27"/>
        <v>2</v>
      </c>
      <c r="E328" s="4">
        <v>150</v>
      </c>
      <c r="F328" s="4">
        <v>200.6</v>
      </c>
      <c r="G328" s="4">
        <v>175.8</v>
      </c>
      <c r="H328" s="4">
        <v>160.69999999999999</v>
      </c>
      <c r="I328" s="4">
        <v>184.9</v>
      </c>
      <c r="J328" s="4">
        <v>153.69999999999999</v>
      </c>
      <c r="K328" s="4">
        <v>169.7</v>
      </c>
      <c r="L328" s="4">
        <v>163.69999999999999</v>
      </c>
      <c r="M328" s="4">
        <v>118.9</v>
      </c>
      <c r="N328" s="4">
        <v>174.3</v>
      </c>
      <c r="O328" s="4">
        <v>164.7</v>
      </c>
      <c r="P328" s="4">
        <v>178</v>
      </c>
      <c r="Q328" s="4">
        <v>166.2</v>
      </c>
      <c r="R328" s="4">
        <v>192.8</v>
      </c>
      <c r="S328" s="4">
        <v>170.8</v>
      </c>
      <c r="T328" s="4">
        <v>162.4</v>
      </c>
      <c r="U328" s="4">
        <v>169.6</v>
      </c>
      <c r="V328" s="4">
        <v>165.5</v>
      </c>
      <c r="W328" s="4">
        <v>165.7</v>
      </c>
      <c r="X328" s="4">
        <v>161.80000000000001</v>
      </c>
      <c r="Y328" s="4">
        <v>172.2</v>
      </c>
      <c r="Z328" s="4">
        <v>156.9</v>
      </c>
      <c r="AA328" s="4">
        <v>162.1</v>
      </c>
      <c r="AB328" s="4">
        <v>165.4</v>
      </c>
      <c r="AC328" s="4">
        <v>164.4</v>
      </c>
      <c r="AD328" s="4">
        <v>163.5</v>
      </c>
      <c r="AE328" s="4">
        <v>166.1</v>
      </c>
      <c r="AF328" s="4" t="str">
        <f t="shared" si="28"/>
        <v>Post Covid</v>
      </c>
      <c r="AG328" s="4"/>
    </row>
    <row r="329" spans="1:33">
      <c r="A329" s="6" t="s">
        <v>30</v>
      </c>
      <c r="B329" s="6">
        <v>2022</v>
      </c>
      <c r="C329" s="6" t="s">
        <v>35</v>
      </c>
      <c r="D329" s="6">
        <f t="shared" si="27"/>
        <v>3</v>
      </c>
      <c r="E329" s="6">
        <v>150.19999999999999</v>
      </c>
      <c r="F329" s="6">
        <v>208</v>
      </c>
      <c r="G329" s="6">
        <v>167.9</v>
      </c>
      <c r="H329" s="6">
        <v>162</v>
      </c>
      <c r="I329" s="6">
        <v>203.1</v>
      </c>
      <c r="J329" s="6">
        <v>155.9</v>
      </c>
      <c r="K329" s="6">
        <v>155.80000000000001</v>
      </c>
      <c r="L329" s="6">
        <v>164.2</v>
      </c>
      <c r="M329" s="6">
        <v>118.1</v>
      </c>
      <c r="N329" s="6">
        <v>178.7</v>
      </c>
      <c r="O329" s="6">
        <v>171.2</v>
      </c>
      <c r="P329" s="6">
        <v>177.4</v>
      </c>
      <c r="Q329" s="6">
        <v>166.6</v>
      </c>
      <c r="R329" s="6">
        <v>192.3</v>
      </c>
      <c r="S329" s="6">
        <v>175.4</v>
      </c>
      <c r="T329" s="6">
        <v>173.2</v>
      </c>
      <c r="U329" s="6">
        <v>175.1</v>
      </c>
      <c r="V329" s="6">
        <v>165.4</v>
      </c>
      <c r="W329" s="6">
        <v>168.9</v>
      </c>
      <c r="X329" s="6">
        <v>166.5</v>
      </c>
      <c r="Y329" s="6">
        <v>176</v>
      </c>
      <c r="Z329" s="6">
        <v>162</v>
      </c>
      <c r="AA329" s="6">
        <v>166.6</v>
      </c>
      <c r="AB329" s="6">
        <v>170.6</v>
      </c>
      <c r="AC329" s="6">
        <v>167.4</v>
      </c>
      <c r="AD329" s="6">
        <v>168.3</v>
      </c>
      <c r="AE329" s="6">
        <v>168.7</v>
      </c>
      <c r="AF329" s="6" t="str">
        <f t="shared" si="28"/>
        <v>Post Covid</v>
      </c>
      <c r="AG329" s="6"/>
    </row>
    <row r="330" spans="1:33">
      <c r="A330" s="4" t="s">
        <v>32</v>
      </c>
      <c r="B330" s="4">
        <v>2022</v>
      </c>
      <c r="C330" s="4" t="s">
        <v>35</v>
      </c>
      <c r="D330" s="4">
        <f t="shared" si="27"/>
        <v>3</v>
      </c>
      <c r="E330" s="4">
        <v>153.69999999999999</v>
      </c>
      <c r="F330" s="4">
        <v>215.8</v>
      </c>
      <c r="G330" s="4">
        <v>167.7</v>
      </c>
      <c r="H330" s="4">
        <v>162.6</v>
      </c>
      <c r="I330" s="4">
        <v>180</v>
      </c>
      <c r="J330" s="4">
        <v>159.6</v>
      </c>
      <c r="K330" s="4">
        <v>188.4</v>
      </c>
      <c r="L330" s="4">
        <v>163.4</v>
      </c>
      <c r="M330" s="4">
        <v>120.3</v>
      </c>
      <c r="N330" s="4">
        <v>174.7</v>
      </c>
      <c r="O330" s="4">
        <v>157.1</v>
      </c>
      <c r="P330" s="4">
        <v>181.5</v>
      </c>
      <c r="Q330" s="4">
        <v>171.5</v>
      </c>
      <c r="R330" s="4">
        <v>197.5</v>
      </c>
      <c r="S330" s="4">
        <v>167.1</v>
      </c>
      <c r="T330" s="4">
        <v>152.6</v>
      </c>
      <c r="U330" s="4">
        <v>164.9</v>
      </c>
      <c r="V330" s="4">
        <v>165.3</v>
      </c>
      <c r="W330" s="4">
        <v>164.5</v>
      </c>
      <c r="X330" s="4">
        <v>158.6</v>
      </c>
      <c r="Y330" s="4">
        <v>168.2</v>
      </c>
      <c r="Z330" s="4">
        <v>154.19999999999999</v>
      </c>
      <c r="AA330" s="4">
        <v>160.80000000000001</v>
      </c>
      <c r="AB330" s="4">
        <v>162.69999999999999</v>
      </c>
      <c r="AC330" s="4">
        <v>166.8</v>
      </c>
      <c r="AD330" s="4">
        <v>160.6</v>
      </c>
      <c r="AE330" s="4">
        <v>166.5</v>
      </c>
      <c r="AF330" s="4" t="str">
        <f t="shared" si="28"/>
        <v>Post Covid</v>
      </c>
      <c r="AG330" s="4"/>
    </row>
    <row r="331" spans="1:33">
      <c r="A331" s="6" t="s">
        <v>33</v>
      </c>
      <c r="B331" s="6">
        <v>2022</v>
      </c>
      <c r="C331" s="6" t="s">
        <v>35</v>
      </c>
      <c r="D331" s="6">
        <f t="shared" si="27"/>
        <v>3</v>
      </c>
      <c r="E331" s="6">
        <v>151.30000000000001</v>
      </c>
      <c r="F331" s="6">
        <v>210.7</v>
      </c>
      <c r="G331" s="6">
        <v>167.8</v>
      </c>
      <c r="H331" s="6">
        <v>162.19999999999999</v>
      </c>
      <c r="I331" s="6">
        <v>194.6</v>
      </c>
      <c r="J331" s="6">
        <v>157.6</v>
      </c>
      <c r="K331" s="6">
        <v>166.9</v>
      </c>
      <c r="L331" s="6">
        <v>163.9</v>
      </c>
      <c r="M331" s="6">
        <v>118.8</v>
      </c>
      <c r="N331" s="6">
        <v>177.4</v>
      </c>
      <c r="O331" s="6">
        <v>165.3</v>
      </c>
      <c r="P331" s="6">
        <v>179.3</v>
      </c>
      <c r="Q331" s="6">
        <v>168.4</v>
      </c>
      <c r="R331" s="6">
        <v>193.7</v>
      </c>
      <c r="S331" s="6">
        <v>172.1</v>
      </c>
      <c r="T331" s="6">
        <v>164.6</v>
      </c>
      <c r="U331" s="6">
        <v>171.1</v>
      </c>
      <c r="V331" s="6">
        <v>165.3</v>
      </c>
      <c r="W331" s="6">
        <v>167.2</v>
      </c>
      <c r="X331" s="6">
        <v>162.80000000000001</v>
      </c>
      <c r="Y331" s="6">
        <v>173</v>
      </c>
      <c r="Z331" s="6">
        <v>157.9</v>
      </c>
      <c r="AA331" s="6">
        <v>163.30000000000001</v>
      </c>
      <c r="AB331" s="6">
        <v>166</v>
      </c>
      <c r="AC331" s="6">
        <v>167.2</v>
      </c>
      <c r="AD331" s="6">
        <v>164.6</v>
      </c>
      <c r="AE331" s="6">
        <v>167.7</v>
      </c>
      <c r="AF331" s="6" t="str">
        <f t="shared" si="28"/>
        <v>Post Covid</v>
      </c>
      <c r="AG331" s="6"/>
    </row>
    <row r="332" spans="1:33">
      <c r="A332" s="4" t="s">
        <v>30</v>
      </c>
      <c r="B332" s="4">
        <v>2022</v>
      </c>
      <c r="C332" s="4" t="s">
        <v>36</v>
      </c>
      <c r="D332" s="4">
        <f t="shared" si="27"/>
        <v>4</v>
      </c>
      <c r="E332" s="4">
        <v>151.80000000000001</v>
      </c>
      <c r="F332" s="4">
        <v>209.7</v>
      </c>
      <c r="G332" s="4">
        <v>164.5</v>
      </c>
      <c r="H332" s="4">
        <v>163.80000000000001</v>
      </c>
      <c r="I332" s="4">
        <v>207.4</v>
      </c>
      <c r="J332" s="4">
        <v>169.7</v>
      </c>
      <c r="K332" s="4">
        <v>153.6</v>
      </c>
      <c r="L332" s="4">
        <v>165.1</v>
      </c>
      <c r="M332" s="4">
        <v>118.2</v>
      </c>
      <c r="N332" s="4">
        <v>182.9</v>
      </c>
      <c r="O332" s="4">
        <v>172.4</v>
      </c>
      <c r="P332" s="4">
        <v>178.9</v>
      </c>
      <c r="Q332" s="4">
        <v>168.6</v>
      </c>
      <c r="R332" s="4">
        <v>192.8</v>
      </c>
      <c r="S332" s="4">
        <v>177.5</v>
      </c>
      <c r="T332" s="4">
        <v>175.1</v>
      </c>
      <c r="U332" s="4">
        <v>177.1</v>
      </c>
      <c r="V332" s="4">
        <v>167.25</v>
      </c>
      <c r="W332" s="4">
        <v>173.3</v>
      </c>
      <c r="X332" s="4">
        <v>167.7</v>
      </c>
      <c r="Y332" s="4">
        <v>177</v>
      </c>
      <c r="Z332" s="4">
        <v>166.2</v>
      </c>
      <c r="AA332" s="4">
        <v>167.2</v>
      </c>
      <c r="AB332" s="4">
        <v>170.9</v>
      </c>
      <c r="AC332" s="4">
        <v>169</v>
      </c>
      <c r="AD332" s="4">
        <v>170.2</v>
      </c>
      <c r="AE332" s="4">
        <v>170.8</v>
      </c>
      <c r="AF332" s="4" t="str">
        <f t="shared" si="28"/>
        <v>Post Covid</v>
      </c>
      <c r="AG332" s="4"/>
    </row>
    <row r="333" spans="1:33">
      <c r="A333" s="6" t="s">
        <v>32</v>
      </c>
      <c r="B333" s="6">
        <v>2022</v>
      </c>
      <c r="C333" s="6" t="s">
        <v>36</v>
      </c>
      <c r="D333" s="6">
        <f t="shared" si="27"/>
        <v>4</v>
      </c>
      <c r="E333" s="6">
        <v>155.4</v>
      </c>
      <c r="F333" s="6">
        <v>215.8</v>
      </c>
      <c r="G333" s="6">
        <v>164.6</v>
      </c>
      <c r="H333" s="6">
        <v>164.2</v>
      </c>
      <c r="I333" s="6">
        <v>186</v>
      </c>
      <c r="J333" s="6">
        <v>175.9</v>
      </c>
      <c r="K333" s="6">
        <v>190.7</v>
      </c>
      <c r="L333" s="6">
        <v>164</v>
      </c>
      <c r="M333" s="6">
        <v>120.5</v>
      </c>
      <c r="N333" s="6">
        <v>178</v>
      </c>
      <c r="O333" s="6">
        <v>157.5</v>
      </c>
      <c r="P333" s="6">
        <v>183.3</v>
      </c>
      <c r="Q333" s="6">
        <v>174.5</v>
      </c>
      <c r="R333" s="6">
        <v>197.1</v>
      </c>
      <c r="S333" s="6">
        <v>168.4</v>
      </c>
      <c r="T333" s="6">
        <v>154.5</v>
      </c>
      <c r="U333" s="6">
        <v>166.3</v>
      </c>
      <c r="V333" s="6">
        <v>167</v>
      </c>
      <c r="W333" s="6">
        <v>170.5</v>
      </c>
      <c r="X333" s="6">
        <v>159.80000000000001</v>
      </c>
      <c r="Y333" s="6">
        <v>169</v>
      </c>
      <c r="Z333" s="6">
        <v>159.30000000000001</v>
      </c>
      <c r="AA333" s="6">
        <v>162.19999999999999</v>
      </c>
      <c r="AB333" s="6">
        <v>164</v>
      </c>
      <c r="AC333" s="6">
        <v>168.4</v>
      </c>
      <c r="AD333" s="6">
        <v>163.1</v>
      </c>
      <c r="AE333" s="6">
        <v>169.2</v>
      </c>
      <c r="AF333" s="6" t="str">
        <f t="shared" si="28"/>
        <v>Post Covid</v>
      </c>
      <c r="AG333" s="6"/>
    </row>
    <row r="334" spans="1:33">
      <c r="A334" s="4" t="s">
        <v>33</v>
      </c>
      <c r="B334" s="4">
        <v>2022</v>
      </c>
      <c r="C334" s="4" t="s">
        <v>36</v>
      </c>
      <c r="D334" s="4">
        <f t="shared" si="27"/>
        <v>4</v>
      </c>
      <c r="E334" s="4">
        <v>152.9</v>
      </c>
      <c r="F334" s="4">
        <v>211.8</v>
      </c>
      <c r="G334" s="4">
        <v>164.5</v>
      </c>
      <c r="H334" s="4">
        <v>163.9</v>
      </c>
      <c r="I334" s="4">
        <v>199.5</v>
      </c>
      <c r="J334" s="4">
        <v>172.6</v>
      </c>
      <c r="K334" s="4">
        <v>166.2</v>
      </c>
      <c r="L334" s="4">
        <v>164.7</v>
      </c>
      <c r="M334" s="4">
        <v>119</v>
      </c>
      <c r="N334" s="4">
        <v>181.3</v>
      </c>
      <c r="O334" s="4">
        <v>166.2</v>
      </c>
      <c r="P334" s="4">
        <v>180.9</v>
      </c>
      <c r="Q334" s="4">
        <v>170.8</v>
      </c>
      <c r="R334" s="4">
        <v>193.9</v>
      </c>
      <c r="S334" s="4">
        <v>173.9</v>
      </c>
      <c r="T334" s="4">
        <v>166.5</v>
      </c>
      <c r="U334" s="4">
        <v>172.8</v>
      </c>
      <c r="V334" s="4">
        <v>167</v>
      </c>
      <c r="W334" s="4">
        <v>172.2</v>
      </c>
      <c r="X334" s="4">
        <v>164</v>
      </c>
      <c r="Y334" s="4">
        <v>174</v>
      </c>
      <c r="Z334" s="4">
        <v>162.6</v>
      </c>
      <c r="AA334" s="4">
        <v>164.4</v>
      </c>
      <c r="AB334" s="4">
        <v>166.9</v>
      </c>
      <c r="AC334" s="4">
        <v>168.8</v>
      </c>
      <c r="AD334" s="4">
        <v>166.8</v>
      </c>
      <c r="AE334" s="4">
        <v>170.1</v>
      </c>
      <c r="AF334" s="4" t="str">
        <f t="shared" si="28"/>
        <v>Post Covid</v>
      </c>
      <c r="AG334" s="4"/>
    </row>
    <row r="335" spans="1:33">
      <c r="A335" s="6" t="s">
        <v>30</v>
      </c>
      <c r="B335" s="6">
        <v>2022</v>
      </c>
      <c r="C335" s="6" t="s">
        <v>37</v>
      </c>
      <c r="D335" s="6">
        <f t="shared" si="27"/>
        <v>5</v>
      </c>
      <c r="E335" s="6">
        <v>152.9</v>
      </c>
      <c r="F335" s="6">
        <v>214.7</v>
      </c>
      <c r="G335" s="6">
        <v>161.4</v>
      </c>
      <c r="H335" s="6">
        <v>164.6</v>
      </c>
      <c r="I335" s="6">
        <v>209.9</v>
      </c>
      <c r="J335" s="6">
        <v>168</v>
      </c>
      <c r="K335" s="6">
        <v>160.4</v>
      </c>
      <c r="L335" s="6">
        <v>165</v>
      </c>
      <c r="M335" s="6">
        <v>118.9</v>
      </c>
      <c r="N335" s="6">
        <v>186.6</v>
      </c>
      <c r="O335" s="6">
        <v>173.2</v>
      </c>
      <c r="P335" s="6">
        <v>180.4</v>
      </c>
      <c r="Q335" s="6">
        <v>170.8</v>
      </c>
      <c r="R335" s="6">
        <v>192.9</v>
      </c>
      <c r="S335" s="6">
        <v>179.3</v>
      </c>
      <c r="T335" s="6">
        <v>177.2</v>
      </c>
      <c r="U335" s="6">
        <v>179</v>
      </c>
      <c r="V335" s="6">
        <v>167.25</v>
      </c>
      <c r="W335" s="6">
        <v>175.3</v>
      </c>
      <c r="X335" s="6">
        <v>168.9</v>
      </c>
      <c r="Y335" s="6">
        <v>177.7</v>
      </c>
      <c r="Z335" s="6">
        <v>167.1</v>
      </c>
      <c r="AA335" s="6">
        <v>167.6</v>
      </c>
      <c r="AB335" s="6">
        <v>171.8</v>
      </c>
      <c r="AC335" s="6">
        <v>168.5</v>
      </c>
      <c r="AD335" s="6">
        <v>170.9</v>
      </c>
      <c r="AE335" s="6">
        <v>172.5</v>
      </c>
      <c r="AF335" s="6" t="str">
        <f t="shared" si="28"/>
        <v>Post Covid</v>
      </c>
      <c r="AG335" s="6"/>
    </row>
    <row r="336" spans="1:33">
      <c r="A336" s="4" t="s">
        <v>32</v>
      </c>
      <c r="B336" s="4">
        <v>2022</v>
      </c>
      <c r="C336" s="4" t="s">
        <v>37</v>
      </c>
      <c r="D336" s="4">
        <f t="shared" si="27"/>
        <v>5</v>
      </c>
      <c r="E336" s="4">
        <v>156.69999999999999</v>
      </c>
      <c r="F336" s="4">
        <v>221.2</v>
      </c>
      <c r="G336" s="4">
        <v>164.1</v>
      </c>
      <c r="H336" s="4">
        <v>165.4</v>
      </c>
      <c r="I336" s="4">
        <v>189.5</v>
      </c>
      <c r="J336" s="4">
        <v>174.5</v>
      </c>
      <c r="K336" s="4">
        <v>203.2</v>
      </c>
      <c r="L336" s="4">
        <v>164.1</v>
      </c>
      <c r="M336" s="4">
        <v>121.2</v>
      </c>
      <c r="N336" s="4">
        <v>181.4</v>
      </c>
      <c r="O336" s="4">
        <v>158.5</v>
      </c>
      <c r="P336" s="4">
        <v>184.9</v>
      </c>
      <c r="Q336" s="4">
        <v>177.5</v>
      </c>
      <c r="R336" s="4">
        <v>197.5</v>
      </c>
      <c r="S336" s="4">
        <v>170</v>
      </c>
      <c r="T336" s="4">
        <v>155.9</v>
      </c>
      <c r="U336" s="4">
        <v>167.8</v>
      </c>
      <c r="V336" s="4">
        <v>167.5</v>
      </c>
      <c r="W336" s="4">
        <v>173.5</v>
      </c>
      <c r="X336" s="4">
        <v>161.1</v>
      </c>
      <c r="Y336" s="4">
        <v>170.1</v>
      </c>
      <c r="Z336" s="4">
        <v>159.4</v>
      </c>
      <c r="AA336" s="4">
        <v>163.19999999999999</v>
      </c>
      <c r="AB336" s="4">
        <v>165.2</v>
      </c>
      <c r="AC336" s="4">
        <v>168.2</v>
      </c>
      <c r="AD336" s="4">
        <v>163.80000000000001</v>
      </c>
      <c r="AE336" s="4">
        <v>170.8</v>
      </c>
      <c r="AF336" s="4" t="str">
        <f t="shared" si="28"/>
        <v>Post Covid</v>
      </c>
      <c r="AG336" s="4"/>
    </row>
    <row r="337" spans="1:33">
      <c r="A337" s="6" t="s">
        <v>33</v>
      </c>
      <c r="B337" s="6">
        <v>2022</v>
      </c>
      <c r="C337" s="6" t="s">
        <v>37</v>
      </c>
      <c r="D337" s="6">
        <f t="shared" si="27"/>
        <v>5</v>
      </c>
      <c r="E337" s="6">
        <v>154.1</v>
      </c>
      <c r="F337" s="6">
        <v>217</v>
      </c>
      <c r="G337" s="6">
        <v>162.4</v>
      </c>
      <c r="H337" s="6">
        <v>164.9</v>
      </c>
      <c r="I337" s="6">
        <v>202.4</v>
      </c>
      <c r="J337" s="6">
        <v>171</v>
      </c>
      <c r="K337" s="6">
        <v>174.9</v>
      </c>
      <c r="L337" s="6">
        <v>164.7</v>
      </c>
      <c r="M337" s="6">
        <v>119.7</v>
      </c>
      <c r="N337" s="6">
        <v>184.9</v>
      </c>
      <c r="O337" s="6">
        <v>167.1</v>
      </c>
      <c r="P337" s="6">
        <v>182.5</v>
      </c>
      <c r="Q337" s="6">
        <v>173.3</v>
      </c>
      <c r="R337" s="6">
        <v>194.1</v>
      </c>
      <c r="S337" s="6">
        <v>175.6</v>
      </c>
      <c r="T337" s="6">
        <v>168.4</v>
      </c>
      <c r="U337" s="6">
        <v>174.6</v>
      </c>
      <c r="V337" s="6">
        <v>167.5</v>
      </c>
      <c r="W337" s="6">
        <v>174.6</v>
      </c>
      <c r="X337" s="6">
        <v>165.2</v>
      </c>
      <c r="Y337" s="6">
        <v>174.8</v>
      </c>
      <c r="Z337" s="6">
        <v>163</v>
      </c>
      <c r="AA337" s="6">
        <v>165.1</v>
      </c>
      <c r="AB337" s="6">
        <v>167.9</v>
      </c>
      <c r="AC337" s="6">
        <v>168.4</v>
      </c>
      <c r="AD337" s="6">
        <v>167.5</v>
      </c>
      <c r="AE337" s="6">
        <v>171.7</v>
      </c>
      <c r="AF337" s="6" t="str">
        <f t="shared" si="28"/>
        <v>Post Covid</v>
      </c>
      <c r="AG337" s="6"/>
    </row>
    <row r="338" spans="1:33">
      <c r="A338" s="4" t="s">
        <v>30</v>
      </c>
      <c r="B338" s="4">
        <v>2022</v>
      </c>
      <c r="C338" s="4" t="s">
        <v>38</v>
      </c>
      <c r="D338" s="4">
        <f t="shared" si="27"/>
        <v>6</v>
      </c>
      <c r="E338" s="4">
        <v>153.80000000000001</v>
      </c>
      <c r="F338" s="4">
        <v>217.2</v>
      </c>
      <c r="G338" s="4">
        <v>169.6</v>
      </c>
      <c r="H338" s="4">
        <v>165.4</v>
      </c>
      <c r="I338" s="4">
        <v>208.1</v>
      </c>
      <c r="J338" s="4">
        <v>165.8</v>
      </c>
      <c r="K338" s="4">
        <v>167.3</v>
      </c>
      <c r="L338" s="4">
        <v>164.6</v>
      </c>
      <c r="M338" s="4">
        <v>119.1</v>
      </c>
      <c r="N338" s="4">
        <v>188.9</v>
      </c>
      <c r="O338" s="4">
        <v>174.2</v>
      </c>
      <c r="P338" s="4">
        <v>181.9</v>
      </c>
      <c r="Q338" s="4">
        <v>172.4</v>
      </c>
      <c r="R338" s="4">
        <v>192.9</v>
      </c>
      <c r="S338" s="4">
        <v>180.7</v>
      </c>
      <c r="T338" s="4">
        <v>178.7</v>
      </c>
      <c r="U338" s="4">
        <v>180.4</v>
      </c>
      <c r="V338" s="4">
        <v>167.3</v>
      </c>
      <c r="W338" s="4">
        <v>176.7</v>
      </c>
      <c r="X338" s="4">
        <v>170.3</v>
      </c>
      <c r="Y338" s="4">
        <v>178.2</v>
      </c>
      <c r="Z338" s="4">
        <v>165.5</v>
      </c>
      <c r="AA338" s="4">
        <v>168</v>
      </c>
      <c r="AB338" s="4">
        <v>172.6</v>
      </c>
      <c r="AC338" s="4">
        <v>169.5</v>
      </c>
      <c r="AD338" s="4">
        <v>171</v>
      </c>
      <c r="AE338" s="4">
        <v>173.6</v>
      </c>
      <c r="AF338" s="4" t="str">
        <f t="shared" si="28"/>
        <v>Post Covid</v>
      </c>
      <c r="AG338" s="4"/>
    </row>
    <row r="339" spans="1:33">
      <c r="A339" s="6" t="s">
        <v>32</v>
      </c>
      <c r="B339" s="6">
        <v>2022</v>
      </c>
      <c r="C339" s="6" t="s">
        <v>38</v>
      </c>
      <c r="D339" s="6">
        <f t="shared" si="27"/>
        <v>6</v>
      </c>
      <c r="E339" s="6">
        <v>157.5</v>
      </c>
      <c r="F339" s="6">
        <v>223.4</v>
      </c>
      <c r="G339" s="6">
        <v>172.8</v>
      </c>
      <c r="H339" s="6">
        <v>166.4</v>
      </c>
      <c r="I339" s="6">
        <v>188.6</v>
      </c>
      <c r="J339" s="6">
        <v>174.1</v>
      </c>
      <c r="K339" s="6">
        <v>211.5</v>
      </c>
      <c r="L339" s="6">
        <v>163.6</v>
      </c>
      <c r="M339" s="6">
        <v>121.4</v>
      </c>
      <c r="N339" s="6">
        <v>183.5</v>
      </c>
      <c r="O339" s="6">
        <v>159.1</v>
      </c>
      <c r="P339" s="6">
        <v>186.3</v>
      </c>
      <c r="Q339" s="6">
        <v>179.3</v>
      </c>
      <c r="R339" s="6">
        <v>198.3</v>
      </c>
      <c r="S339" s="6">
        <v>171.6</v>
      </c>
      <c r="T339" s="6">
        <v>157.4</v>
      </c>
      <c r="U339" s="6">
        <v>169.4</v>
      </c>
      <c r="V339" s="6">
        <v>166.8</v>
      </c>
      <c r="W339" s="6">
        <v>174.9</v>
      </c>
      <c r="X339" s="6">
        <v>162.1</v>
      </c>
      <c r="Y339" s="6">
        <v>170.9</v>
      </c>
      <c r="Z339" s="6">
        <v>157.19999999999999</v>
      </c>
      <c r="AA339" s="6">
        <v>164.1</v>
      </c>
      <c r="AB339" s="6">
        <v>166.5</v>
      </c>
      <c r="AC339" s="6">
        <v>169.2</v>
      </c>
      <c r="AD339" s="6">
        <v>163.80000000000001</v>
      </c>
      <c r="AE339" s="6">
        <v>171.4</v>
      </c>
      <c r="AF339" s="6" t="str">
        <f t="shared" si="28"/>
        <v>Post Covid</v>
      </c>
      <c r="AG339" s="6"/>
    </row>
    <row r="340" spans="1:33">
      <c r="A340" s="4" t="s">
        <v>33</v>
      </c>
      <c r="B340" s="4">
        <v>2022</v>
      </c>
      <c r="C340" s="4" t="s">
        <v>38</v>
      </c>
      <c r="D340" s="4">
        <f t="shared" si="27"/>
        <v>6</v>
      </c>
      <c r="E340" s="4">
        <v>155</v>
      </c>
      <c r="F340" s="4">
        <v>219.4</v>
      </c>
      <c r="G340" s="4">
        <v>170.8</v>
      </c>
      <c r="H340" s="4">
        <v>165.8</v>
      </c>
      <c r="I340" s="4">
        <v>200.9</v>
      </c>
      <c r="J340" s="4">
        <v>169.7</v>
      </c>
      <c r="K340" s="4">
        <v>182.3</v>
      </c>
      <c r="L340" s="4">
        <v>164.3</v>
      </c>
      <c r="M340" s="4">
        <v>119.9</v>
      </c>
      <c r="N340" s="4">
        <v>187.1</v>
      </c>
      <c r="O340" s="4">
        <v>167.9</v>
      </c>
      <c r="P340" s="4">
        <v>183.9</v>
      </c>
      <c r="Q340" s="4">
        <v>174.9</v>
      </c>
      <c r="R340" s="4">
        <v>194.3</v>
      </c>
      <c r="S340" s="4">
        <v>177.1</v>
      </c>
      <c r="T340" s="4">
        <v>169.9</v>
      </c>
      <c r="U340" s="4">
        <v>176</v>
      </c>
      <c r="V340" s="4">
        <v>166.8</v>
      </c>
      <c r="W340" s="4">
        <v>176</v>
      </c>
      <c r="X340" s="4">
        <v>166.4</v>
      </c>
      <c r="Y340" s="4">
        <v>175.4</v>
      </c>
      <c r="Z340" s="4">
        <v>161.1</v>
      </c>
      <c r="AA340" s="4">
        <v>165.8</v>
      </c>
      <c r="AB340" s="4">
        <v>169</v>
      </c>
      <c r="AC340" s="4">
        <v>169.4</v>
      </c>
      <c r="AD340" s="4">
        <v>167.5</v>
      </c>
      <c r="AE340" s="4">
        <v>172.6</v>
      </c>
      <c r="AF340" s="4" t="str">
        <f t="shared" si="28"/>
        <v>Post Covid</v>
      </c>
      <c r="AG340" s="4"/>
    </row>
    <row r="341" spans="1:33">
      <c r="A341" s="6" t="s">
        <v>30</v>
      </c>
      <c r="B341" s="6">
        <v>2022</v>
      </c>
      <c r="C341" s="6" t="s">
        <v>39</v>
      </c>
      <c r="D341" s="6">
        <f t="shared" si="27"/>
        <v>7</v>
      </c>
      <c r="E341" s="6">
        <v>155.19999999999999</v>
      </c>
      <c r="F341" s="6">
        <v>210.8</v>
      </c>
      <c r="G341" s="6">
        <v>174.3</v>
      </c>
      <c r="H341" s="6">
        <v>166.3</v>
      </c>
      <c r="I341" s="6">
        <v>202.2</v>
      </c>
      <c r="J341" s="6">
        <v>169.6</v>
      </c>
      <c r="K341" s="6">
        <v>168.6</v>
      </c>
      <c r="L341" s="6">
        <v>164.4</v>
      </c>
      <c r="M341" s="6">
        <v>119.2</v>
      </c>
      <c r="N341" s="6">
        <v>191.8</v>
      </c>
      <c r="O341" s="6">
        <v>174.5</v>
      </c>
      <c r="P341" s="6">
        <v>183.1</v>
      </c>
      <c r="Q341" s="6">
        <v>172.5</v>
      </c>
      <c r="R341" s="6">
        <v>193.2</v>
      </c>
      <c r="S341" s="6">
        <v>182</v>
      </c>
      <c r="T341" s="6">
        <v>180.3</v>
      </c>
      <c r="U341" s="6">
        <v>181.7</v>
      </c>
      <c r="V341" s="6">
        <v>167.3</v>
      </c>
      <c r="W341" s="6">
        <v>179.6</v>
      </c>
      <c r="X341" s="6">
        <v>171.3</v>
      </c>
      <c r="Y341" s="6">
        <v>178.8</v>
      </c>
      <c r="Z341" s="6">
        <v>166.3</v>
      </c>
      <c r="AA341" s="6">
        <v>168.6</v>
      </c>
      <c r="AB341" s="6">
        <v>174.7</v>
      </c>
      <c r="AC341" s="6">
        <v>169.7</v>
      </c>
      <c r="AD341" s="6">
        <v>171.8</v>
      </c>
      <c r="AE341" s="6">
        <v>174.3</v>
      </c>
      <c r="AF341" s="6" t="str">
        <f t="shared" si="28"/>
        <v>Post Covid</v>
      </c>
      <c r="AG341" s="6"/>
    </row>
    <row r="342" spans="1:33">
      <c r="A342" s="4" t="s">
        <v>32</v>
      </c>
      <c r="B342" s="4">
        <v>2022</v>
      </c>
      <c r="C342" s="4" t="s">
        <v>39</v>
      </c>
      <c r="D342" s="4">
        <f t="shared" si="27"/>
        <v>7</v>
      </c>
      <c r="E342" s="4">
        <v>159.30000000000001</v>
      </c>
      <c r="F342" s="4">
        <v>217.1</v>
      </c>
      <c r="G342" s="4">
        <v>176.6</v>
      </c>
      <c r="H342" s="4">
        <v>167.1</v>
      </c>
      <c r="I342" s="4">
        <v>184.8</v>
      </c>
      <c r="J342" s="4">
        <v>179.5</v>
      </c>
      <c r="K342" s="4">
        <v>208.5</v>
      </c>
      <c r="L342" s="4">
        <v>164</v>
      </c>
      <c r="M342" s="4">
        <v>121.5</v>
      </c>
      <c r="N342" s="4">
        <v>186.3</v>
      </c>
      <c r="O342" s="4">
        <v>159.80000000000001</v>
      </c>
      <c r="P342" s="4">
        <v>187.7</v>
      </c>
      <c r="Q342" s="4">
        <v>179.4</v>
      </c>
      <c r="R342" s="4">
        <v>198.6</v>
      </c>
      <c r="S342" s="4">
        <v>172.7</v>
      </c>
      <c r="T342" s="4">
        <v>158.69999999999999</v>
      </c>
      <c r="U342" s="4">
        <v>170.6</v>
      </c>
      <c r="V342" s="4">
        <v>167.8</v>
      </c>
      <c r="W342" s="4">
        <v>179.5</v>
      </c>
      <c r="X342" s="4">
        <v>163.1</v>
      </c>
      <c r="Y342" s="4">
        <v>171.7</v>
      </c>
      <c r="Z342" s="4">
        <v>157.4</v>
      </c>
      <c r="AA342" s="4">
        <v>164.6</v>
      </c>
      <c r="AB342" s="4">
        <v>169.1</v>
      </c>
      <c r="AC342" s="4">
        <v>169.8</v>
      </c>
      <c r="AD342" s="4">
        <v>164.7</v>
      </c>
      <c r="AE342" s="4">
        <v>172.3</v>
      </c>
      <c r="AF342" s="4" t="str">
        <f t="shared" si="28"/>
        <v>Post Covid</v>
      </c>
      <c r="AG342" s="4"/>
    </row>
    <row r="343" spans="1:33">
      <c r="A343" s="6" t="s">
        <v>33</v>
      </c>
      <c r="B343" s="6">
        <v>2022</v>
      </c>
      <c r="C343" s="6" t="s">
        <v>39</v>
      </c>
      <c r="D343" s="6">
        <f t="shared" si="27"/>
        <v>7</v>
      </c>
      <c r="E343" s="6">
        <v>156.5</v>
      </c>
      <c r="F343" s="6">
        <v>213</v>
      </c>
      <c r="G343" s="6">
        <v>175.2</v>
      </c>
      <c r="H343" s="6">
        <v>166.6</v>
      </c>
      <c r="I343" s="6">
        <v>195.8</v>
      </c>
      <c r="J343" s="6">
        <v>174.2</v>
      </c>
      <c r="K343" s="6">
        <v>182.1</v>
      </c>
      <c r="L343" s="6">
        <v>164.3</v>
      </c>
      <c r="M343" s="6">
        <v>120</v>
      </c>
      <c r="N343" s="6">
        <v>190</v>
      </c>
      <c r="O343" s="6">
        <v>168.4</v>
      </c>
      <c r="P343" s="6">
        <v>185.2</v>
      </c>
      <c r="Q343" s="6">
        <v>175</v>
      </c>
      <c r="R343" s="6">
        <v>194.6</v>
      </c>
      <c r="S343" s="6">
        <v>178.3</v>
      </c>
      <c r="T343" s="6">
        <v>171.3</v>
      </c>
      <c r="U343" s="6">
        <v>177.3</v>
      </c>
      <c r="V343" s="6">
        <v>167.8</v>
      </c>
      <c r="W343" s="6">
        <v>179.6</v>
      </c>
      <c r="X343" s="6">
        <v>167.4</v>
      </c>
      <c r="Y343" s="6">
        <v>176.1</v>
      </c>
      <c r="Z343" s="6">
        <v>161.6</v>
      </c>
      <c r="AA343" s="6">
        <v>166.3</v>
      </c>
      <c r="AB343" s="6">
        <v>171.4</v>
      </c>
      <c r="AC343" s="6">
        <v>169.7</v>
      </c>
      <c r="AD343" s="6">
        <v>168.4</v>
      </c>
      <c r="AE343" s="6">
        <v>173.4</v>
      </c>
      <c r="AF343" s="6" t="str">
        <f t="shared" si="28"/>
        <v>Post Covid</v>
      </c>
      <c r="AG343" s="6"/>
    </row>
    <row r="344" spans="1:33">
      <c r="A344" s="4" t="s">
        <v>30</v>
      </c>
      <c r="B344" s="4">
        <v>2022</v>
      </c>
      <c r="C344" s="4" t="s">
        <v>40</v>
      </c>
      <c r="D344" s="4">
        <f t="shared" si="27"/>
        <v>8</v>
      </c>
      <c r="E344" s="4">
        <v>159.5</v>
      </c>
      <c r="F344" s="4">
        <v>204.1</v>
      </c>
      <c r="G344" s="4">
        <v>168.3</v>
      </c>
      <c r="H344" s="4">
        <v>167.9</v>
      </c>
      <c r="I344" s="4">
        <v>198.1</v>
      </c>
      <c r="J344" s="4">
        <v>169.2</v>
      </c>
      <c r="K344" s="4">
        <v>173.1</v>
      </c>
      <c r="L344" s="4">
        <v>167.1</v>
      </c>
      <c r="M344" s="4">
        <v>120.2</v>
      </c>
      <c r="N344" s="4">
        <v>195.6</v>
      </c>
      <c r="O344" s="4">
        <v>174.8</v>
      </c>
      <c r="P344" s="4">
        <v>184</v>
      </c>
      <c r="Q344" s="4">
        <v>173.9</v>
      </c>
      <c r="R344" s="4">
        <v>193.7</v>
      </c>
      <c r="S344" s="4">
        <v>183.2</v>
      </c>
      <c r="T344" s="4">
        <v>181.7</v>
      </c>
      <c r="U344" s="4">
        <v>183</v>
      </c>
      <c r="V344" s="4">
        <v>169.25</v>
      </c>
      <c r="W344" s="4">
        <v>179.1</v>
      </c>
      <c r="X344" s="4">
        <v>172.3</v>
      </c>
      <c r="Y344" s="4">
        <v>179.4</v>
      </c>
      <c r="Z344" s="4">
        <v>166.6</v>
      </c>
      <c r="AA344" s="4">
        <v>169.3</v>
      </c>
      <c r="AB344" s="4">
        <v>175.7</v>
      </c>
      <c r="AC344" s="4">
        <v>171.1</v>
      </c>
      <c r="AD344" s="4">
        <v>172.6</v>
      </c>
      <c r="AE344" s="4">
        <v>175.3</v>
      </c>
      <c r="AF344" s="4" t="str">
        <f t="shared" si="28"/>
        <v>Post Covid</v>
      </c>
      <c r="AG344" s="4"/>
    </row>
    <row r="345" spans="1:33">
      <c r="A345" s="6" t="s">
        <v>32</v>
      </c>
      <c r="B345" s="6">
        <v>2022</v>
      </c>
      <c r="C345" s="6" t="s">
        <v>40</v>
      </c>
      <c r="D345" s="6">
        <f t="shared" si="27"/>
        <v>8</v>
      </c>
      <c r="E345" s="6">
        <v>162.1</v>
      </c>
      <c r="F345" s="6">
        <v>210.9</v>
      </c>
      <c r="G345" s="6">
        <v>170.6</v>
      </c>
      <c r="H345" s="6">
        <v>168.4</v>
      </c>
      <c r="I345" s="6">
        <v>182.5</v>
      </c>
      <c r="J345" s="6">
        <v>177.1</v>
      </c>
      <c r="K345" s="6">
        <v>213.1</v>
      </c>
      <c r="L345" s="6">
        <v>167.3</v>
      </c>
      <c r="M345" s="6">
        <v>122.2</v>
      </c>
      <c r="N345" s="6">
        <v>189.7</v>
      </c>
      <c r="O345" s="6">
        <v>160.5</v>
      </c>
      <c r="P345" s="6">
        <v>188.9</v>
      </c>
      <c r="Q345" s="6">
        <v>180.4</v>
      </c>
      <c r="R345" s="6">
        <v>198.7</v>
      </c>
      <c r="S345" s="6">
        <v>173.7</v>
      </c>
      <c r="T345" s="6">
        <v>160</v>
      </c>
      <c r="U345" s="6">
        <v>171.6</v>
      </c>
      <c r="V345" s="6">
        <v>169</v>
      </c>
      <c r="W345" s="6">
        <v>178.4</v>
      </c>
      <c r="X345" s="6">
        <v>164.2</v>
      </c>
      <c r="Y345" s="6">
        <v>172.6</v>
      </c>
      <c r="Z345" s="6">
        <v>157.69999999999999</v>
      </c>
      <c r="AA345" s="6">
        <v>165.1</v>
      </c>
      <c r="AB345" s="6">
        <v>169.9</v>
      </c>
      <c r="AC345" s="6">
        <v>171.4</v>
      </c>
      <c r="AD345" s="6">
        <v>165.4</v>
      </c>
      <c r="AE345" s="6">
        <v>173.1</v>
      </c>
      <c r="AF345" s="6" t="str">
        <f t="shared" si="28"/>
        <v>Post Covid</v>
      </c>
      <c r="AG345" s="6"/>
    </row>
    <row r="346" spans="1:33">
      <c r="A346" s="4" t="s">
        <v>33</v>
      </c>
      <c r="B346" s="4">
        <v>2022</v>
      </c>
      <c r="C346" s="4" t="s">
        <v>40</v>
      </c>
      <c r="D346" s="4">
        <f t="shared" si="27"/>
        <v>8</v>
      </c>
      <c r="E346" s="4">
        <v>160.30000000000001</v>
      </c>
      <c r="F346" s="4">
        <v>206.5</v>
      </c>
      <c r="G346" s="4">
        <v>169.2</v>
      </c>
      <c r="H346" s="4">
        <v>168.1</v>
      </c>
      <c r="I346" s="4">
        <v>192.4</v>
      </c>
      <c r="J346" s="4">
        <v>172.9</v>
      </c>
      <c r="K346" s="4">
        <v>186.7</v>
      </c>
      <c r="L346" s="4">
        <v>167.2</v>
      </c>
      <c r="M346" s="4">
        <v>120.9</v>
      </c>
      <c r="N346" s="4">
        <v>193.6</v>
      </c>
      <c r="O346" s="4">
        <v>168.8</v>
      </c>
      <c r="P346" s="4">
        <v>186.3</v>
      </c>
      <c r="Q346" s="4">
        <v>176.3</v>
      </c>
      <c r="R346" s="4">
        <v>195</v>
      </c>
      <c r="S346" s="4">
        <v>179.5</v>
      </c>
      <c r="T346" s="4">
        <v>172.7</v>
      </c>
      <c r="U346" s="4">
        <v>178.5</v>
      </c>
      <c r="V346" s="4">
        <v>169</v>
      </c>
      <c r="W346" s="4">
        <v>178.8</v>
      </c>
      <c r="X346" s="4">
        <v>168.5</v>
      </c>
      <c r="Y346" s="4">
        <v>176.8</v>
      </c>
      <c r="Z346" s="4">
        <v>161.9</v>
      </c>
      <c r="AA346" s="4">
        <v>166.9</v>
      </c>
      <c r="AB346" s="4">
        <v>172.3</v>
      </c>
      <c r="AC346" s="4">
        <v>171.2</v>
      </c>
      <c r="AD346" s="4">
        <v>169.1</v>
      </c>
      <c r="AE346" s="4">
        <v>174.3</v>
      </c>
      <c r="AF346" s="4" t="str">
        <f t="shared" si="28"/>
        <v>Post Covid</v>
      </c>
      <c r="AG346" s="4"/>
    </row>
    <row r="347" spans="1:33">
      <c r="A347" s="6" t="s">
        <v>30</v>
      </c>
      <c r="B347" s="6">
        <v>2022</v>
      </c>
      <c r="C347" s="6" t="s">
        <v>41</v>
      </c>
      <c r="D347" s="6">
        <f t="shared" si="27"/>
        <v>9</v>
      </c>
      <c r="E347" s="6">
        <v>162.9</v>
      </c>
      <c r="F347" s="6">
        <v>206.7</v>
      </c>
      <c r="G347" s="6">
        <v>169</v>
      </c>
      <c r="H347" s="6">
        <v>169.5</v>
      </c>
      <c r="I347" s="6">
        <v>194.1</v>
      </c>
      <c r="J347" s="6">
        <v>164.1</v>
      </c>
      <c r="K347" s="6">
        <v>176.9</v>
      </c>
      <c r="L347" s="6">
        <v>169</v>
      </c>
      <c r="M347" s="6">
        <v>120.8</v>
      </c>
      <c r="N347" s="6">
        <v>199.1</v>
      </c>
      <c r="O347" s="6">
        <v>175.4</v>
      </c>
      <c r="P347" s="6">
        <v>184.8</v>
      </c>
      <c r="Q347" s="6">
        <v>175.5</v>
      </c>
      <c r="R347" s="6">
        <v>194.5</v>
      </c>
      <c r="S347" s="6">
        <v>184.7</v>
      </c>
      <c r="T347" s="6">
        <v>183.3</v>
      </c>
      <c r="U347" s="6">
        <v>184.5</v>
      </c>
      <c r="V347" s="6">
        <v>169.25</v>
      </c>
      <c r="W347" s="6">
        <v>179.7</v>
      </c>
      <c r="X347" s="6">
        <v>173.6</v>
      </c>
      <c r="Y347" s="6">
        <v>180.2</v>
      </c>
      <c r="Z347" s="6">
        <v>166.9</v>
      </c>
      <c r="AA347" s="6">
        <v>170</v>
      </c>
      <c r="AB347" s="6">
        <v>176.2</v>
      </c>
      <c r="AC347" s="6">
        <v>170.8</v>
      </c>
      <c r="AD347" s="6">
        <v>173.1</v>
      </c>
      <c r="AE347" s="6">
        <v>176.4</v>
      </c>
      <c r="AF347" s="6" t="str">
        <f t="shared" si="28"/>
        <v>Post Covid</v>
      </c>
      <c r="AG347" s="6"/>
    </row>
    <row r="348" spans="1:33">
      <c r="A348" s="4" t="s">
        <v>32</v>
      </c>
      <c r="B348" s="4">
        <v>2022</v>
      </c>
      <c r="C348" s="4" t="s">
        <v>41</v>
      </c>
      <c r="D348" s="4">
        <f t="shared" si="27"/>
        <v>9</v>
      </c>
      <c r="E348" s="4">
        <v>164.9</v>
      </c>
      <c r="F348" s="4">
        <v>213.7</v>
      </c>
      <c r="G348" s="4">
        <v>170.9</v>
      </c>
      <c r="H348" s="4">
        <v>170.1</v>
      </c>
      <c r="I348" s="4">
        <v>179.3</v>
      </c>
      <c r="J348" s="4">
        <v>167.5</v>
      </c>
      <c r="K348" s="4">
        <v>220.8</v>
      </c>
      <c r="L348" s="4">
        <v>169.2</v>
      </c>
      <c r="M348" s="4">
        <v>123.1</v>
      </c>
      <c r="N348" s="4">
        <v>193.6</v>
      </c>
      <c r="O348" s="4">
        <v>161.1</v>
      </c>
      <c r="P348" s="4">
        <v>190.4</v>
      </c>
      <c r="Q348" s="4">
        <v>181.8</v>
      </c>
      <c r="R348" s="4">
        <v>199.7</v>
      </c>
      <c r="S348" s="4">
        <v>175</v>
      </c>
      <c r="T348" s="4">
        <v>161.69999999999999</v>
      </c>
      <c r="U348" s="4">
        <v>173</v>
      </c>
      <c r="V348" s="4">
        <v>169.5</v>
      </c>
      <c r="W348" s="4">
        <v>179.2</v>
      </c>
      <c r="X348" s="4">
        <v>165</v>
      </c>
      <c r="Y348" s="4">
        <v>173.8</v>
      </c>
      <c r="Z348" s="4">
        <v>158.19999999999999</v>
      </c>
      <c r="AA348" s="4">
        <v>165.8</v>
      </c>
      <c r="AB348" s="4">
        <v>170.9</v>
      </c>
      <c r="AC348" s="4">
        <v>171.1</v>
      </c>
      <c r="AD348" s="4">
        <v>166.1</v>
      </c>
      <c r="AE348" s="4">
        <v>174.1</v>
      </c>
      <c r="AF348" s="4" t="str">
        <f t="shared" si="28"/>
        <v>Post Covid</v>
      </c>
      <c r="AG348" s="4"/>
    </row>
    <row r="349" spans="1:33">
      <c r="A349" s="6" t="s">
        <v>33</v>
      </c>
      <c r="B349" s="6">
        <v>2022</v>
      </c>
      <c r="C349" s="6" t="s">
        <v>41</v>
      </c>
      <c r="D349" s="6">
        <f t="shared" si="27"/>
        <v>9</v>
      </c>
      <c r="E349" s="6">
        <v>163.5</v>
      </c>
      <c r="F349" s="6">
        <v>209.2</v>
      </c>
      <c r="G349" s="6">
        <v>169.7</v>
      </c>
      <c r="H349" s="6">
        <v>169.7</v>
      </c>
      <c r="I349" s="6">
        <v>188.7</v>
      </c>
      <c r="J349" s="6">
        <v>165.7</v>
      </c>
      <c r="K349" s="6">
        <v>191.8</v>
      </c>
      <c r="L349" s="6">
        <v>169.1</v>
      </c>
      <c r="M349" s="6">
        <v>121.6</v>
      </c>
      <c r="N349" s="6">
        <v>197.3</v>
      </c>
      <c r="O349" s="6">
        <v>169.4</v>
      </c>
      <c r="P349" s="6">
        <v>187.4</v>
      </c>
      <c r="Q349" s="6">
        <v>177.8</v>
      </c>
      <c r="R349" s="6">
        <v>195.9</v>
      </c>
      <c r="S349" s="6">
        <v>180.9</v>
      </c>
      <c r="T349" s="6">
        <v>174.3</v>
      </c>
      <c r="U349" s="6">
        <v>179.9</v>
      </c>
      <c r="V349" s="6">
        <v>169.5</v>
      </c>
      <c r="W349" s="6">
        <v>179.5</v>
      </c>
      <c r="X349" s="6">
        <v>169.5</v>
      </c>
      <c r="Y349" s="6">
        <v>177.8</v>
      </c>
      <c r="Z349" s="6">
        <v>162.30000000000001</v>
      </c>
      <c r="AA349" s="6">
        <v>167.6</v>
      </c>
      <c r="AB349" s="6">
        <v>173.1</v>
      </c>
      <c r="AC349" s="6">
        <v>170.9</v>
      </c>
      <c r="AD349" s="6">
        <v>169.7</v>
      </c>
      <c r="AE349" s="6">
        <v>175.3</v>
      </c>
      <c r="AF349" s="6" t="str">
        <f t="shared" si="28"/>
        <v>Post Covid</v>
      </c>
      <c r="AG349" s="6"/>
    </row>
    <row r="350" spans="1:33">
      <c r="A350" s="4" t="s">
        <v>30</v>
      </c>
      <c r="B350" s="4">
        <v>2022</v>
      </c>
      <c r="C350" s="4" t="s">
        <v>42</v>
      </c>
      <c r="D350" s="4">
        <f t="shared" si="27"/>
        <v>10</v>
      </c>
      <c r="E350" s="4">
        <v>164.7</v>
      </c>
      <c r="F350" s="4">
        <v>208.8</v>
      </c>
      <c r="G350" s="4">
        <v>170.3</v>
      </c>
      <c r="H350" s="4">
        <v>170.9</v>
      </c>
      <c r="I350" s="4">
        <v>191.6</v>
      </c>
      <c r="J350" s="4">
        <v>162.19999999999999</v>
      </c>
      <c r="K350" s="4">
        <v>184.8</v>
      </c>
      <c r="L350" s="4">
        <v>169.7</v>
      </c>
      <c r="M350" s="4">
        <v>121.1</v>
      </c>
      <c r="N350" s="4">
        <v>201.6</v>
      </c>
      <c r="O350" s="4">
        <v>175.8</v>
      </c>
      <c r="P350" s="4">
        <v>185.6</v>
      </c>
      <c r="Q350" s="4">
        <v>177.4</v>
      </c>
      <c r="R350" s="4">
        <v>194.9</v>
      </c>
      <c r="S350" s="4">
        <v>186.1</v>
      </c>
      <c r="T350" s="4">
        <v>184.4</v>
      </c>
      <c r="U350" s="4">
        <v>185.9</v>
      </c>
      <c r="V350" s="4">
        <v>171.5</v>
      </c>
      <c r="W350" s="4">
        <v>180.8</v>
      </c>
      <c r="X350" s="4">
        <v>174.4</v>
      </c>
      <c r="Y350" s="4">
        <v>181.2</v>
      </c>
      <c r="Z350" s="4">
        <v>167.4</v>
      </c>
      <c r="AA350" s="4">
        <v>170.6</v>
      </c>
      <c r="AB350" s="4">
        <v>176.5</v>
      </c>
      <c r="AC350" s="4">
        <v>172</v>
      </c>
      <c r="AD350" s="4">
        <v>173.9</v>
      </c>
      <c r="AE350" s="4">
        <v>177.9</v>
      </c>
      <c r="AF350" s="4" t="str">
        <f t="shared" si="28"/>
        <v>Post Covid</v>
      </c>
      <c r="AG350" s="4"/>
    </row>
    <row r="351" spans="1:33">
      <c r="A351" s="6" t="s">
        <v>32</v>
      </c>
      <c r="B351" s="6">
        <v>2022</v>
      </c>
      <c r="C351" s="6" t="s">
        <v>42</v>
      </c>
      <c r="D351" s="6">
        <f t="shared" si="27"/>
        <v>10</v>
      </c>
      <c r="E351" s="6">
        <v>166.4</v>
      </c>
      <c r="F351" s="6">
        <v>214.9</v>
      </c>
      <c r="G351" s="6">
        <v>171.9</v>
      </c>
      <c r="H351" s="6">
        <v>171</v>
      </c>
      <c r="I351" s="6">
        <v>177.7</v>
      </c>
      <c r="J351" s="6">
        <v>165.7</v>
      </c>
      <c r="K351" s="6">
        <v>228.6</v>
      </c>
      <c r="L351" s="6">
        <v>169.9</v>
      </c>
      <c r="M351" s="6">
        <v>123.4</v>
      </c>
      <c r="N351" s="6">
        <v>196.4</v>
      </c>
      <c r="O351" s="6">
        <v>161.6</v>
      </c>
      <c r="P351" s="6">
        <v>191.5</v>
      </c>
      <c r="Q351" s="6">
        <v>183.3</v>
      </c>
      <c r="R351" s="6">
        <v>200.1</v>
      </c>
      <c r="S351" s="6">
        <v>175.5</v>
      </c>
      <c r="T351" s="6">
        <v>162.6</v>
      </c>
      <c r="U351" s="6">
        <v>173.6</v>
      </c>
      <c r="V351" s="6">
        <v>171.2</v>
      </c>
      <c r="W351" s="6">
        <v>180</v>
      </c>
      <c r="X351" s="6">
        <v>166</v>
      </c>
      <c r="Y351" s="6">
        <v>174.7</v>
      </c>
      <c r="Z351" s="6">
        <v>158.80000000000001</v>
      </c>
      <c r="AA351" s="6">
        <v>166.3</v>
      </c>
      <c r="AB351" s="6">
        <v>171.2</v>
      </c>
      <c r="AC351" s="6">
        <v>172.3</v>
      </c>
      <c r="AD351" s="6">
        <v>166.8</v>
      </c>
      <c r="AE351" s="6">
        <v>175.3</v>
      </c>
      <c r="AF351" s="6" t="str">
        <f t="shared" si="28"/>
        <v>Post Covid</v>
      </c>
      <c r="AG351" s="6"/>
    </row>
    <row r="352" spans="1:33">
      <c r="A352" s="4" t="s">
        <v>33</v>
      </c>
      <c r="B352" s="4">
        <v>2022</v>
      </c>
      <c r="C352" s="4" t="s">
        <v>42</v>
      </c>
      <c r="D352" s="4">
        <f t="shared" si="27"/>
        <v>10</v>
      </c>
      <c r="E352" s="4">
        <v>165.2</v>
      </c>
      <c r="F352" s="4">
        <v>210.9</v>
      </c>
      <c r="G352" s="4">
        <v>170.9</v>
      </c>
      <c r="H352" s="4">
        <v>170.9</v>
      </c>
      <c r="I352" s="4">
        <v>186.5</v>
      </c>
      <c r="J352" s="4">
        <v>163.80000000000001</v>
      </c>
      <c r="K352" s="4">
        <v>199.7</v>
      </c>
      <c r="L352" s="4">
        <v>169.8</v>
      </c>
      <c r="M352" s="4">
        <v>121.9</v>
      </c>
      <c r="N352" s="4">
        <v>199.9</v>
      </c>
      <c r="O352" s="4">
        <v>169.9</v>
      </c>
      <c r="P352" s="4">
        <v>188.3</v>
      </c>
      <c r="Q352" s="4">
        <v>179.6</v>
      </c>
      <c r="R352" s="4">
        <v>196.3</v>
      </c>
      <c r="S352" s="4">
        <v>181.9</v>
      </c>
      <c r="T352" s="4">
        <v>175.3</v>
      </c>
      <c r="U352" s="4">
        <v>181</v>
      </c>
      <c r="V352" s="4">
        <v>171.2</v>
      </c>
      <c r="W352" s="4">
        <v>180.5</v>
      </c>
      <c r="X352" s="4">
        <v>170.4</v>
      </c>
      <c r="Y352" s="4">
        <v>178.7</v>
      </c>
      <c r="Z352" s="4">
        <v>162.9</v>
      </c>
      <c r="AA352" s="4">
        <v>168.2</v>
      </c>
      <c r="AB352" s="4">
        <v>173.4</v>
      </c>
      <c r="AC352" s="4">
        <v>172.1</v>
      </c>
      <c r="AD352" s="4">
        <v>170.5</v>
      </c>
      <c r="AE352" s="4">
        <v>176.7</v>
      </c>
      <c r="AF352" s="4" t="str">
        <f t="shared" si="28"/>
        <v>Post Covid</v>
      </c>
      <c r="AG352" s="4"/>
    </row>
    <row r="353" spans="1:33">
      <c r="A353" s="6" t="s">
        <v>30</v>
      </c>
      <c r="B353" s="6">
        <v>2022</v>
      </c>
      <c r="C353" s="6" t="s">
        <v>43</v>
      </c>
      <c r="D353" s="6">
        <f t="shared" si="27"/>
        <v>11</v>
      </c>
      <c r="E353" s="6">
        <v>166.9</v>
      </c>
      <c r="F353" s="6">
        <v>207.2</v>
      </c>
      <c r="G353" s="6">
        <v>180.2</v>
      </c>
      <c r="H353" s="6">
        <v>172.3</v>
      </c>
      <c r="I353" s="6">
        <v>194</v>
      </c>
      <c r="J353" s="6">
        <v>159.1</v>
      </c>
      <c r="K353" s="6">
        <v>171.6</v>
      </c>
      <c r="L353" s="6">
        <v>170.2</v>
      </c>
      <c r="M353" s="6">
        <v>121.5</v>
      </c>
      <c r="N353" s="6">
        <v>204.8</v>
      </c>
      <c r="O353" s="6">
        <v>176.4</v>
      </c>
      <c r="P353" s="6">
        <v>186.9</v>
      </c>
      <c r="Q353" s="6">
        <v>176.6</v>
      </c>
      <c r="R353" s="6">
        <v>195.5</v>
      </c>
      <c r="S353" s="6">
        <v>187.2</v>
      </c>
      <c r="T353" s="6">
        <v>185.2</v>
      </c>
      <c r="U353" s="6">
        <v>186.9</v>
      </c>
      <c r="V353" s="6">
        <v>171.5</v>
      </c>
      <c r="W353" s="6">
        <v>181.9</v>
      </c>
      <c r="X353" s="6">
        <v>175.5</v>
      </c>
      <c r="Y353" s="6">
        <v>182.3</v>
      </c>
      <c r="Z353" s="6">
        <v>167.5</v>
      </c>
      <c r="AA353" s="6">
        <v>170.8</v>
      </c>
      <c r="AB353" s="6">
        <v>176.9</v>
      </c>
      <c r="AC353" s="6">
        <v>173.4</v>
      </c>
      <c r="AD353" s="6">
        <v>174.6</v>
      </c>
      <c r="AE353" s="6">
        <v>177.8</v>
      </c>
      <c r="AF353" s="6" t="str">
        <f t="shared" si="28"/>
        <v>Post Covid</v>
      </c>
      <c r="AG353" s="6"/>
    </row>
    <row r="354" spans="1:33">
      <c r="A354" s="4" t="s">
        <v>32</v>
      </c>
      <c r="B354" s="4">
        <v>2022</v>
      </c>
      <c r="C354" s="4" t="s">
        <v>43</v>
      </c>
      <c r="D354" s="4">
        <f t="shared" si="27"/>
        <v>11</v>
      </c>
      <c r="E354" s="4">
        <v>168.4</v>
      </c>
      <c r="F354" s="4">
        <v>213.4</v>
      </c>
      <c r="G354" s="4">
        <v>183.2</v>
      </c>
      <c r="H354" s="4">
        <v>172.3</v>
      </c>
      <c r="I354" s="4">
        <v>180</v>
      </c>
      <c r="J354" s="4">
        <v>162.6</v>
      </c>
      <c r="K354" s="4">
        <v>205.5</v>
      </c>
      <c r="L354" s="4">
        <v>171</v>
      </c>
      <c r="M354" s="4">
        <v>123.4</v>
      </c>
      <c r="N354" s="4">
        <v>198.8</v>
      </c>
      <c r="O354" s="4">
        <v>162.1</v>
      </c>
      <c r="P354" s="4">
        <v>192.4</v>
      </c>
      <c r="Q354" s="4">
        <v>181.3</v>
      </c>
      <c r="R354" s="4">
        <v>200.6</v>
      </c>
      <c r="S354" s="4">
        <v>176.7</v>
      </c>
      <c r="T354" s="4">
        <v>163.5</v>
      </c>
      <c r="U354" s="4">
        <v>174.7</v>
      </c>
      <c r="V354" s="4">
        <v>171.8</v>
      </c>
      <c r="W354" s="4">
        <v>180.3</v>
      </c>
      <c r="X354" s="4">
        <v>166.9</v>
      </c>
      <c r="Y354" s="4">
        <v>175.8</v>
      </c>
      <c r="Z354" s="4">
        <v>158.9</v>
      </c>
      <c r="AA354" s="4">
        <v>166.7</v>
      </c>
      <c r="AB354" s="4">
        <v>171.5</v>
      </c>
      <c r="AC354" s="4">
        <v>173.8</v>
      </c>
      <c r="AD354" s="4">
        <v>167.4</v>
      </c>
      <c r="AE354" s="4">
        <v>174.1</v>
      </c>
      <c r="AF354" s="4" t="str">
        <f t="shared" si="28"/>
        <v>Post Covid</v>
      </c>
      <c r="AG354" s="4"/>
    </row>
    <row r="355" spans="1:33">
      <c r="A355" s="6" t="s">
        <v>33</v>
      </c>
      <c r="B355" s="6">
        <v>2022</v>
      </c>
      <c r="C355" s="6" t="s">
        <v>43</v>
      </c>
      <c r="D355" s="6">
        <f t="shared" si="27"/>
        <v>11</v>
      </c>
      <c r="E355" s="6">
        <v>167.4</v>
      </c>
      <c r="F355" s="6">
        <v>209.4</v>
      </c>
      <c r="G355" s="6">
        <v>181.4</v>
      </c>
      <c r="H355" s="6">
        <v>172.3</v>
      </c>
      <c r="I355" s="6">
        <v>188.9</v>
      </c>
      <c r="J355" s="6">
        <v>160.69999999999999</v>
      </c>
      <c r="K355" s="6">
        <v>183.1</v>
      </c>
      <c r="L355" s="6">
        <v>170.5</v>
      </c>
      <c r="M355" s="6">
        <v>122.1</v>
      </c>
      <c r="N355" s="6">
        <v>202.8</v>
      </c>
      <c r="O355" s="6">
        <v>170.4</v>
      </c>
      <c r="P355" s="6">
        <v>189.5</v>
      </c>
      <c r="Q355" s="6">
        <v>178.3</v>
      </c>
      <c r="R355" s="6">
        <v>196.9</v>
      </c>
      <c r="S355" s="6">
        <v>183.1</v>
      </c>
      <c r="T355" s="6">
        <v>176.2</v>
      </c>
      <c r="U355" s="6">
        <v>182.1</v>
      </c>
      <c r="V355" s="6">
        <v>171.8</v>
      </c>
      <c r="W355" s="6">
        <v>181.3</v>
      </c>
      <c r="X355" s="6">
        <v>171.4</v>
      </c>
      <c r="Y355" s="6">
        <v>179.8</v>
      </c>
      <c r="Z355" s="6">
        <v>163</v>
      </c>
      <c r="AA355" s="6">
        <v>168.5</v>
      </c>
      <c r="AB355" s="6">
        <v>173.7</v>
      </c>
      <c r="AC355" s="6">
        <v>173.6</v>
      </c>
      <c r="AD355" s="6">
        <v>171.1</v>
      </c>
      <c r="AE355" s="6">
        <v>176.5</v>
      </c>
      <c r="AF355" s="6" t="str">
        <f t="shared" si="28"/>
        <v>Post Covid</v>
      </c>
      <c r="AG355" s="6"/>
    </row>
    <row r="356" spans="1:33">
      <c r="A356" s="4" t="s">
        <v>30</v>
      </c>
      <c r="B356" s="4">
        <v>2022</v>
      </c>
      <c r="C356" s="4" t="s">
        <v>44</v>
      </c>
      <c r="D356" s="4">
        <f t="shared" si="27"/>
        <v>12</v>
      </c>
      <c r="E356" s="4">
        <v>168.8</v>
      </c>
      <c r="F356" s="4">
        <v>206.9</v>
      </c>
      <c r="G356" s="4">
        <v>189.1</v>
      </c>
      <c r="H356" s="4">
        <v>173.4</v>
      </c>
      <c r="I356" s="4">
        <v>193.9</v>
      </c>
      <c r="J356" s="4">
        <v>156.69999999999999</v>
      </c>
      <c r="K356" s="4">
        <v>150.19999999999999</v>
      </c>
      <c r="L356" s="4">
        <v>170.5</v>
      </c>
      <c r="M356" s="4">
        <v>121.2</v>
      </c>
      <c r="N356" s="4">
        <v>207.5</v>
      </c>
      <c r="O356" s="4">
        <v>176.8</v>
      </c>
      <c r="P356" s="4">
        <v>187.7</v>
      </c>
      <c r="Q356" s="4">
        <v>174.4</v>
      </c>
      <c r="R356" s="4">
        <v>195.9</v>
      </c>
      <c r="S356" s="4">
        <v>188.1</v>
      </c>
      <c r="T356" s="4">
        <v>185.9</v>
      </c>
      <c r="U356" s="4">
        <v>187.8</v>
      </c>
      <c r="V356" s="4">
        <v>171.4</v>
      </c>
      <c r="W356" s="4">
        <v>182.8</v>
      </c>
      <c r="X356" s="4">
        <v>176.4</v>
      </c>
      <c r="Y356" s="4">
        <v>183.5</v>
      </c>
      <c r="Z356" s="4">
        <v>167.8</v>
      </c>
      <c r="AA356" s="4">
        <v>171.2</v>
      </c>
      <c r="AB356" s="4">
        <v>177.3</v>
      </c>
      <c r="AC356" s="4">
        <v>175.7</v>
      </c>
      <c r="AD356" s="4">
        <v>175.5</v>
      </c>
      <c r="AE356" s="4">
        <v>177.1</v>
      </c>
      <c r="AF356" s="4" t="str">
        <f t="shared" si="28"/>
        <v>Post Covid</v>
      </c>
      <c r="AG356" s="4"/>
    </row>
    <row r="357" spans="1:33">
      <c r="A357" s="6" t="s">
        <v>32</v>
      </c>
      <c r="B357" s="6">
        <v>2022</v>
      </c>
      <c r="C357" s="6" t="s">
        <v>44</v>
      </c>
      <c r="D357" s="6">
        <f t="shared" si="27"/>
        <v>12</v>
      </c>
      <c r="E357" s="6">
        <v>170.2</v>
      </c>
      <c r="F357" s="6">
        <v>212.9</v>
      </c>
      <c r="G357" s="6">
        <v>191.9</v>
      </c>
      <c r="H357" s="6">
        <v>173.9</v>
      </c>
      <c r="I357" s="6">
        <v>179.1</v>
      </c>
      <c r="J357" s="6">
        <v>159.5</v>
      </c>
      <c r="K357" s="6">
        <v>178.7</v>
      </c>
      <c r="L357" s="6">
        <v>171.3</v>
      </c>
      <c r="M357" s="6">
        <v>123.1</v>
      </c>
      <c r="N357" s="6">
        <v>200.5</v>
      </c>
      <c r="O357" s="6">
        <v>162.80000000000001</v>
      </c>
      <c r="P357" s="6">
        <v>193.3</v>
      </c>
      <c r="Q357" s="6">
        <v>178.6</v>
      </c>
      <c r="R357" s="6">
        <v>201.1</v>
      </c>
      <c r="S357" s="6">
        <v>177.7</v>
      </c>
      <c r="T357" s="6">
        <v>164.5</v>
      </c>
      <c r="U357" s="6">
        <v>175.7</v>
      </c>
      <c r="V357" s="6">
        <v>170.7</v>
      </c>
      <c r="W357" s="6">
        <v>180.6</v>
      </c>
      <c r="X357" s="6">
        <v>167.3</v>
      </c>
      <c r="Y357" s="6">
        <v>177.2</v>
      </c>
      <c r="Z357" s="6">
        <v>159.4</v>
      </c>
      <c r="AA357" s="6">
        <v>167.1</v>
      </c>
      <c r="AB357" s="6">
        <v>171.8</v>
      </c>
      <c r="AC357" s="6">
        <v>176</v>
      </c>
      <c r="AD357" s="6">
        <v>168.2</v>
      </c>
      <c r="AE357" s="6">
        <v>174.1</v>
      </c>
      <c r="AF357" s="6" t="str">
        <f t="shared" si="28"/>
        <v>Post Covid</v>
      </c>
      <c r="AG357" s="6"/>
    </row>
    <row r="358" spans="1:33">
      <c r="A358" s="4" t="s">
        <v>33</v>
      </c>
      <c r="B358" s="4">
        <v>2022</v>
      </c>
      <c r="C358" s="4" t="s">
        <v>44</v>
      </c>
      <c r="D358" s="4">
        <f t="shared" si="27"/>
        <v>12</v>
      </c>
      <c r="E358" s="4">
        <v>169.2</v>
      </c>
      <c r="F358" s="4">
        <v>209</v>
      </c>
      <c r="G358" s="4">
        <v>190.2</v>
      </c>
      <c r="H358" s="4">
        <v>173.6</v>
      </c>
      <c r="I358" s="4">
        <v>188.5</v>
      </c>
      <c r="J358" s="4">
        <v>158</v>
      </c>
      <c r="K358" s="4">
        <v>159.9</v>
      </c>
      <c r="L358" s="4">
        <v>170.8</v>
      </c>
      <c r="M358" s="4">
        <v>121.8</v>
      </c>
      <c r="N358" s="4">
        <v>205.2</v>
      </c>
      <c r="O358" s="4">
        <v>171</v>
      </c>
      <c r="P358" s="4">
        <v>190.3</v>
      </c>
      <c r="Q358" s="4">
        <v>175.9</v>
      </c>
      <c r="R358" s="4">
        <v>197.3</v>
      </c>
      <c r="S358" s="4">
        <v>184</v>
      </c>
      <c r="T358" s="4">
        <v>177</v>
      </c>
      <c r="U358" s="4">
        <v>183</v>
      </c>
      <c r="V358" s="4">
        <v>170.7</v>
      </c>
      <c r="W358" s="4">
        <v>182</v>
      </c>
      <c r="X358" s="4">
        <v>172.1</v>
      </c>
      <c r="Y358" s="4">
        <v>181.1</v>
      </c>
      <c r="Z358" s="4">
        <v>163.4</v>
      </c>
      <c r="AA358" s="4">
        <v>168.9</v>
      </c>
      <c r="AB358" s="4">
        <v>174.1</v>
      </c>
      <c r="AC358" s="4">
        <v>175.8</v>
      </c>
      <c r="AD358" s="4">
        <v>172</v>
      </c>
      <c r="AE358" s="4">
        <v>175.7</v>
      </c>
      <c r="AF358" s="4" t="str">
        <f t="shared" si="28"/>
        <v>Post Covid</v>
      </c>
      <c r="AG358" s="4"/>
    </row>
    <row r="359" spans="1:33">
      <c r="A359" s="6" t="s">
        <v>30</v>
      </c>
      <c r="B359" s="6">
        <v>2023</v>
      </c>
      <c r="C359" s="6" t="s">
        <v>31</v>
      </c>
      <c r="D359" s="6">
        <f t="shared" si="27"/>
        <v>1</v>
      </c>
      <c r="E359" s="6">
        <v>174</v>
      </c>
      <c r="F359" s="6">
        <v>208.3</v>
      </c>
      <c r="G359" s="6">
        <v>192.9</v>
      </c>
      <c r="H359" s="6">
        <v>174.3</v>
      </c>
      <c r="I359" s="6">
        <v>192.6</v>
      </c>
      <c r="J359" s="6">
        <v>156.30000000000001</v>
      </c>
      <c r="K359" s="6">
        <v>142.9</v>
      </c>
      <c r="L359" s="6">
        <v>170.7</v>
      </c>
      <c r="M359" s="6">
        <v>120.3</v>
      </c>
      <c r="N359" s="6">
        <v>210.5</v>
      </c>
      <c r="O359" s="6">
        <v>176.9</v>
      </c>
      <c r="P359" s="6">
        <v>188.5</v>
      </c>
      <c r="Q359" s="6">
        <v>175</v>
      </c>
      <c r="R359" s="6">
        <v>196.9</v>
      </c>
      <c r="S359" s="6">
        <v>189</v>
      </c>
      <c r="T359" s="6">
        <v>186.3</v>
      </c>
      <c r="U359" s="6">
        <v>188.6</v>
      </c>
      <c r="V359" s="6">
        <v>171.4</v>
      </c>
      <c r="W359" s="6">
        <v>183.2</v>
      </c>
      <c r="X359" s="6">
        <v>177.2</v>
      </c>
      <c r="Y359" s="6">
        <v>184.7</v>
      </c>
      <c r="Z359" s="6">
        <v>168.2</v>
      </c>
      <c r="AA359" s="6">
        <v>171.8</v>
      </c>
      <c r="AB359" s="6">
        <v>177.8</v>
      </c>
      <c r="AC359" s="6">
        <v>178.4</v>
      </c>
      <c r="AD359" s="6">
        <v>176.5</v>
      </c>
      <c r="AE359" s="6">
        <v>177.8</v>
      </c>
      <c r="AF359" s="6" t="str">
        <f t="shared" si="28"/>
        <v>Post Covid</v>
      </c>
      <c r="AG359" s="6"/>
    </row>
    <row r="360" spans="1:33">
      <c r="A360" s="4" t="s">
        <v>32</v>
      </c>
      <c r="B360" s="4">
        <v>2023</v>
      </c>
      <c r="C360" s="4" t="s">
        <v>31</v>
      </c>
      <c r="D360" s="4">
        <f t="shared" si="27"/>
        <v>1</v>
      </c>
      <c r="E360" s="4">
        <v>173.3</v>
      </c>
      <c r="F360" s="4">
        <v>215.2</v>
      </c>
      <c r="G360" s="4">
        <v>197</v>
      </c>
      <c r="H360" s="4">
        <v>175.2</v>
      </c>
      <c r="I360" s="4">
        <v>178</v>
      </c>
      <c r="J360" s="4">
        <v>160.5</v>
      </c>
      <c r="K360" s="4">
        <v>175.3</v>
      </c>
      <c r="L360" s="4">
        <v>171.2</v>
      </c>
      <c r="M360" s="4">
        <v>122.7</v>
      </c>
      <c r="N360" s="4">
        <v>204.3</v>
      </c>
      <c r="O360" s="4">
        <v>163.69999999999999</v>
      </c>
      <c r="P360" s="4">
        <v>194.3</v>
      </c>
      <c r="Q360" s="4">
        <v>179.5</v>
      </c>
      <c r="R360" s="4">
        <v>201.6</v>
      </c>
      <c r="S360" s="4">
        <v>178.7</v>
      </c>
      <c r="T360" s="4">
        <v>165.3</v>
      </c>
      <c r="U360" s="4">
        <v>176.6</v>
      </c>
      <c r="V360" s="4">
        <v>172.1</v>
      </c>
      <c r="W360" s="4">
        <v>180.1</v>
      </c>
      <c r="X360" s="4">
        <v>168</v>
      </c>
      <c r="Y360" s="4">
        <v>178.5</v>
      </c>
      <c r="Z360" s="4">
        <v>159.5</v>
      </c>
      <c r="AA360" s="4">
        <v>167.8</v>
      </c>
      <c r="AB360" s="4">
        <v>171.8</v>
      </c>
      <c r="AC360" s="4">
        <v>178.8</v>
      </c>
      <c r="AD360" s="4">
        <v>168.9</v>
      </c>
      <c r="AE360" s="4">
        <v>174.9</v>
      </c>
      <c r="AF360" s="4" t="str">
        <f t="shared" si="28"/>
        <v>Post Covid</v>
      </c>
      <c r="AG360" s="4"/>
    </row>
    <row r="361" spans="1:33">
      <c r="A361" s="6" t="s">
        <v>33</v>
      </c>
      <c r="B361" s="6">
        <v>2023</v>
      </c>
      <c r="C361" s="6" t="s">
        <v>31</v>
      </c>
      <c r="D361" s="6">
        <f t="shared" si="27"/>
        <v>1</v>
      </c>
      <c r="E361" s="6">
        <v>173.8</v>
      </c>
      <c r="F361" s="6">
        <v>210.7</v>
      </c>
      <c r="G361" s="6">
        <v>194.5</v>
      </c>
      <c r="H361" s="6">
        <v>174.6</v>
      </c>
      <c r="I361" s="6">
        <v>187.2</v>
      </c>
      <c r="J361" s="6">
        <v>158.30000000000001</v>
      </c>
      <c r="K361" s="6">
        <v>153.9</v>
      </c>
      <c r="L361" s="6">
        <v>170.9</v>
      </c>
      <c r="M361" s="6">
        <v>121.1</v>
      </c>
      <c r="N361" s="6">
        <v>208.4</v>
      </c>
      <c r="O361" s="6">
        <v>171.4</v>
      </c>
      <c r="P361" s="6">
        <v>191.2</v>
      </c>
      <c r="Q361" s="6">
        <v>176.7</v>
      </c>
      <c r="R361" s="6">
        <v>198.2</v>
      </c>
      <c r="S361" s="6">
        <v>184.9</v>
      </c>
      <c r="T361" s="6">
        <v>177.6</v>
      </c>
      <c r="U361" s="6">
        <v>183.8</v>
      </c>
      <c r="V361" s="6">
        <v>172.1</v>
      </c>
      <c r="W361" s="6">
        <v>182</v>
      </c>
      <c r="X361" s="6">
        <v>172.9</v>
      </c>
      <c r="Y361" s="6">
        <v>182.3</v>
      </c>
      <c r="Z361" s="6">
        <v>163.6</v>
      </c>
      <c r="AA361" s="6">
        <v>169.5</v>
      </c>
      <c r="AB361" s="6">
        <v>174.3</v>
      </c>
      <c r="AC361" s="6">
        <v>178.6</v>
      </c>
      <c r="AD361" s="6">
        <v>172.8</v>
      </c>
      <c r="AE361" s="6">
        <v>176.5</v>
      </c>
      <c r="AF361" s="6" t="str">
        <f t="shared" si="28"/>
        <v>Post Covid</v>
      </c>
      <c r="AG361" s="6"/>
    </row>
    <row r="362" spans="1:33">
      <c r="A362" s="4" t="s">
        <v>30</v>
      </c>
      <c r="B362" s="4">
        <v>2023</v>
      </c>
      <c r="C362" s="4" t="s">
        <v>34</v>
      </c>
      <c r="D362" s="4">
        <f t="shared" si="27"/>
        <v>2</v>
      </c>
      <c r="E362" s="4">
        <v>174.2</v>
      </c>
      <c r="F362" s="4">
        <v>205.2</v>
      </c>
      <c r="G362" s="4">
        <v>173.9</v>
      </c>
      <c r="H362" s="4">
        <v>177</v>
      </c>
      <c r="I362" s="4">
        <v>183.4</v>
      </c>
      <c r="J362" s="4">
        <v>167.2</v>
      </c>
      <c r="K362" s="4">
        <v>140.9</v>
      </c>
      <c r="L362" s="4">
        <v>170.4</v>
      </c>
      <c r="M362" s="4">
        <v>119.1</v>
      </c>
      <c r="N362" s="4">
        <v>212.1</v>
      </c>
      <c r="O362" s="4">
        <v>177.6</v>
      </c>
      <c r="P362" s="4">
        <v>189.9</v>
      </c>
      <c r="Q362" s="4">
        <v>174.8</v>
      </c>
      <c r="R362" s="4">
        <v>198.3</v>
      </c>
      <c r="S362" s="4">
        <v>190</v>
      </c>
      <c r="T362" s="4">
        <v>187</v>
      </c>
      <c r="U362" s="4">
        <v>189.6</v>
      </c>
      <c r="V362" s="4">
        <v>173.5</v>
      </c>
      <c r="W362" s="4">
        <v>181.6</v>
      </c>
      <c r="X362" s="4">
        <v>178.6</v>
      </c>
      <c r="Y362" s="4">
        <v>186.6</v>
      </c>
      <c r="Z362" s="4">
        <v>169</v>
      </c>
      <c r="AA362" s="4">
        <v>172.8</v>
      </c>
      <c r="AB362" s="4">
        <v>178.5</v>
      </c>
      <c r="AC362" s="4">
        <v>180.7</v>
      </c>
      <c r="AD362" s="4">
        <v>177.9</v>
      </c>
      <c r="AE362" s="4">
        <v>178</v>
      </c>
      <c r="AF362" s="4" t="str">
        <f t="shared" si="28"/>
        <v>Post Covid</v>
      </c>
      <c r="AG362" s="4"/>
    </row>
    <row r="363" spans="1:33">
      <c r="A363" s="6" t="s">
        <v>32</v>
      </c>
      <c r="B363" s="6">
        <v>2023</v>
      </c>
      <c r="C363" s="6" t="s">
        <v>34</v>
      </c>
      <c r="D363" s="6">
        <f t="shared" si="27"/>
        <v>2</v>
      </c>
      <c r="E363" s="6">
        <v>174.7</v>
      </c>
      <c r="F363" s="6">
        <v>212.2</v>
      </c>
      <c r="G363" s="6">
        <v>177.2</v>
      </c>
      <c r="H363" s="6">
        <v>177.9</v>
      </c>
      <c r="I363" s="6">
        <v>172.2</v>
      </c>
      <c r="J363" s="6">
        <v>172.1</v>
      </c>
      <c r="K363" s="6">
        <v>175.8</v>
      </c>
      <c r="L363" s="6">
        <v>172.2</v>
      </c>
      <c r="M363" s="6">
        <v>121.9</v>
      </c>
      <c r="N363" s="6">
        <v>204.8</v>
      </c>
      <c r="O363" s="6">
        <v>164.9</v>
      </c>
      <c r="P363" s="6">
        <v>196.6</v>
      </c>
      <c r="Q363" s="6">
        <v>180.7</v>
      </c>
      <c r="R363" s="6">
        <v>202.7</v>
      </c>
      <c r="S363" s="6">
        <v>180.3</v>
      </c>
      <c r="T363" s="6">
        <v>167</v>
      </c>
      <c r="U363" s="6">
        <v>178.2</v>
      </c>
      <c r="V363" s="6">
        <v>173.5</v>
      </c>
      <c r="W363" s="6">
        <v>182.8</v>
      </c>
      <c r="X363" s="6">
        <v>169.2</v>
      </c>
      <c r="Y363" s="6">
        <v>180.8</v>
      </c>
      <c r="Z363" s="6">
        <v>159.80000000000001</v>
      </c>
      <c r="AA363" s="6">
        <v>168.4</v>
      </c>
      <c r="AB363" s="6">
        <v>172.5</v>
      </c>
      <c r="AC363" s="6">
        <v>181.4</v>
      </c>
      <c r="AD363" s="6">
        <v>170</v>
      </c>
      <c r="AE363" s="6">
        <v>176.3</v>
      </c>
      <c r="AF363" s="6" t="str">
        <f t="shared" si="28"/>
        <v>Post Covid</v>
      </c>
      <c r="AG363" s="6"/>
    </row>
    <row r="364" spans="1:33">
      <c r="A364" s="4" t="s">
        <v>33</v>
      </c>
      <c r="B364" s="4">
        <v>2023</v>
      </c>
      <c r="C364" s="4" t="s">
        <v>34</v>
      </c>
      <c r="D364" s="4">
        <f t="shared" si="27"/>
        <v>2</v>
      </c>
      <c r="E364" s="4">
        <v>174.4</v>
      </c>
      <c r="F364" s="4">
        <v>207.7</v>
      </c>
      <c r="G364" s="4">
        <v>175.2</v>
      </c>
      <c r="H364" s="4">
        <v>177.3</v>
      </c>
      <c r="I364" s="4">
        <v>179.3</v>
      </c>
      <c r="J364" s="4">
        <v>169.5</v>
      </c>
      <c r="K364" s="4">
        <v>152.69999999999999</v>
      </c>
      <c r="L364" s="4">
        <v>171</v>
      </c>
      <c r="M364" s="4">
        <v>120</v>
      </c>
      <c r="N364" s="4">
        <v>209.7</v>
      </c>
      <c r="O364" s="4">
        <v>172.3</v>
      </c>
      <c r="P364" s="4">
        <v>193</v>
      </c>
      <c r="Q364" s="4">
        <v>177</v>
      </c>
      <c r="R364" s="4">
        <v>199.5</v>
      </c>
      <c r="S364" s="4">
        <v>186.2</v>
      </c>
      <c r="T364" s="4">
        <v>178.7</v>
      </c>
      <c r="U364" s="4">
        <v>185.1</v>
      </c>
      <c r="V364" s="4">
        <v>173.5</v>
      </c>
      <c r="W364" s="4">
        <v>182.1</v>
      </c>
      <c r="X364" s="4">
        <v>174.2</v>
      </c>
      <c r="Y364" s="4">
        <v>184.4</v>
      </c>
      <c r="Z364" s="4">
        <v>164.2</v>
      </c>
      <c r="AA364" s="4">
        <v>170.3</v>
      </c>
      <c r="AB364" s="4">
        <v>175</v>
      </c>
      <c r="AC364" s="4">
        <v>181</v>
      </c>
      <c r="AD364" s="4">
        <v>174.1</v>
      </c>
      <c r="AE364" s="4">
        <v>177.2</v>
      </c>
      <c r="AF364" s="4" t="str">
        <f t="shared" si="28"/>
        <v>Post Covid</v>
      </c>
      <c r="AG364" s="4"/>
    </row>
    <row r="365" spans="1:33">
      <c r="A365" s="6" t="s">
        <v>30</v>
      </c>
      <c r="B365" s="6">
        <v>2023</v>
      </c>
      <c r="C365" s="6" t="s">
        <v>35</v>
      </c>
      <c r="D365" s="6">
        <f t="shared" si="27"/>
        <v>3</v>
      </c>
      <c r="E365" s="6">
        <v>174.3</v>
      </c>
      <c r="F365" s="6">
        <v>205.2</v>
      </c>
      <c r="G365" s="6">
        <v>173.9</v>
      </c>
      <c r="H365" s="6">
        <v>177</v>
      </c>
      <c r="I365" s="6">
        <v>183.3</v>
      </c>
      <c r="J365" s="6">
        <v>167.2</v>
      </c>
      <c r="K365" s="6">
        <v>140.9</v>
      </c>
      <c r="L365" s="6">
        <v>170.5</v>
      </c>
      <c r="M365" s="6">
        <v>119.1</v>
      </c>
      <c r="N365" s="6">
        <v>212.1</v>
      </c>
      <c r="O365" s="6">
        <v>177.6</v>
      </c>
      <c r="P365" s="6">
        <v>189.9</v>
      </c>
      <c r="Q365" s="6">
        <v>174.8</v>
      </c>
      <c r="R365" s="6">
        <v>198.4</v>
      </c>
      <c r="S365" s="6">
        <v>190</v>
      </c>
      <c r="T365" s="6">
        <v>187</v>
      </c>
      <c r="U365" s="6">
        <v>189.6</v>
      </c>
      <c r="V365" s="6">
        <v>173.5</v>
      </c>
      <c r="W365" s="6">
        <v>181.4</v>
      </c>
      <c r="X365" s="6">
        <v>178.6</v>
      </c>
      <c r="Y365" s="6">
        <v>186.6</v>
      </c>
      <c r="Z365" s="6">
        <v>169</v>
      </c>
      <c r="AA365" s="6">
        <v>172.8</v>
      </c>
      <c r="AB365" s="6">
        <v>178.5</v>
      </c>
      <c r="AC365" s="6">
        <v>180.7</v>
      </c>
      <c r="AD365" s="6">
        <v>177.9</v>
      </c>
      <c r="AE365" s="6">
        <v>178</v>
      </c>
      <c r="AF365" s="6" t="str">
        <f t="shared" si="28"/>
        <v>Post Covid</v>
      </c>
      <c r="AG365" s="6"/>
    </row>
    <row r="366" spans="1:33">
      <c r="A366" s="4" t="s">
        <v>32</v>
      </c>
      <c r="B366" s="4">
        <v>2023</v>
      </c>
      <c r="C366" s="4" t="s">
        <v>35</v>
      </c>
      <c r="D366" s="4">
        <f t="shared" si="27"/>
        <v>3</v>
      </c>
      <c r="E366" s="4">
        <v>174.7</v>
      </c>
      <c r="F366" s="4">
        <v>212.2</v>
      </c>
      <c r="G366" s="4">
        <v>177.2</v>
      </c>
      <c r="H366" s="4">
        <v>177.9</v>
      </c>
      <c r="I366" s="4">
        <v>172.2</v>
      </c>
      <c r="J366" s="4">
        <v>172.1</v>
      </c>
      <c r="K366" s="4">
        <v>175.9</v>
      </c>
      <c r="L366" s="4">
        <v>172.2</v>
      </c>
      <c r="M366" s="4">
        <v>121.9</v>
      </c>
      <c r="N366" s="4">
        <v>204.8</v>
      </c>
      <c r="O366" s="4">
        <v>164.9</v>
      </c>
      <c r="P366" s="4">
        <v>196.6</v>
      </c>
      <c r="Q366" s="4">
        <v>180.8</v>
      </c>
      <c r="R366" s="4">
        <v>202.7</v>
      </c>
      <c r="S366" s="4">
        <v>180.2</v>
      </c>
      <c r="T366" s="4">
        <v>167</v>
      </c>
      <c r="U366" s="4">
        <v>178.2</v>
      </c>
      <c r="V366" s="4">
        <v>173.5</v>
      </c>
      <c r="W366" s="4">
        <v>182.6</v>
      </c>
      <c r="X366" s="4">
        <v>169.2</v>
      </c>
      <c r="Y366" s="4">
        <v>180.8</v>
      </c>
      <c r="Z366" s="4">
        <v>159.80000000000001</v>
      </c>
      <c r="AA366" s="4">
        <v>168.4</v>
      </c>
      <c r="AB366" s="4">
        <v>172.5</v>
      </c>
      <c r="AC366" s="4">
        <v>181.5</v>
      </c>
      <c r="AD366" s="4">
        <v>170</v>
      </c>
      <c r="AE366" s="4">
        <v>176.3</v>
      </c>
      <c r="AF366" s="4" t="str">
        <f t="shared" si="28"/>
        <v>Post Covid</v>
      </c>
      <c r="AG366" s="4"/>
    </row>
    <row r="367" spans="1:33">
      <c r="A367" s="6" t="s">
        <v>33</v>
      </c>
      <c r="B367" s="6">
        <v>2023</v>
      </c>
      <c r="C367" s="6" t="s">
        <v>35</v>
      </c>
      <c r="D367" s="6">
        <f t="shared" si="27"/>
        <v>3</v>
      </c>
      <c r="E367" s="6">
        <v>174.4</v>
      </c>
      <c r="F367" s="6">
        <v>207.7</v>
      </c>
      <c r="G367" s="6">
        <v>175.2</v>
      </c>
      <c r="H367" s="6">
        <v>177.3</v>
      </c>
      <c r="I367" s="6">
        <v>179.2</v>
      </c>
      <c r="J367" s="6">
        <v>169.5</v>
      </c>
      <c r="K367" s="6">
        <v>152.80000000000001</v>
      </c>
      <c r="L367" s="6">
        <v>171.1</v>
      </c>
      <c r="M367" s="6">
        <v>120</v>
      </c>
      <c r="N367" s="6">
        <v>209.7</v>
      </c>
      <c r="O367" s="6">
        <v>172.3</v>
      </c>
      <c r="P367" s="6">
        <v>193</v>
      </c>
      <c r="Q367" s="6">
        <v>177</v>
      </c>
      <c r="R367" s="6">
        <v>199.5</v>
      </c>
      <c r="S367" s="6">
        <v>186.1</v>
      </c>
      <c r="T367" s="6">
        <v>178.7</v>
      </c>
      <c r="U367" s="6">
        <v>185.1</v>
      </c>
      <c r="V367" s="6">
        <v>173.5</v>
      </c>
      <c r="W367" s="6">
        <v>181.9</v>
      </c>
      <c r="X367" s="6">
        <v>174.2</v>
      </c>
      <c r="Y367" s="6">
        <v>184.4</v>
      </c>
      <c r="Z367" s="6">
        <v>164.2</v>
      </c>
      <c r="AA367" s="6">
        <v>170.3</v>
      </c>
      <c r="AB367" s="6">
        <v>175</v>
      </c>
      <c r="AC367" s="6">
        <v>181</v>
      </c>
      <c r="AD367" s="6">
        <v>174.1</v>
      </c>
      <c r="AE367" s="6">
        <v>177.2</v>
      </c>
      <c r="AF367" s="6" t="str">
        <f t="shared" si="28"/>
        <v>Post Covid</v>
      </c>
      <c r="AG367" s="6"/>
    </row>
    <row r="368" spans="1:33">
      <c r="A368" s="4" t="s">
        <v>30</v>
      </c>
      <c r="B368" s="4">
        <v>2023</v>
      </c>
      <c r="C368" s="4" t="s">
        <v>36</v>
      </c>
      <c r="D368" s="4">
        <f t="shared" si="27"/>
        <v>4</v>
      </c>
      <c r="E368" s="4">
        <v>173.3</v>
      </c>
      <c r="F368" s="4">
        <v>206.9</v>
      </c>
      <c r="G368" s="4">
        <v>167.9</v>
      </c>
      <c r="H368" s="4">
        <v>178.2</v>
      </c>
      <c r="I368" s="4">
        <v>178.5</v>
      </c>
      <c r="J368" s="4">
        <v>173.7</v>
      </c>
      <c r="K368" s="4">
        <v>142.80000000000001</v>
      </c>
      <c r="L368" s="4">
        <v>172.8</v>
      </c>
      <c r="M368" s="4">
        <v>120.4</v>
      </c>
      <c r="N368" s="4">
        <v>215.5</v>
      </c>
      <c r="O368" s="4">
        <v>178.2</v>
      </c>
      <c r="P368" s="4">
        <v>190.5</v>
      </c>
      <c r="Q368" s="4">
        <v>175.5</v>
      </c>
      <c r="R368" s="4">
        <v>199.5</v>
      </c>
      <c r="S368" s="4">
        <v>190.7</v>
      </c>
      <c r="T368" s="4">
        <v>187.3</v>
      </c>
      <c r="U368" s="4">
        <v>190.2</v>
      </c>
      <c r="V368" s="4">
        <v>175.4</v>
      </c>
      <c r="W368" s="4">
        <v>181.5</v>
      </c>
      <c r="X368" s="4">
        <v>179.1</v>
      </c>
      <c r="Y368" s="4">
        <v>187.2</v>
      </c>
      <c r="Z368" s="4">
        <v>169.4</v>
      </c>
      <c r="AA368" s="4">
        <v>173.2</v>
      </c>
      <c r="AB368" s="4">
        <v>179.4</v>
      </c>
      <c r="AC368" s="4">
        <v>183.8</v>
      </c>
      <c r="AD368" s="4">
        <v>178.9</v>
      </c>
      <c r="AE368" s="4">
        <v>178.8</v>
      </c>
      <c r="AF368" s="4" t="str">
        <f t="shared" si="28"/>
        <v>Post Covid</v>
      </c>
      <c r="AG368" s="4"/>
    </row>
    <row r="369" spans="1:33">
      <c r="A369" s="6" t="s">
        <v>32</v>
      </c>
      <c r="B369" s="6">
        <v>2023</v>
      </c>
      <c r="C369" s="6" t="s">
        <v>36</v>
      </c>
      <c r="D369" s="6">
        <f t="shared" si="27"/>
        <v>4</v>
      </c>
      <c r="E369" s="6">
        <v>174.8</v>
      </c>
      <c r="F369" s="6">
        <v>213.7</v>
      </c>
      <c r="G369" s="6">
        <v>172.4</v>
      </c>
      <c r="H369" s="6">
        <v>178.8</v>
      </c>
      <c r="I369" s="6">
        <v>168.7</v>
      </c>
      <c r="J369" s="6">
        <v>179.2</v>
      </c>
      <c r="K369" s="6">
        <v>179.9</v>
      </c>
      <c r="L369" s="6">
        <v>174.7</v>
      </c>
      <c r="M369" s="6">
        <v>123.1</v>
      </c>
      <c r="N369" s="6">
        <v>207.8</v>
      </c>
      <c r="O369" s="6">
        <v>165.5</v>
      </c>
      <c r="P369" s="6">
        <v>197</v>
      </c>
      <c r="Q369" s="6">
        <v>182.1</v>
      </c>
      <c r="R369" s="6">
        <v>203.5</v>
      </c>
      <c r="S369" s="6">
        <v>181</v>
      </c>
      <c r="T369" s="6">
        <v>167.7</v>
      </c>
      <c r="U369" s="6">
        <v>178.9</v>
      </c>
      <c r="V369" s="6">
        <v>175.2</v>
      </c>
      <c r="W369" s="6">
        <v>182.1</v>
      </c>
      <c r="X369" s="6">
        <v>169.6</v>
      </c>
      <c r="Y369" s="6">
        <v>181.5</v>
      </c>
      <c r="Z369" s="6">
        <v>160.1</v>
      </c>
      <c r="AA369" s="6">
        <v>168.8</v>
      </c>
      <c r="AB369" s="6">
        <v>174.2</v>
      </c>
      <c r="AC369" s="6">
        <v>184.4</v>
      </c>
      <c r="AD369" s="6">
        <v>170.9</v>
      </c>
      <c r="AE369" s="6">
        <v>177.4</v>
      </c>
      <c r="AF369" s="6" t="str">
        <f t="shared" si="28"/>
        <v>Post Covid</v>
      </c>
      <c r="AG369" s="6"/>
    </row>
    <row r="370" spans="1:33">
      <c r="A370" s="4" t="s">
        <v>33</v>
      </c>
      <c r="B370" s="4">
        <v>2023</v>
      </c>
      <c r="C370" s="4" t="s">
        <v>36</v>
      </c>
      <c r="D370" s="4">
        <f t="shared" si="27"/>
        <v>4</v>
      </c>
      <c r="E370" s="4">
        <v>173.8</v>
      </c>
      <c r="F370" s="4">
        <v>209.3</v>
      </c>
      <c r="G370" s="4">
        <v>169.6</v>
      </c>
      <c r="H370" s="4">
        <v>178.4</v>
      </c>
      <c r="I370" s="4">
        <v>174.9</v>
      </c>
      <c r="J370" s="4">
        <v>176.3</v>
      </c>
      <c r="K370" s="4">
        <v>155.4</v>
      </c>
      <c r="L370" s="4">
        <v>173.4</v>
      </c>
      <c r="M370" s="4">
        <v>121.3</v>
      </c>
      <c r="N370" s="4">
        <v>212.9</v>
      </c>
      <c r="O370" s="4">
        <v>172.9</v>
      </c>
      <c r="P370" s="4">
        <v>193.5</v>
      </c>
      <c r="Q370" s="4">
        <v>177.9</v>
      </c>
      <c r="R370" s="4">
        <v>200.6</v>
      </c>
      <c r="S370" s="4">
        <v>186.9</v>
      </c>
      <c r="T370" s="4">
        <v>179.2</v>
      </c>
      <c r="U370" s="4">
        <v>185.7</v>
      </c>
      <c r="V370" s="4">
        <v>175.2</v>
      </c>
      <c r="W370" s="4">
        <v>181.7</v>
      </c>
      <c r="X370" s="4">
        <v>174.6</v>
      </c>
      <c r="Y370" s="4">
        <v>185</v>
      </c>
      <c r="Z370" s="4">
        <v>164.5</v>
      </c>
      <c r="AA370" s="4">
        <v>170.7</v>
      </c>
      <c r="AB370" s="4">
        <v>176.4</v>
      </c>
      <c r="AC370" s="4">
        <v>184</v>
      </c>
      <c r="AD370" s="4">
        <v>175</v>
      </c>
      <c r="AE370" s="4">
        <v>178.1</v>
      </c>
      <c r="AF370" s="4" t="str">
        <f t="shared" si="28"/>
        <v>Post Covid</v>
      </c>
      <c r="AG370" s="4"/>
    </row>
    <row r="371" spans="1:33">
      <c r="A371" s="6" t="s">
        <v>30</v>
      </c>
      <c r="B371" s="6">
        <v>2023</v>
      </c>
      <c r="C371" s="6" t="s">
        <v>37</v>
      </c>
      <c r="D371" s="6">
        <f t="shared" si="27"/>
        <v>5</v>
      </c>
      <c r="E371" s="6">
        <v>173.2</v>
      </c>
      <c r="F371" s="6">
        <v>211.5</v>
      </c>
      <c r="G371" s="6">
        <v>171</v>
      </c>
      <c r="H371" s="6">
        <v>179.6</v>
      </c>
      <c r="I371" s="6">
        <v>173.3</v>
      </c>
      <c r="J371" s="6">
        <v>169</v>
      </c>
      <c r="K371" s="6">
        <v>148.69999999999999</v>
      </c>
      <c r="L371" s="6">
        <v>174.9</v>
      </c>
      <c r="M371" s="6">
        <v>121.9</v>
      </c>
      <c r="N371" s="6">
        <v>221</v>
      </c>
      <c r="O371" s="6">
        <v>178.7</v>
      </c>
      <c r="P371" s="6">
        <v>191.1</v>
      </c>
      <c r="Q371" s="6">
        <v>176.8</v>
      </c>
      <c r="R371" s="6">
        <v>199.9</v>
      </c>
      <c r="S371" s="6">
        <v>191.2</v>
      </c>
      <c r="T371" s="6">
        <v>187.9</v>
      </c>
      <c r="U371" s="6">
        <v>190.8</v>
      </c>
      <c r="V371" s="6">
        <v>175.4</v>
      </c>
      <c r="W371" s="6">
        <v>182.5</v>
      </c>
      <c r="X371" s="6">
        <v>179.8</v>
      </c>
      <c r="Y371" s="6">
        <v>187.8</v>
      </c>
      <c r="Z371" s="6">
        <v>169.7</v>
      </c>
      <c r="AA371" s="6">
        <v>173.8</v>
      </c>
      <c r="AB371" s="6">
        <v>180.3</v>
      </c>
      <c r="AC371" s="6">
        <v>184.9</v>
      </c>
      <c r="AD371" s="6">
        <v>179.5</v>
      </c>
      <c r="AE371" s="6">
        <v>179.8</v>
      </c>
      <c r="AF371" s="6" t="str">
        <f t="shared" si="28"/>
        <v>Post Covid</v>
      </c>
      <c r="AG371" s="6"/>
    </row>
    <row r="372" spans="1:33">
      <c r="A372" s="4" t="s">
        <v>32</v>
      </c>
      <c r="B372" s="4">
        <v>2023</v>
      </c>
      <c r="C372" s="4" t="s">
        <v>37</v>
      </c>
      <c r="D372" s="4">
        <f t="shared" si="27"/>
        <v>5</v>
      </c>
      <c r="E372" s="4">
        <v>174.7</v>
      </c>
      <c r="F372" s="4">
        <v>219.4</v>
      </c>
      <c r="G372" s="4">
        <v>176.7</v>
      </c>
      <c r="H372" s="4">
        <v>179.4</v>
      </c>
      <c r="I372" s="4">
        <v>164.4</v>
      </c>
      <c r="J372" s="4">
        <v>175.8</v>
      </c>
      <c r="K372" s="4">
        <v>185</v>
      </c>
      <c r="L372" s="4">
        <v>176.9</v>
      </c>
      <c r="M372" s="4">
        <v>124.2</v>
      </c>
      <c r="N372" s="4">
        <v>211.9</v>
      </c>
      <c r="O372" s="4">
        <v>165.9</v>
      </c>
      <c r="P372" s="4">
        <v>197.7</v>
      </c>
      <c r="Q372" s="4">
        <v>183.1</v>
      </c>
      <c r="R372" s="4">
        <v>204.2</v>
      </c>
      <c r="S372" s="4">
        <v>181.3</v>
      </c>
      <c r="T372" s="4">
        <v>168.1</v>
      </c>
      <c r="U372" s="4">
        <v>179.3</v>
      </c>
      <c r="V372" s="4">
        <v>175.6</v>
      </c>
      <c r="W372" s="4">
        <v>183.4</v>
      </c>
      <c r="X372" s="4">
        <v>170.1</v>
      </c>
      <c r="Y372" s="4">
        <v>182.2</v>
      </c>
      <c r="Z372" s="4">
        <v>160.4</v>
      </c>
      <c r="AA372" s="4">
        <v>169.2</v>
      </c>
      <c r="AB372" s="4">
        <v>174.8</v>
      </c>
      <c r="AC372" s="4">
        <v>185.6</v>
      </c>
      <c r="AD372" s="4">
        <v>171.6</v>
      </c>
      <c r="AE372" s="4">
        <v>178.2</v>
      </c>
      <c r="AF372" s="4" t="str">
        <f t="shared" si="28"/>
        <v>Post Covid</v>
      </c>
      <c r="AG372" s="4"/>
    </row>
    <row r="373" spans="1:33">
      <c r="A373" s="28" t="s">
        <v>33</v>
      </c>
      <c r="B373" s="28">
        <v>2023</v>
      </c>
      <c r="C373" s="28" t="s">
        <v>37</v>
      </c>
      <c r="D373" s="28">
        <f t="shared" si="27"/>
        <v>5</v>
      </c>
      <c r="E373" s="28">
        <v>173.7</v>
      </c>
      <c r="F373" s="28">
        <v>214.3</v>
      </c>
      <c r="G373" s="28">
        <v>173.2</v>
      </c>
      <c r="H373" s="28">
        <v>179.5</v>
      </c>
      <c r="I373" s="28">
        <v>170</v>
      </c>
      <c r="J373" s="28">
        <v>172.2</v>
      </c>
      <c r="K373" s="28">
        <v>161</v>
      </c>
      <c r="L373" s="28">
        <v>175.6</v>
      </c>
      <c r="M373" s="28">
        <v>122.7</v>
      </c>
      <c r="N373" s="28">
        <v>218</v>
      </c>
      <c r="O373" s="28">
        <v>173.4</v>
      </c>
      <c r="P373" s="28">
        <v>194.2</v>
      </c>
      <c r="Q373" s="28">
        <v>179.1</v>
      </c>
      <c r="R373" s="28">
        <v>201</v>
      </c>
      <c r="S373" s="28">
        <v>187.3</v>
      </c>
      <c r="T373" s="28">
        <v>179.7</v>
      </c>
      <c r="U373" s="28">
        <v>186.2</v>
      </c>
      <c r="V373" s="28">
        <v>175.6</v>
      </c>
      <c r="W373" s="28">
        <v>182.8</v>
      </c>
      <c r="X373" s="28">
        <v>175.2</v>
      </c>
      <c r="Y373" s="28">
        <v>185.7</v>
      </c>
      <c r="Z373" s="28">
        <v>164.8</v>
      </c>
      <c r="AA373" s="28">
        <v>171.2</v>
      </c>
      <c r="AB373" s="28">
        <v>177.1</v>
      </c>
      <c r="AC373" s="28">
        <v>185.2</v>
      </c>
      <c r="AD373" s="28">
        <v>175.7</v>
      </c>
      <c r="AE373" s="28">
        <v>179.1</v>
      </c>
      <c r="AF373" s="28" t="str">
        <f t="shared" si="28"/>
        <v>Post Covid</v>
      </c>
      <c r="AG373" s="28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634A9-9D0A-4047-841A-B4A634E70A11}">
  <dimension ref="A1:BM48"/>
  <sheetViews>
    <sheetView topLeftCell="BH1" zoomScale="58" zoomScaleNormal="85" workbookViewId="0">
      <selection activeCell="AM58" sqref="AM58"/>
    </sheetView>
  </sheetViews>
  <sheetFormatPr defaultRowHeight="14.4"/>
  <cols>
    <col min="1" max="1" width="12.21875" bestFit="1" customWidth="1"/>
    <col min="2" max="2" width="6.44140625" bestFit="1" customWidth="1"/>
    <col min="3" max="3" width="10.21875" bestFit="1" customWidth="1"/>
    <col min="4" max="4" width="6.21875" bestFit="1" customWidth="1"/>
    <col min="5" max="5" width="24.88671875" bestFit="1" customWidth="1"/>
    <col min="6" max="6" width="16.44140625" bestFit="1" customWidth="1"/>
    <col min="7" max="7" width="7.44140625" bestFit="1" customWidth="1"/>
    <col min="8" max="8" width="21.6640625" bestFit="1" customWidth="1"/>
    <col min="9" max="9" width="15.44140625" bestFit="1" customWidth="1"/>
    <col min="10" max="10" width="7.88671875" bestFit="1" customWidth="1"/>
    <col min="11" max="11" width="13.5546875" bestFit="1" customWidth="1"/>
    <col min="12" max="12" width="24.21875" bestFit="1" customWidth="1"/>
    <col min="13" max="13" width="28.44140625" bestFit="1" customWidth="1"/>
    <col min="14" max="14" width="8.88671875" bestFit="1" customWidth="1"/>
    <col min="15" max="15" width="28.6640625" bestFit="1" customWidth="1"/>
    <col min="16" max="16" width="41.6640625" bestFit="1" customWidth="1"/>
    <col min="17" max="17" width="23.77734375" bestFit="1" customWidth="1"/>
    <col min="18" max="18" width="33.88671875" bestFit="1" customWidth="1"/>
    <col min="19" max="19" width="10.77734375" bestFit="1" customWidth="1"/>
    <col min="20" max="20" width="11.6640625" bestFit="1" customWidth="1"/>
    <col min="21" max="21" width="26.33203125" bestFit="1" customWidth="1"/>
    <col min="22" max="22" width="10.21875" bestFit="1" customWidth="1"/>
    <col min="23" max="23" width="16.44140625" bestFit="1" customWidth="1"/>
    <col min="24" max="24" width="35.33203125" bestFit="1" customWidth="1"/>
    <col min="25" max="25" width="8.33203125" bestFit="1" customWidth="1"/>
    <col min="26" max="26" width="33.88671875" bestFit="1" customWidth="1"/>
    <col min="27" max="27" width="30.109375" bestFit="1" customWidth="1"/>
    <col min="28" max="28" width="12.44140625" bestFit="1" customWidth="1"/>
    <col min="29" max="29" width="29.88671875" bestFit="1" customWidth="1"/>
    <col min="30" max="30" width="16.88671875" bestFit="1" customWidth="1"/>
    <col min="31" max="31" width="16.44140625" bestFit="1" customWidth="1"/>
    <col min="32" max="32" width="10" bestFit="1" customWidth="1"/>
    <col min="37" max="37" width="19.21875" bestFit="1" customWidth="1"/>
    <col min="38" max="38" width="29.44140625" bestFit="1" customWidth="1"/>
    <col min="39" max="39" width="31.33203125" bestFit="1" customWidth="1"/>
    <col min="40" max="40" width="9.77734375" bestFit="1" customWidth="1"/>
    <col min="41" max="41" width="7.44140625" bestFit="1" customWidth="1"/>
    <col min="42" max="42" width="8.6640625" bestFit="1" customWidth="1"/>
    <col min="43" max="43" width="7.44140625" bestFit="1" customWidth="1"/>
    <col min="44" max="44" width="8.6640625" bestFit="1" customWidth="1"/>
    <col min="45" max="46" width="7.44140625" bestFit="1" customWidth="1"/>
    <col min="47" max="47" width="8.6640625" bestFit="1" customWidth="1"/>
    <col min="48" max="51" width="7.44140625" bestFit="1" customWidth="1"/>
    <col min="52" max="52" width="8.6640625" bestFit="1" customWidth="1"/>
    <col min="58" max="58" width="20.44140625" bestFit="1" customWidth="1"/>
    <col min="59" max="59" width="29.88671875" bestFit="1" customWidth="1"/>
    <col min="60" max="60" width="37.88671875" bestFit="1" customWidth="1"/>
    <col min="61" max="61" width="46.88671875" bestFit="1" customWidth="1"/>
    <col min="62" max="62" width="19.44140625" customWidth="1"/>
    <col min="63" max="63" width="18.33203125" customWidth="1"/>
    <col min="64" max="64" width="25" customWidth="1"/>
    <col min="65" max="65" width="12" customWidth="1"/>
    <col min="66" max="66" width="11" customWidth="1"/>
    <col min="67" max="69" width="12" bestFit="1" customWidth="1"/>
    <col min="70" max="70" width="7" bestFit="1" customWidth="1"/>
    <col min="71" max="71" width="10.77734375" bestFit="1" customWidth="1"/>
    <col min="76" max="77" width="18.21875" bestFit="1" customWidth="1"/>
    <col min="78" max="78" width="18.5546875" bestFit="1" customWidth="1"/>
  </cols>
  <sheetData>
    <row r="1" spans="1:65">
      <c r="A1" s="115" t="s">
        <v>118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7"/>
    </row>
    <row r="2" spans="1:65">
      <c r="A2" s="118"/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20"/>
      <c r="AK2" s="33" t="s">
        <v>54</v>
      </c>
      <c r="AL2" s="30" t="s">
        <v>55</v>
      </c>
      <c r="AM2" s="34" t="s">
        <v>116</v>
      </c>
      <c r="AN2" s="34" t="s">
        <v>117</v>
      </c>
      <c r="AO2" s="34" t="s">
        <v>43</v>
      </c>
      <c r="AP2" s="34" t="s">
        <v>44</v>
      </c>
      <c r="AQ2" s="34" t="s">
        <v>31</v>
      </c>
      <c r="AR2" s="34" t="s">
        <v>34</v>
      </c>
      <c r="AS2" s="34" t="s">
        <v>35</v>
      </c>
      <c r="AT2" s="34" t="s">
        <v>36</v>
      </c>
      <c r="AU2" s="34" t="s">
        <v>37</v>
      </c>
      <c r="AV2" s="34" t="s">
        <v>38</v>
      </c>
      <c r="AW2" s="34" t="s">
        <v>39</v>
      </c>
      <c r="AX2" s="34" t="s">
        <v>40</v>
      </c>
      <c r="AY2" s="34" t="s">
        <v>41</v>
      </c>
      <c r="AZ2" s="34" t="s">
        <v>42</v>
      </c>
      <c r="BF2" t="s">
        <v>120</v>
      </c>
      <c r="BG2" t="s">
        <v>45</v>
      </c>
      <c r="BH2" t="s">
        <v>199</v>
      </c>
      <c r="BI2" t="s">
        <v>115</v>
      </c>
      <c r="BJ2" t="s">
        <v>200</v>
      </c>
      <c r="BK2" t="s">
        <v>114</v>
      </c>
      <c r="BL2" t="s">
        <v>201</v>
      </c>
    </row>
    <row r="3" spans="1:65">
      <c r="A3" s="92" t="s">
        <v>0</v>
      </c>
      <c r="B3" s="33" t="s">
        <v>1</v>
      </c>
      <c r="C3" s="33" t="s">
        <v>2</v>
      </c>
      <c r="D3" s="33" t="s">
        <v>112</v>
      </c>
      <c r="E3" s="33" t="s">
        <v>3</v>
      </c>
      <c r="F3" s="33" t="s">
        <v>4</v>
      </c>
      <c r="G3" s="33" t="s">
        <v>5</v>
      </c>
      <c r="H3" s="33" t="s">
        <v>6</v>
      </c>
      <c r="I3" s="33" t="s">
        <v>7</v>
      </c>
      <c r="J3" s="33" t="s">
        <v>8</v>
      </c>
      <c r="K3" s="33" t="s">
        <v>9</v>
      </c>
      <c r="L3" s="33" t="s">
        <v>10</v>
      </c>
      <c r="M3" s="33" t="s">
        <v>11</v>
      </c>
      <c r="N3" s="33" t="s">
        <v>12</v>
      </c>
      <c r="O3" s="33" t="s">
        <v>13</v>
      </c>
      <c r="P3" s="33" t="s">
        <v>14</v>
      </c>
      <c r="Q3" s="33" t="s">
        <v>15</v>
      </c>
      <c r="R3" s="33" t="s">
        <v>16</v>
      </c>
      <c r="S3" s="33" t="s">
        <v>17</v>
      </c>
      <c r="T3" s="33" t="s">
        <v>18</v>
      </c>
      <c r="U3" s="33" t="s">
        <v>19</v>
      </c>
      <c r="V3" s="33" t="s">
        <v>20</v>
      </c>
      <c r="W3" s="33" t="s">
        <v>21</v>
      </c>
      <c r="X3" s="33" t="s">
        <v>22</v>
      </c>
      <c r="Y3" s="33" t="s">
        <v>23</v>
      </c>
      <c r="Z3" s="33" t="s">
        <v>24</v>
      </c>
      <c r="AA3" s="33" t="s">
        <v>25</v>
      </c>
      <c r="AB3" s="33" t="s">
        <v>26</v>
      </c>
      <c r="AC3" s="33" t="s">
        <v>27</v>
      </c>
      <c r="AD3" s="33" t="s">
        <v>28</v>
      </c>
      <c r="AE3" s="33" t="s">
        <v>29</v>
      </c>
      <c r="AF3" s="33" t="s">
        <v>111</v>
      </c>
      <c r="AK3" s="9" t="s">
        <v>45</v>
      </c>
      <c r="AL3" s="9" t="s">
        <v>3</v>
      </c>
      <c r="AM3">
        <v>2164.4</v>
      </c>
      <c r="AN3">
        <v>3132.8</v>
      </c>
      <c r="AO3">
        <v>428.4</v>
      </c>
      <c r="AP3">
        <v>431.2</v>
      </c>
      <c r="AQ3">
        <v>433.6</v>
      </c>
      <c r="AR3">
        <v>435.2</v>
      </c>
      <c r="AS3">
        <v>436</v>
      </c>
      <c r="AT3">
        <v>447.7</v>
      </c>
      <c r="AU3">
        <v>445.09999999999997</v>
      </c>
      <c r="AV3">
        <v>450.5</v>
      </c>
      <c r="AW3">
        <v>450.5</v>
      </c>
      <c r="AX3">
        <v>448.1</v>
      </c>
      <c r="AY3">
        <v>446.79999999999995</v>
      </c>
      <c r="AZ3">
        <v>444.1</v>
      </c>
      <c r="BF3" t="s">
        <v>121</v>
      </c>
      <c r="BG3">
        <v>5335</v>
      </c>
      <c r="BI3">
        <v>867.7</v>
      </c>
      <c r="BK3">
        <v>2013.7000000000003</v>
      </c>
    </row>
    <row r="4" spans="1:65">
      <c r="A4" s="32" t="s">
        <v>30</v>
      </c>
      <c r="B4" s="24">
        <v>2019</v>
      </c>
      <c r="C4" s="24" t="s">
        <v>43</v>
      </c>
      <c r="D4" s="24">
        <v>11</v>
      </c>
      <c r="E4" s="24">
        <v>141.80000000000001</v>
      </c>
      <c r="F4" s="24">
        <v>163.69999999999999</v>
      </c>
      <c r="G4" s="24">
        <v>143.80000000000001</v>
      </c>
      <c r="H4" s="24">
        <v>147.1</v>
      </c>
      <c r="I4" s="24">
        <v>126</v>
      </c>
      <c r="J4" s="24">
        <v>146.19999999999999</v>
      </c>
      <c r="K4" s="24">
        <v>191.4</v>
      </c>
      <c r="L4" s="24">
        <v>136.19999999999999</v>
      </c>
      <c r="M4" s="24">
        <v>113.8</v>
      </c>
      <c r="N4" s="24">
        <v>147.30000000000001</v>
      </c>
      <c r="O4" s="24">
        <v>138.69999999999999</v>
      </c>
      <c r="P4" s="24">
        <v>157.69999999999999</v>
      </c>
      <c r="Q4" s="24">
        <v>150.9</v>
      </c>
      <c r="R4" s="24">
        <v>167.2</v>
      </c>
      <c r="S4" s="24">
        <v>152.30000000000001</v>
      </c>
      <c r="T4" s="24">
        <v>147</v>
      </c>
      <c r="U4" s="24">
        <v>151.5</v>
      </c>
      <c r="V4" s="24">
        <v>0</v>
      </c>
      <c r="W4" s="24">
        <v>148.4</v>
      </c>
      <c r="X4" s="24">
        <v>150.9</v>
      </c>
      <c r="Y4" s="24">
        <v>154.30000000000001</v>
      </c>
      <c r="Z4" s="24">
        <v>132.1</v>
      </c>
      <c r="AA4" s="24">
        <v>149.1</v>
      </c>
      <c r="AB4" s="24">
        <v>160.80000000000001</v>
      </c>
      <c r="AC4" s="24">
        <v>140.6</v>
      </c>
      <c r="AD4" s="24">
        <v>146.1</v>
      </c>
      <c r="AE4" s="24">
        <v>149.9</v>
      </c>
      <c r="AF4" s="24" t="str">
        <f t="shared" ref="AF4:AF18" si="0">IF(AND(B4=2020,D4&lt;4),"Pre Covid",IF(B4&lt;2020,"Pre Covid","Post Covid"))</f>
        <v>Pre Covid</v>
      </c>
      <c r="AK4" s="10" t="s">
        <v>45</v>
      </c>
      <c r="AL4" s="10" t="s">
        <v>4</v>
      </c>
      <c r="AM4">
        <v>2490.3000000000002</v>
      </c>
      <c r="AN4">
        <v>3952.45</v>
      </c>
      <c r="AO4">
        <v>489.3</v>
      </c>
      <c r="AP4">
        <v>494.8</v>
      </c>
      <c r="AQ4">
        <v>502.3</v>
      </c>
      <c r="AR4">
        <v>502.6</v>
      </c>
      <c r="AS4">
        <v>501.3</v>
      </c>
      <c r="AT4">
        <v>524.29999999999995</v>
      </c>
      <c r="AU4">
        <v>559.25</v>
      </c>
      <c r="AV4">
        <v>580</v>
      </c>
      <c r="AW4">
        <v>580</v>
      </c>
      <c r="AX4">
        <v>575.9</v>
      </c>
      <c r="AY4">
        <v>564.1</v>
      </c>
      <c r="AZ4">
        <v>568.9</v>
      </c>
      <c r="BF4" t="s">
        <v>122</v>
      </c>
      <c r="BG4">
        <v>5437.9000000000005</v>
      </c>
      <c r="BH4" s="19">
        <v>1.9287722586691761E-2</v>
      </c>
      <c r="BI4">
        <v>869.59999999999991</v>
      </c>
      <c r="BJ4" s="19">
        <v>2.1896968998500214E-3</v>
      </c>
      <c r="BK4">
        <v>2181.65</v>
      </c>
      <c r="BL4" s="19">
        <v>8.3403684759398022E-2</v>
      </c>
      <c r="BM4" s="46"/>
    </row>
    <row r="5" spans="1:65">
      <c r="A5" s="31" t="s">
        <v>32</v>
      </c>
      <c r="B5" s="25">
        <v>2019</v>
      </c>
      <c r="C5" s="25" t="s">
        <v>43</v>
      </c>
      <c r="D5" s="25">
        <v>11</v>
      </c>
      <c r="E5" s="25">
        <v>144.1</v>
      </c>
      <c r="F5" s="25">
        <v>162.4</v>
      </c>
      <c r="G5" s="25">
        <v>148.4</v>
      </c>
      <c r="H5" s="25">
        <v>145.9</v>
      </c>
      <c r="I5" s="25">
        <v>121.5</v>
      </c>
      <c r="J5" s="25">
        <v>148.80000000000001</v>
      </c>
      <c r="K5" s="25">
        <v>215.7</v>
      </c>
      <c r="L5" s="25">
        <v>134.6</v>
      </c>
      <c r="M5" s="25">
        <v>115</v>
      </c>
      <c r="N5" s="25">
        <v>146.30000000000001</v>
      </c>
      <c r="O5" s="25">
        <v>130.5</v>
      </c>
      <c r="P5" s="25">
        <v>157.19999999999999</v>
      </c>
      <c r="Q5" s="25">
        <v>153.6</v>
      </c>
      <c r="R5" s="25">
        <v>169.9</v>
      </c>
      <c r="S5" s="25">
        <v>146.30000000000001</v>
      </c>
      <c r="T5" s="25">
        <v>132.6</v>
      </c>
      <c r="U5" s="25">
        <v>144.19999999999999</v>
      </c>
      <c r="V5" s="25">
        <v>153.5</v>
      </c>
      <c r="W5" s="25">
        <v>132.19999999999999</v>
      </c>
      <c r="X5" s="25">
        <v>139.1</v>
      </c>
      <c r="Y5" s="25">
        <v>142.80000000000001</v>
      </c>
      <c r="Z5" s="25">
        <v>121.7</v>
      </c>
      <c r="AA5" s="25">
        <v>136.69999999999999</v>
      </c>
      <c r="AB5" s="25">
        <v>151.80000000000001</v>
      </c>
      <c r="AC5" s="25">
        <v>139.80000000000001</v>
      </c>
      <c r="AD5" s="25">
        <v>136.30000000000001</v>
      </c>
      <c r="AE5" s="25">
        <v>147</v>
      </c>
      <c r="AF5" s="25" t="str">
        <f t="shared" si="0"/>
        <v>Pre Covid</v>
      </c>
      <c r="AK5" s="9" t="s">
        <v>45</v>
      </c>
      <c r="AL5" s="9" t="s">
        <v>5</v>
      </c>
      <c r="AM5">
        <v>2257.8999999999996</v>
      </c>
      <c r="AN5">
        <v>3204.400000000001</v>
      </c>
      <c r="AO5">
        <v>437.8</v>
      </c>
      <c r="AP5">
        <v>454.3</v>
      </c>
      <c r="AQ5">
        <v>465.4</v>
      </c>
      <c r="AR5">
        <v>455.8</v>
      </c>
      <c r="AS5">
        <v>444.6</v>
      </c>
      <c r="AT5">
        <v>447.6</v>
      </c>
      <c r="AU5">
        <v>447.6</v>
      </c>
      <c r="AV5">
        <v>455.4</v>
      </c>
      <c r="AW5">
        <v>455.4</v>
      </c>
      <c r="AX5">
        <v>453.7</v>
      </c>
      <c r="AY5">
        <v>459.3</v>
      </c>
      <c r="AZ5">
        <v>485.4</v>
      </c>
      <c r="BF5" t="s">
        <v>123</v>
      </c>
      <c r="BG5">
        <v>5417.4999999999991</v>
      </c>
      <c r="BH5" s="19">
        <v>-3.7514481693303394E-3</v>
      </c>
      <c r="BI5">
        <v>877.59999999999991</v>
      </c>
      <c r="BJ5" s="19">
        <v>9.1996320147194124E-3</v>
      </c>
      <c r="BK5">
        <v>2039.1000000000001</v>
      </c>
      <c r="BL5" s="19">
        <v>-6.5340453326610565E-2</v>
      </c>
      <c r="BM5" s="46"/>
    </row>
    <row r="6" spans="1:65">
      <c r="A6" s="32" t="s">
        <v>33</v>
      </c>
      <c r="B6" s="24">
        <v>2019</v>
      </c>
      <c r="C6" s="24" t="s">
        <v>43</v>
      </c>
      <c r="D6" s="24">
        <v>11</v>
      </c>
      <c r="E6" s="24">
        <v>142.5</v>
      </c>
      <c r="F6" s="24">
        <v>163.19999999999999</v>
      </c>
      <c r="G6" s="24">
        <v>145.6</v>
      </c>
      <c r="H6" s="24">
        <v>146.69999999999999</v>
      </c>
      <c r="I6" s="24">
        <v>124.3</v>
      </c>
      <c r="J6" s="24">
        <v>147.4</v>
      </c>
      <c r="K6" s="24">
        <v>199.6</v>
      </c>
      <c r="L6" s="24">
        <v>135.69999999999999</v>
      </c>
      <c r="M6" s="24">
        <v>114.2</v>
      </c>
      <c r="N6" s="24">
        <v>147</v>
      </c>
      <c r="O6" s="24">
        <v>135.30000000000001</v>
      </c>
      <c r="P6" s="24">
        <v>157.5</v>
      </c>
      <c r="Q6" s="24">
        <v>151.9</v>
      </c>
      <c r="R6" s="24">
        <v>167.9</v>
      </c>
      <c r="S6" s="24">
        <v>149.9</v>
      </c>
      <c r="T6" s="24">
        <v>141</v>
      </c>
      <c r="U6" s="24">
        <v>148.6</v>
      </c>
      <c r="V6" s="24">
        <v>153.5</v>
      </c>
      <c r="W6" s="24">
        <v>142.30000000000001</v>
      </c>
      <c r="X6" s="24">
        <v>145.30000000000001</v>
      </c>
      <c r="Y6" s="24">
        <v>149.9</v>
      </c>
      <c r="Z6" s="24">
        <v>126.6</v>
      </c>
      <c r="AA6" s="24">
        <v>142.1</v>
      </c>
      <c r="AB6" s="24">
        <v>155.5</v>
      </c>
      <c r="AC6" s="24">
        <v>140.30000000000001</v>
      </c>
      <c r="AD6" s="24">
        <v>141.30000000000001</v>
      </c>
      <c r="AE6" s="24">
        <v>148.6</v>
      </c>
      <c r="AF6" s="24" t="str">
        <f t="shared" si="0"/>
        <v>Pre Covid</v>
      </c>
      <c r="AK6" s="10" t="s">
        <v>45</v>
      </c>
      <c r="AL6" s="10" t="s">
        <v>6</v>
      </c>
      <c r="AM6">
        <v>2240.8000000000002</v>
      </c>
      <c r="AN6">
        <v>3230.7</v>
      </c>
      <c r="AO6">
        <v>439.7</v>
      </c>
      <c r="AP6">
        <v>444.5</v>
      </c>
      <c r="AQ6">
        <v>449.9</v>
      </c>
      <c r="AR6">
        <v>452.4</v>
      </c>
      <c r="AS6">
        <v>454.3</v>
      </c>
      <c r="AT6">
        <v>466.70000000000005</v>
      </c>
      <c r="AU6">
        <v>462.2</v>
      </c>
      <c r="AV6">
        <v>460.00000000000006</v>
      </c>
      <c r="AW6">
        <v>460.00000000000006</v>
      </c>
      <c r="AX6">
        <v>460.00000000000006</v>
      </c>
      <c r="AY6">
        <v>460.9</v>
      </c>
      <c r="AZ6">
        <v>460.9</v>
      </c>
      <c r="BF6" t="s">
        <v>124</v>
      </c>
      <c r="BG6">
        <v>5329.9000000000005</v>
      </c>
      <c r="BH6" s="19">
        <v>-1.6169820027687781E-2</v>
      </c>
      <c r="BI6">
        <v>882.6</v>
      </c>
      <c r="BJ6" s="19">
        <v>5.6973564266181789E-3</v>
      </c>
      <c r="BK6">
        <v>2203.0500000000002</v>
      </c>
      <c r="BL6" s="19">
        <v>8.0403119023098449E-2</v>
      </c>
      <c r="BM6" s="46"/>
    </row>
    <row r="7" spans="1:65">
      <c r="A7" s="31" t="s">
        <v>30</v>
      </c>
      <c r="B7" s="25">
        <v>2019</v>
      </c>
      <c r="C7" s="25" t="s">
        <v>44</v>
      </c>
      <c r="D7" s="25">
        <v>12</v>
      </c>
      <c r="E7" s="25">
        <v>142.80000000000001</v>
      </c>
      <c r="F7" s="25">
        <v>165.3</v>
      </c>
      <c r="G7" s="25">
        <v>149.5</v>
      </c>
      <c r="H7" s="25">
        <v>148.69999999999999</v>
      </c>
      <c r="I7" s="25">
        <v>127.5</v>
      </c>
      <c r="J7" s="25">
        <v>144.30000000000001</v>
      </c>
      <c r="K7" s="25">
        <v>209.5</v>
      </c>
      <c r="L7" s="25">
        <v>138.80000000000001</v>
      </c>
      <c r="M7" s="25">
        <v>113.6</v>
      </c>
      <c r="N7" s="25">
        <v>149.1</v>
      </c>
      <c r="O7" s="25">
        <v>139.30000000000001</v>
      </c>
      <c r="P7" s="25">
        <v>158.30000000000001</v>
      </c>
      <c r="Q7" s="25">
        <v>154.30000000000001</v>
      </c>
      <c r="R7" s="25">
        <v>167.8</v>
      </c>
      <c r="S7" s="25">
        <v>152.6</v>
      </c>
      <c r="T7" s="25">
        <v>147.30000000000001</v>
      </c>
      <c r="U7" s="25">
        <v>151.9</v>
      </c>
      <c r="V7" s="25">
        <v>153.35</v>
      </c>
      <c r="W7" s="25">
        <v>149.9</v>
      </c>
      <c r="X7" s="25">
        <v>151.19999999999999</v>
      </c>
      <c r="Y7" s="25">
        <v>154.80000000000001</v>
      </c>
      <c r="Z7" s="25">
        <v>135</v>
      </c>
      <c r="AA7" s="25">
        <v>149.5</v>
      </c>
      <c r="AB7" s="25">
        <v>161.1</v>
      </c>
      <c r="AC7" s="25">
        <v>140.6</v>
      </c>
      <c r="AD7" s="25">
        <v>147.1</v>
      </c>
      <c r="AE7" s="25">
        <v>152.30000000000001</v>
      </c>
      <c r="AF7" s="25" t="str">
        <f t="shared" si="0"/>
        <v>Pre Covid</v>
      </c>
      <c r="AK7" s="9" t="s">
        <v>45</v>
      </c>
      <c r="AL7" s="9" t="s">
        <v>7</v>
      </c>
      <c r="AM7">
        <v>1920.4000000000003</v>
      </c>
      <c r="AN7">
        <v>2872.1</v>
      </c>
      <c r="AO7">
        <v>371.8</v>
      </c>
      <c r="AP7">
        <v>375.9</v>
      </c>
      <c r="AQ7">
        <v>388.2</v>
      </c>
      <c r="AR7">
        <v>392.5</v>
      </c>
      <c r="AS7">
        <v>392</v>
      </c>
      <c r="AT7">
        <v>403.79999999999995</v>
      </c>
      <c r="AU7">
        <v>411.49999999999994</v>
      </c>
      <c r="AV7">
        <v>407.40000000000003</v>
      </c>
      <c r="AW7">
        <v>407.40000000000003</v>
      </c>
      <c r="AX7">
        <v>410.6</v>
      </c>
      <c r="AY7">
        <v>413</v>
      </c>
      <c r="AZ7">
        <v>418.4</v>
      </c>
      <c r="BF7" t="s">
        <v>125</v>
      </c>
      <c r="BG7">
        <v>5279.7999999999993</v>
      </c>
      <c r="BH7" s="19">
        <v>-9.3998011219725078E-3</v>
      </c>
      <c r="BI7">
        <v>889.6</v>
      </c>
      <c r="BJ7" s="19">
        <v>7.931112621799229E-3</v>
      </c>
      <c r="BK7">
        <v>2051.5</v>
      </c>
      <c r="BL7" s="19">
        <v>-6.8790994303352254E-2</v>
      </c>
      <c r="BM7" s="46"/>
    </row>
    <row r="8" spans="1:65">
      <c r="A8" s="32" t="s">
        <v>32</v>
      </c>
      <c r="B8" s="24">
        <v>2019</v>
      </c>
      <c r="C8" s="24" t="s">
        <v>44</v>
      </c>
      <c r="D8" s="24">
        <v>12</v>
      </c>
      <c r="E8" s="24">
        <v>144.9</v>
      </c>
      <c r="F8" s="24">
        <v>164.5</v>
      </c>
      <c r="G8" s="24">
        <v>153.69999999999999</v>
      </c>
      <c r="H8" s="24">
        <v>147.5</v>
      </c>
      <c r="I8" s="24">
        <v>122.7</v>
      </c>
      <c r="J8" s="24">
        <v>147.19999999999999</v>
      </c>
      <c r="K8" s="24">
        <v>231.5</v>
      </c>
      <c r="L8" s="24">
        <v>137.19999999999999</v>
      </c>
      <c r="M8" s="24">
        <v>114.7</v>
      </c>
      <c r="N8" s="24">
        <v>148</v>
      </c>
      <c r="O8" s="24">
        <v>130.80000000000001</v>
      </c>
      <c r="P8" s="24">
        <v>157.69999999999999</v>
      </c>
      <c r="Q8" s="24">
        <v>156.30000000000001</v>
      </c>
      <c r="R8" s="24">
        <v>170.4</v>
      </c>
      <c r="S8" s="24">
        <v>146.80000000000001</v>
      </c>
      <c r="T8" s="24">
        <v>132.80000000000001</v>
      </c>
      <c r="U8" s="24">
        <v>144.6</v>
      </c>
      <c r="V8" s="24">
        <v>152.80000000000001</v>
      </c>
      <c r="W8" s="24">
        <v>133.6</v>
      </c>
      <c r="X8" s="24">
        <v>139.80000000000001</v>
      </c>
      <c r="Y8" s="24">
        <v>143.19999999999999</v>
      </c>
      <c r="Z8" s="24">
        <v>125.2</v>
      </c>
      <c r="AA8" s="24">
        <v>136.80000000000001</v>
      </c>
      <c r="AB8" s="24">
        <v>151.9</v>
      </c>
      <c r="AC8" s="24">
        <v>140.19999999999999</v>
      </c>
      <c r="AD8" s="24">
        <v>137.69999999999999</v>
      </c>
      <c r="AE8" s="24">
        <v>148.30000000000001</v>
      </c>
      <c r="AF8" s="24" t="str">
        <f t="shared" si="0"/>
        <v>Pre Covid</v>
      </c>
      <c r="AK8" s="10" t="s">
        <v>45</v>
      </c>
      <c r="AL8" s="10" t="s">
        <v>8</v>
      </c>
      <c r="AM8">
        <v>2162.6000000000004</v>
      </c>
      <c r="AN8">
        <v>3130</v>
      </c>
      <c r="AO8">
        <v>442.4</v>
      </c>
      <c r="AP8">
        <v>437.2</v>
      </c>
      <c r="AQ8">
        <v>429.8</v>
      </c>
      <c r="AR8">
        <v>425.6</v>
      </c>
      <c r="AS8">
        <v>427.6</v>
      </c>
      <c r="AT8">
        <v>450.1</v>
      </c>
      <c r="AU8">
        <v>436.3</v>
      </c>
      <c r="AV8">
        <v>442.2</v>
      </c>
      <c r="AW8">
        <v>442.2</v>
      </c>
      <c r="AX8">
        <v>451.79999999999995</v>
      </c>
      <c r="AY8">
        <v>453.29999999999995</v>
      </c>
      <c r="AZ8">
        <v>454.09999999999997</v>
      </c>
      <c r="BF8" t="s">
        <v>126</v>
      </c>
      <c r="BG8">
        <v>5470</v>
      </c>
      <c r="BH8" s="19">
        <v>3.6024091821660054E-2</v>
      </c>
      <c r="BI8">
        <v>891.4</v>
      </c>
      <c r="BJ8" s="19">
        <v>2.0233812949639776E-3</v>
      </c>
      <c r="BK8">
        <v>2215.5</v>
      </c>
      <c r="BL8" s="19">
        <v>7.9941506214964667E-2</v>
      </c>
      <c r="BM8" s="46"/>
    </row>
    <row r="9" spans="1:65">
      <c r="A9" s="31" t="s">
        <v>33</v>
      </c>
      <c r="B9" s="25">
        <v>2019</v>
      </c>
      <c r="C9" s="25" t="s">
        <v>44</v>
      </c>
      <c r="D9" s="25">
        <v>12</v>
      </c>
      <c r="E9" s="25">
        <v>143.5</v>
      </c>
      <c r="F9" s="25">
        <v>165</v>
      </c>
      <c r="G9" s="25">
        <v>151.1</v>
      </c>
      <c r="H9" s="25">
        <v>148.30000000000001</v>
      </c>
      <c r="I9" s="25">
        <v>125.7</v>
      </c>
      <c r="J9" s="25">
        <v>145.69999999999999</v>
      </c>
      <c r="K9" s="25">
        <v>217</v>
      </c>
      <c r="L9" s="25">
        <v>138.30000000000001</v>
      </c>
      <c r="M9" s="25">
        <v>114</v>
      </c>
      <c r="N9" s="25">
        <v>148.69999999999999</v>
      </c>
      <c r="O9" s="25">
        <v>135.80000000000001</v>
      </c>
      <c r="P9" s="25">
        <v>158</v>
      </c>
      <c r="Q9" s="25">
        <v>155</v>
      </c>
      <c r="R9" s="25">
        <v>168.5</v>
      </c>
      <c r="S9" s="25">
        <v>150.30000000000001</v>
      </c>
      <c r="T9" s="25">
        <v>141.30000000000001</v>
      </c>
      <c r="U9" s="25">
        <v>149</v>
      </c>
      <c r="V9" s="25">
        <v>152.80000000000001</v>
      </c>
      <c r="W9" s="25">
        <v>143.69999999999999</v>
      </c>
      <c r="X9" s="25">
        <v>145.80000000000001</v>
      </c>
      <c r="Y9" s="25">
        <v>150.4</v>
      </c>
      <c r="Z9" s="25">
        <v>129.80000000000001</v>
      </c>
      <c r="AA9" s="25">
        <v>142.30000000000001</v>
      </c>
      <c r="AB9" s="25">
        <v>155.69999999999999</v>
      </c>
      <c r="AC9" s="25">
        <v>140.4</v>
      </c>
      <c r="AD9" s="25">
        <v>142.5</v>
      </c>
      <c r="AE9" s="25">
        <v>150.4</v>
      </c>
      <c r="AF9" s="25" t="str">
        <f t="shared" si="0"/>
        <v>Pre Covid</v>
      </c>
      <c r="AK9" s="9" t="s">
        <v>45</v>
      </c>
      <c r="AL9" s="9" t="s">
        <v>9</v>
      </c>
      <c r="AM9">
        <v>2855.1</v>
      </c>
      <c r="AN9">
        <v>3675.2</v>
      </c>
      <c r="AO9">
        <v>606.70000000000005</v>
      </c>
      <c r="AP9">
        <v>658</v>
      </c>
      <c r="AQ9">
        <v>596.29999999999995</v>
      </c>
      <c r="AR9">
        <v>517.5</v>
      </c>
      <c r="AS9">
        <v>476.6</v>
      </c>
      <c r="AT9">
        <v>511.29999999999995</v>
      </c>
      <c r="AU9">
        <v>466.4</v>
      </c>
      <c r="AV9">
        <v>476.6</v>
      </c>
      <c r="AW9">
        <v>476.6</v>
      </c>
      <c r="AX9">
        <v>541</v>
      </c>
      <c r="AY9">
        <v>567.5</v>
      </c>
      <c r="AZ9">
        <v>635.79999999999995</v>
      </c>
      <c r="BF9" t="s">
        <v>127</v>
      </c>
      <c r="BG9">
        <v>5443.05</v>
      </c>
      <c r="BH9" s="19">
        <v>-4.926873857403989E-3</v>
      </c>
      <c r="BI9">
        <v>917.69999999999993</v>
      </c>
      <c r="BJ9" s="19">
        <v>2.950415077406322E-2</v>
      </c>
      <c r="BK9">
        <v>2252.35</v>
      </c>
      <c r="BL9" s="19">
        <v>1.6632814263145976E-2</v>
      </c>
      <c r="BM9" s="46"/>
    </row>
    <row r="10" spans="1:65">
      <c r="A10" s="32" t="s">
        <v>30</v>
      </c>
      <c r="B10" s="24">
        <v>2020</v>
      </c>
      <c r="C10" s="24" t="s">
        <v>31</v>
      </c>
      <c r="D10" s="24">
        <v>1</v>
      </c>
      <c r="E10" s="24">
        <v>143.69999999999999</v>
      </c>
      <c r="F10" s="24">
        <v>167.3</v>
      </c>
      <c r="G10" s="24">
        <v>153.5</v>
      </c>
      <c r="H10" s="24">
        <v>150.5</v>
      </c>
      <c r="I10" s="24">
        <v>132</v>
      </c>
      <c r="J10" s="24">
        <v>142.19999999999999</v>
      </c>
      <c r="K10" s="24">
        <v>191.5</v>
      </c>
      <c r="L10" s="24">
        <v>141.1</v>
      </c>
      <c r="M10" s="24">
        <v>113.8</v>
      </c>
      <c r="N10" s="24">
        <v>151.6</v>
      </c>
      <c r="O10" s="24">
        <v>139.69999999999999</v>
      </c>
      <c r="P10" s="24">
        <v>158.69999999999999</v>
      </c>
      <c r="Q10" s="24">
        <v>153</v>
      </c>
      <c r="R10" s="24">
        <v>168.6</v>
      </c>
      <c r="S10" s="24">
        <v>152.80000000000001</v>
      </c>
      <c r="T10" s="24">
        <v>147.4</v>
      </c>
      <c r="U10" s="24">
        <v>152.1</v>
      </c>
      <c r="V10" s="24">
        <v>0</v>
      </c>
      <c r="W10" s="24">
        <v>150.4</v>
      </c>
      <c r="X10" s="24">
        <v>151.69999999999999</v>
      </c>
      <c r="Y10" s="24">
        <v>155.69999999999999</v>
      </c>
      <c r="Z10" s="24">
        <v>136.30000000000001</v>
      </c>
      <c r="AA10" s="24">
        <v>150.1</v>
      </c>
      <c r="AB10" s="24">
        <v>161.69999999999999</v>
      </c>
      <c r="AC10" s="24">
        <v>142.5</v>
      </c>
      <c r="AD10" s="24">
        <v>148.1</v>
      </c>
      <c r="AE10" s="24">
        <v>151.9</v>
      </c>
      <c r="AF10" s="24" t="str">
        <f t="shared" si="0"/>
        <v>Pre Covid</v>
      </c>
      <c r="AK10" s="10" t="s">
        <v>45</v>
      </c>
      <c r="AL10" s="10" t="s">
        <v>10</v>
      </c>
      <c r="AM10">
        <v>2086.5</v>
      </c>
      <c r="AN10">
        <v>3163.7000000000012</v>
      </c>
      <c r="AO10">
        <v>406.5</v>
      </c>
      <c r="AP10">
        <v>414.3</v>
      </c>
      <c r="AQ10">
        <v>420.6</v>
      </c>
      <c r="AR10">
        <v>422.5</v>
      </c>
      <c r="AS10">
        <v>422.6</v>
      </c>
      <c r="AT10">
        <v>451.4</v>
      </c>
      <c r="AU10">
        <v>451.00000000000006</v>
      </c>
      <c r="AV10">
        <v>453.20000000000005</v>
      </c>
      <c r="AW10">
        <v>453.20000000000005</v>
      </c>
      <c r="AX10">
        <v>451.6</v>
      </c>
      <c r="AY10">
        <v>449.90000000000003</v>
      </c>
      <c r="AZ10">
        <v>453.4</v>
      </c>
      <c r="BF10" t="s">
        <v>128</v>
      </c>
      <c r="BG10">
        <v>5495.7000000000007</v>
      </c>
      <c r="BH10" s="19">
        <v>9.67288560641562E-3</v>
      </c>
      <c r="BI10">
        <v>915.69999999999993</v>
      </c>
      <c r="BJ10" s="19">
        <v>-2.1793614470960012E-3</v>
      </c>
      <c r="BK10">
        <v>2203.1999999999998</v>
      </c>
      <c r="BL10" s="19">
        <v>-2.1821652940262434E-2</v>
      </c>
      <c r="BM10" s="46"/>
    </row>
    <row r="11" spans="1:65">
      <c r="A11" s="31" t="s">
        <v>32</v>
      </c>
      <c r="B11" s="25">
        <v>2020</v>
      </c>
      <c r="C11" s="25" t="s">
        <v>31</v>
      </c>
      <c r="D11" s="25">
        <v>1</v>
      </c>
      <c r="E11" s="25">
        <v>145.6</v>
      </c>
      <c r="F11" s="25">
        <v>167.6</v>
      </c>
      <c r="G11" s="25">
        <v>157</v>
      </c>
      <c r="H11" s="25">
        <v>149.30000000000001</v>
      </c>
      <c r="I11" s="25">
        <v>126.3</v>
      </c>
      <c r="J11" s="25">
        <v>144.4</v>
      </c>
      <c r="K11" s="25">
        <v>207.8</v>
      </c>
      <c r="L11" s="25">
        <v>139.1</v>
      </c>
      <c r="M11" s="25">
        <v>114.8</v>
      </c>
      <c r="N11" s="25">
        <v>149.5</v>
      </c>
      <c r="O11" s="25">
        <v>131.1</v>
      </c>
      <c r="P11" s="25">
        <v>158.5</v>
      </c>
      <c r="Q11" s="25">
        <v>154.4</v>
      </c>
      <c r="R11" s="25">
        <v>170.8</v>
      </c>
      <c r="S11" s="25">
        <v>147</v>
      </c>
      <c r="T11" s="25">
        <v>133.19999999999999</v>
      </c>
      <c r="U11" s="25">
        <v>144.9</v>
      </c>
      <c r="V11" s="25">
        <v>153.9</v>
      </c>
      <c r="W11" s="25">
        <v>135.1</v>
      </c>
      <c r="X11" s="25">
        <v>140.1</v>
      </c>
      <c r="Y11" s="25">
        <v>143.80000000000001</v>
      </c>
      <c r="Z11" s="25">
        <v>126.1</v>
      </c>
      <c r="AA11" s="25">
        <v>137.19999999999999</v>
      </c>
      <c r="AB11" s="25">
        <v>152.1</v>
      </c>
      <c r="AC11" s="25">
        <v>142.1</v>
      </c>
      <c r="AD11" s="25">
        <v>138.4</v>
      </c>
      <c r="AE11" s="25">
        <v>148.19999999999999</v>
      </c>
      <c r="AF11" s="25" t="str">
        <f t="shared" si="0"/>
        <v>Pre Covid</v>
      </c>
      <c r="AK11" s="9" t="s">
        <v>45</v>
      </c>
      <c r="AL11" s="9" t="s">
        <v>11</v>
      </c>
      <c r="AM11">
        <v>1709.4999999999998</v>
      </c>
      <c r="AN11">
        <v>2441.5</v>
      </c>
      <c r="AO11">
        <v>343</v>
      </c>
      <c r="AP11">
        <v>342.3</v>
      </c>
      <c r="AQ11">
        <v>342.7</v>
      </c>
      <c r="AR11">
        <v>341.3</v>
      </c>
      <c r="AS11">
        <v>340.2</v>
      </c>
      <c r="AT11">
        <v>361.3</v>
      </c>
      <c r="AU11">
        <v>346.7</v>
      </c>
      <c r="AV11">
        <v>343.7</v>
      </c>
      <c r="AW11">
        <v>343.7</v>
      </c>
      <c r="AX11">
        <v>346.1</v>
      </c>
      <c r="AY11">
        <v>350.4</v>
      </c>
      <c r="AZ11">
        <v>349.59999999999997</v>
      </c>
      <c r="BF11" t="s">
        <v>129</v>
      </c>
      <c r="BG11">
        <v>5495.7000000000007</v>
      </c>
      <c r="BH11" s="19">
        <v>0</v>
      </c>
      <c r="BI11">
        <v>915.69999999999993</v>
      </c>
      <c r="BJ11" s="19">
        <v>0</v>
      </c>
      <c r="BK11">
        <v>2203.1999999999998</v>
      </c>
      <c r="BL11" s="19">
        <v>0</v>
      </c>
      <c r="BM11" s="46"/>
    </row>
    <row r="12" spans="1:65">
      <c r="A12" s="32" t="s">
        <v>33</v>
      </c>
      <c r="B12" s="24">
        <v>2020</v>
      </c>
      <c r="C12" s="24" t="s">
        <v>31</v>
      </c>
      <c r="D12" s="24">
        <v>1</v>
      </c>
      <c r="E12" s="24">
        <v>144.30000000000001</v>
      </c>
      <c r="F12" s="24">
        <v>167.4</v>
      </c>
      <c r="G12" s="24">
        <v>154.9</v>
      </c>
      <c r="H12" s="24">
        <v>150.1</v>
      </c>
      <c r="I12" s="24">
        <v>129.9</v>
      </c>
      <c r="J12" s="24">
        <v>143.19999999999999</v>
      </c>
      <c r="K12" s="24">
        <v>197</v>
      </c>
      <c r="L12" s="24">
        <v>140.4</v>
      </c>
      <c r="M12" s="24">
        <v>114.1</v>
      </c>
      <c r="N12" s="24">
        <v>150.9</v>
      </c>
      <c r="O12" s="24">
        <v>136.1</v>
      </c>
      <c r="P12" s="24">
        <v>158.6</v>
      </c>
      <c r="Q12" s="24">
        <v>153.5</v>
      </c>
      <c r="R12" s="24">
        <v>169.2</v>
      </c>
      <c r="S12" s="24">
        <v>150.5</v>
      </c>
      <c r="T12" s="24">
        <v>141.5</v>
      </c>
      <c r="U12" s="24">
        <v>149.19999999999999</v>
      </c>
      <c r="V12" s="24">
        <v>153.9</v>
      </c>
      <c r="W12" s="24">
        <v>144.6</v>
      </c>
      <c r="X12" s="24">
        <v>146.19999999999999</v>
      </c>
      <c r="Y12" s="24">
        <v>151.19999999999999</v>
      </c>
      <c r="Z12" s="24">
        <v>130.9</v>
      </c>
      <c r="AA12" s="24">
        <v>142.80000000000001</v>
      </c>
      <c r="AB12" s="24">
        <v>156.1</v>
      </c>
      <c r="AC12" s="24">
        <v>142.30000000000001</v>
      </c>
      <c r="AD12" s="24">
        <v>143.4</v>
      </c>
      <c r="AE12" s="24">
        <v>150.19999999999999</v>
      </c>
      <c r="AF12" s="24" t="str">
        <f t="shared" si="0"/>
        <v>Pre Covid</v>
      </c>
      <c r="AK12" s="10" t="s">
        <v>45</v>
      </c>
      <c r="AL12" s="10" t="s">
        <v>12</v>
      </c>
      <c r="AM12">
        <v>2252.3000000000002</v>
      </c>
      <c r="AN12">
        <v>3347.1000000000004</v>
      </c>
      <c r="AO12">
        <v>440.6</v>
      </c>
      <c r="AP12">
        <v>445.8</v>
      </c>
      <c r="AQ12">
        <v>452</v>
      </c>
      <c r="AR12">
        <v>455.2</v>
      </c>
      <c r="AS12">
        <v>458.7</v>
      </c>
      <c r="AT12">
        <v>469.79999999999995</v>
      </c>
      <c r="AU12">
        <v>476.7</v>
      </c>
      <c r="AV12">
        <v>478.1</v>
      </c>
      <c r="AW12">
        <v>478.1</v>
      </c>
      <c r="AX12">
        <v>480</v>
      </c>
      <c r="AY12">
        <v>481.2</v>
      </c>
      <c r="AZ12">
        <v>483.20000000000005</v>
      </c>
      <c r="BF12" t="s">
        <v>130</v>
      </c>
      <c r="BG12">
        <v>5578.1</v>
      </c>
      <c r="BH12" s="19">
        <v>1.4993540404316033E-2</v>
      </c>
      <c r="BI12">
        <v>925.59999999999991</v>
      </c>
      <c r="BJ12" s="19">
        <v>1.0811401113901909E-2</v>
      </c>
      <c r="BK12">
        <v>2231.5</v>
      </c>
      <c r="BL12" s="19">
        <v>1.2844952795933272E-2</v>
      </c>
      <c r="BM12" s="46"/>
    </row>
    <row r="13" spans="1:65">
      <c r="A13" s="31" t="s">
        <v>30</v>
      </c>
      <c r="B13" s="25">
        <v>2020</v>
      </c>
      <c r="C13" s="25" t="s">
        <v>34</v>
      </c>
      <c r="D13" s="25">
        <v>2</v>
      </c>
      <c r="E13" s="25">
        <v>144.19999999999999</v>
      </c>
      <c r="F13" s="25">
        <v>167.5</v>
      </c>
      <c r="G13" s="25">
        <v>150.9</v>
      </c>
      <c r="H13" s="25">
        <v>150.9</v>
      </c>
      <c r="I13" s="25">
        <v>133.69999999999999</v>
      </c>
      <c r="J13" s="25">
        <v>140.69999999999999</v>
      </c>
      <c r="K13" s="25">
        <v>165.1</v>
      </c>
      <c r="L13" s="25">
        <v>141.80000000000001</v>
      </c>
      <c r="M13" s="25">
        <v>113.1</v>
      </c>
      <c r="N13" s="25">
        <v>152.80000000000001</v>
      </c>
      <c r="O13" s="25">
        <v>140.1</v>
      </c>
      <c r="P13" s="25">
        <v>159.19999999999999</v>
      </c>
      <c r="Q13" s="25">
        <v>149.80000000000001</v>
      </c>
      <c r="R13" s="25">
        <v>169.4</v>
      </c>
      <c r="S13" s="25">
        <v>153</v>
      </c>
      <c r="T13" s="25">
        <v>147.5</v>
      </c>
      <c r="U13" s="25">
        <v>152.30000000000001</v>
      </c>
      <c r="V13" s="25">
        <v>154.65</v>
      </c>
      <c r="W13" s="25">
        <v>152.30000000000001</v>
      </c>
      <c r="X13" s="25">
        <v>151.80000000000001</v>
      </c>
      <c r="Y13" s="25">
        <v>156.19999999999999</v>
      </c>
      <c r="Z13" s="25">
        <v>136</v>
      </c>
      <c r="AA13" s="25">
        <v>150.4</v>
      </c>
      <c r="AB13" s="25">
        <v>161.9</v>
      </c>
      <c r="AC13" s="25">
        <v>143.4</v>
      </c>
      <c r="AD13" s="25">
        <v>148.4</v>
      </c>
      <c r="AE13" s="25">
        <v>150.4</v>
      </c>
      <c r="AF13" s="25" t="str">
        <f t="shared" si="0"/>
        <v>Pre Covid</v>
      </c>
      <c r="AK13" s="9" t="s">
        <v>45</v>
      </c>
      <c r="AL13" s="9" t="s">
        <v>14</v>
      </c>
      <c r="AM13">
        <v>2378.1999999999998</v>
      </c>
      <c r="AN13">
        <v>3401.8</v>
      </c>
      <c r="AO13">
        <v>472.4</v>
      </c>
      <c r="AP13">
        <v>474</v>
      </c>
      <c r="AQ13">
        <v>475.8</v>
      </c>
      <c r="AR13">
        <v>477.3</v>
      </c>
      <c r="AS13">
        <v>478.7</v>
      </c>
      <c r="AT13">
        <v>481</v>
      </c>
      <c r="AU13">
        <v>484.3</v>
      </c>
      <c r="AV13">
        <v>485.3</v>
      </c>
      <c r="AW13">
        <v>485.3</v>
      </c>
      <c r="AX13">
        <v>487.1</v>
      </c>
      <c r="AY13">
        <v>488.9</v>
      </c>
      <c r="AZ13">
        <v>489.90000000000003</v>
      </c>
      <c r="BF13" t="s">
        <v>131</v>
      </c>
      <c r="BG13">
        <v>5610.6999999999989</v>
      </c>
      <c r="BH13" s="19">
        <v>5.8442838959499727E-3</v>
      </c>
      <c r="BI13">
        <v>940.30000000000007</v>
      </c>
      <c r="BJ13" s="19">
        <v>1.5881590319792742E-2</v>
      </c>
      <c r="BK13">
        <v>2233.5</v>
      </c>
      <c r="BL13" s="19">
        <v>8.9625812233923372E-4</v>
      </c>
      <c r="BM13" s="46"/>
    </row>
    <row r="14" spans="1:65">
      <c r="A14" s="32" t="s">
        <v>32</v>
      </c>
      <c r="B14" s="24">
        <v>2020</v>
      </c>
      <c r="C14" s="24" t="s">
        <v>34</v>
      </c>
      <c r="D14" s="24">
        <v>2</v>
      </c>
      <c r="E14" s="24">
        <v>146.19999999999999</v>
      </c>
      <c r="F14" s="24">
        <v>167.6</v>
      </c>
      <c r="G14" s="24">
        <v>153.1</v>
      </c>
      <c r="H14" s="24">
        <v>150.69999999999999</v>
      </c>
      <c r="I14" s="24">
        <v>127.4</v>
      </c>
      <c r="J14" s="24">
        <v>143.1</v>
      </c>
      <c r="K14" s="24">
        <v>181.7</v>
      </c>
      <c r="L14" s="24">
        <v>139.6</v>
      </c>
      <c r="M14" s="24">
        <v>114.6</v>
      </c>
      <c r="N14" s="24">
        <v>150.4</v>
      </c>
      <c r="O14" s="24">
        <v>131.5</v>
      </c>
      <c r="P14" s="24">
        <v>159</v>
      </c>
      <c r="Q14" s="24">
        <v>151.69999999999999</v>
      </c>
      <c r="R14" s="24">
        <v>172</v>
      </c>
      <c r="S14" s="24">
        <v>147.30000000000001</v>
      </c>
      <c r="T14" s="24">
        <v>133.5</v>
      </c>
      <c r="U14" s="24">
        <v>145.19999999999999</v>
      </c>
      <c r="V14" s="24">
        <v>154.80000000000001</v>
      </c>
      <c r="W14" s="24">
        <v>138.9</v>
      </c>
      <c r="X14" s="24">
        <v>140.4</v>
      </c>
      <c r="Y14" s="24">
        <v>144.4</v>
      </c>
      <c r="Z14" s="24">
        <v>125.2</v>
      </c>
      <c r="AA14" s="24">
        <v>137.69999999999999</v>
      </c>
      <c r="AB14" s="24">
        <v>152.19999999999999</v>
      </c>
      <c r="AC14" s="24">
        <v>143.5</v>
      </c>
      <c r="AD14" s="24">
        <v>138.4</v>
      </c>
      <c r="AE14" s="24">
        <v>147.69999999999999</v>
      </c>
      <c r="AF14" s="24" t="str">
        <f t="shared" si="0"/>
        <v>Pre Covid</v>
      </c>
      <c r="AK14" s="10" t="s">
        <v>45</v>
      </c>
      <c r="AL14" s="10" t="s">
        <v>15</v>
      </c>
      <c r="AM14">
        <v>2282.1000000000004</v>
      </c>
      <c r="AN14">
        <v>3270.6</v>
      </c>
      <c r="AO14">
        <v>456.4</v>
      </c>
      <c r="AP14">
        <v>465.6</v>
      </c>
      <c r="AQ14">
        <v>460.9</v>
      </c>
      <c r="AR14">
        <v>452</v>
      </c>
      <c r="AS14">
        <v>447.2</v>
      </c>
      <c r="AT14">
        <v>455</v>
      </c>
      <c r="AU14">
        <v>456.00000000000006</v>
      </c>
      <c r="AV14">
        <v>463.3</v>
      </c>
      <c r="AW14">
        <v>463.3</v>
      </c>
      <c r="AX14">
        <v>472.20000000000005</v>
      </c>
      <c r="AY14">
        <v>475.4</v>
      </c>
      <c r="AZ14">
        <v>485.4</v>
      </c>
      <c r="BF14" t="s">
        <v>132</v>
      </c>
      <c r="BG14">
        <v>5729.0999999999995</v>
      </c>
      <c r="BH14" s="19">
        <v>2.1102536225426519E-2</v>
      </c>
      <c r="BI14">
        <v>938.09999999999991</v>
      </c>
      <c r="BJ14" s="19">
        <v>-2.3396788259067948E-3</v>
      </c>
      <c r="BK14">
        <v>2242.15</v>
      </c>
      <c r="BL14" s="19">
        <v>3.8728453100515293E-3</v>
      </c>
      <c r="BM14" s="46"/>
    </row>
    <row r="15" spans="1:65">
      <c r="A15" s="31" t="s">
        <v>33</v>
      </c>
      <c r="B15" s="25">
        <v>2020</v>
      </c>
      <c r="C15" s="25" t="s">
        <v>34</v>
      </c>
      <c r="D15" s="25">
        <v>2</v>
      </c>
      <c r="E15" s="25">
        <v>144.80000000000001</v>
      </c>
      <c r="F15" s="25">
        <v>167.5</v>
      </c>
      <c r="G15" s="25">
        <v>151.80000000000001</v>
      </c>
      <c r="H15" s="25">
        <v>150.80000000000001</v>
      </c>
      <c r="I15" s="25">
        <v>131.4</v>
      </c>
      <c r="J15" s="25">
        <v>141.80000000000001</v>
      </c>
      <c r="K15" s="25">
        <v>170.7</v>
      </c>
      <c r="L15" s="25">
        <v>141.1</v>
      </c>
      <c r="M15" s="25">
        <v>113.6</v>
      </c>
      <c r="N15" s="25">
        <v>152</v>
      </c>
      <c r="O15" s="25">
        <v>136.5</v>
      </c>
      <c r="P15" s="25">
        <v>159.1</v>
      </c>
      <c r="Q15" s="25">
        <v>150.5</v>
      </c>
      <c r="R15" s="25">
        <v>170.1</v>
      </c>
      <c r="S15" s="25">
        <v>150.80000000000001</v>
      </c>
      <c r="T15" s="25">
        <v>141.69999999999999</v>
      </c>
      <c r="U15" s="25">
        <v>149.5</v>
      </c>
      <c r="V15" s="25">
        <v>154.80000000000001</v>
      </c>
      <c r="W15" s="25">
        <v>147.19999999999999</v>
      </c>
      <c r="X15" s="25">
        <v>146.4</v>
      </c>
      <c r="Y15" s="25">
        <v>151.69999999999999</v>
      </c>
      <c r="Z15" s="25">
        <v>130.30000000000001</v>
      </c>
      <c r="AA15" s="25">
        <v>143.19999999999999</v>
      </c>
      <c r="AB15" s="25">
        <v>156.19999999999999</v>
      </c>
      <c r="AC15" s="25">
        <v>143.4</v>
      </c>
      <c r="AD15" s="25">
        <v>143.6</v>
      </c>
      <c r="AE15" s="25">
        <v>149.1</v>
      </c>
      <c r="AF15" s="25" t="str">
        <f t="shared" si="0"/>
        <v>Pre Covid</v>
      </c>
      <c r="AK15" s="9" t="s">
        <v>115</v>
      </c>
      <c r="AL15" s="9" t="s">
        <v>23</v>
      </c>
      <c r="AM15">
        <v>2252.4000000000005</v>
      </c>
      <c r="AN15">
        <v>3232.3</v>
      </c>
      <c r="AO15">
        <v>447</v>
      </c>
      <c r="AP15">
        <v>448.4</v>
      </c>
      <c r="AQ15">
        <v>450.7</v>
      </c>
      <c r="AR15">
        <v>452.3</v>
      </c>
      <c r="AS15">
        <v>454</v>
      </c>
      <c r="AT15">
        <v>449.8</v>
      </c>
      <c r="AU15">
        <v>467.09999999999997</v>
      </c>
      <c r="AV15">
        <v>460.69999999999993</v>
      </c>
      <c r="AW15">
        <v>460.69999999999993</v>
      </c>
      <c r="AX15">
        <v>462.5</v>
      </c>
      <c r="AY15">
        <v>464.70000000000005</v>
      </c>
      <c r="AZ15">
        <v>466.8</v>
      </c>
    </row>
    <row r="16" spans="1:65">
      <c r="A16" s="32" t="s">
        <v>30</v>
      </c>
      <c r="B16" s="24">
        <v>2020</v>
      </c>
      <c r="C16" s="24" t="s">
        <v>35</v>
      </c>
      <c r="D16" s="24">
        <v>3</v>
      </c>
      <c r="E16" s="24">
        <v>144.4</v>
      </c>
      <c r="F16" s="24">
        <v>166.8</v>
      </c>
      <c r="G16" s="24">
        <v>147.6</v>
      </c>
      <c r="H16" s="24">
        <v>151.69999999999999</v>
      </c>
      <c r="I16" s="24">
        <v>133.30000000000001</v>
      </c>
      <c r="J16" s="24">
        <v>141.80000000000001</v>
      </c>
      <c r="K16" s="24">
        <v>152.30000000000001</v>
      </c>
      <c r="L16" s="24">
        <v>141.80000000000001</v>
      </c>
      <c r="M16" s="24">
        <v>112.6</v>
      </c>
      <c r="N16" s="24">
        <v>154</v>
      </c>
      <c r="O16" s="24">
        <v>140.1</v>
      </c>
      <c r="P16" s="24">
        <v>160</v>
      </c>
      <c r="Q16" s="24">
        <v>148.19999999999999</v>
      </c>
      <c r="R16" s="24">
        <v>170.5</v>
      </c>
      <c r="S16" s="24">
        <v>153.4</v>
      </c>
      <c r="T16" s="24">
        <v>147.6</v>
      </c>
      <c r="U16" s="24">
        <v>152.5</v>
      </c>
      <c r="V16" s="24">
        <v>0</v>
      </c>
      <c r="W16" s="24">
        <v>153.4</v>
      </c>
      <c r="X16" s="24">
        <v>151.5</v>
      </c>
      <c r="Y16" s="24">
        <v>156.69999999999999</v>
      </c>
      <c r="Z16" s="24">
        <v>135.80000000000001</v>
      </c>
      <c r="AA16" s="24">
        <v>151.19999999999999</v>
      </c>
      <c r="AB16" s="24">
        <v>161.19999999999999</v>
      </c>
      <c r="AC16" s="24">
        <v>145.1</v>
      </c>
      <c r="AD16" s="24">
        <v>148.6</v>
      </c>
      <c r="AE16" s="24">
        <v>149.80000000000001</v>
      </c>
      <c r="AF16" s="24" t="str">
        <f t="shared" si="0"/>
        <v>Pre Covid</v>
      </c>
      <c r="AK16" s="10" t="s">
        <v>115</v>
      </c>
      <c r="AL16" s="10" t="s">
        <v>27</v>
      </c>
      <c r="AM16">
        <v>2134.6999999999998</v>
      </c>
      <c r="AN16">
        <v>3212.2000000000003</v>
      </c>
      <c r="AO16">
        <v>420.7</v>
      </c>
      <c r="AP16">
        <v>421.2</v>
      </c>
      <c r="AQ16">
        <v>426.9</v>
      </c>
      <c r="AR16">
        <v>430.3</v>
      </c>
      <c r="AS16">
        <v>435.6</v>
      </c>
      <c r="AT16">
        <v>441.59999999999997</v>
      </c>
      <c r="AU16">
        <v>450.59999999999997</v>
      </c>
      <c r="AV16">
        <v>455</v>
      </c>
      <c r="AW16">
        <v>455</v>
      </c>
      <c r="AX16">
        <v>463.09999999999997</v>
      </c>
      <c r="AY16">
        <v>475.6</v>
      </c>
      <c r="AZ16">
        <v>471.29999999999995</v>
      </c>
    </row>
    <row r="17" spans="1:61">
      <c r="A17" s="31" t="s">
        <v>32</v>
      </c>
      <c r="B17" s="25">
        <v>2020</v>
      </c>
      <c r="C17" s="25" t="s">
        <v>35</v>
      </c>
      <c r="D17" s="25">
        <v>3</v>
      </c>
      <c r="E17" s="25">
        <v>146.5</v>
      </c>
      <c r="F17" s="25">
        <v>167.5</v>
      </c>
      <c r="G17" s="25">
        <v>148.9</v>
      </c>
      <c r="H17" s="25">
        <v>151.1</v>
      </c>
      <c r="I17" s="25">
        <v>127.5</v>
      </c>
      <c r="J17" s="25">
        <v>143.30000000000001</v>
      </c>
      <c r="K17" s="25">
        <v>167</v>
      </c>
      <c r="L17" s="25">
        <v>139.69999999999999</v>
      </c>
      <c r="M17" s="25">
        <v>114.4</v>
      </c>
      <c r="N17" s="25">
        <v>151.5</v>
      </c>
      <c r="O17" s="25">
        <v>131.9</v>
      </c>
      <c r="P17" s="25">
        <v>159.1</v>
      </c>
      <c r="Q17" s="25">
        <v>150.1</v>
      </c>
      <c r="R17" s="25">
        <v>173.3</v>
      </c>
      <c r="S17" s="25">
        <v>147.69999999999999</v>
      </c>
      <c r="T17" s="25">
        <v>133.80000000000001</v>
      </c>
      <c r="U17" s="25">
        <v>145.6</v>
      </c>
      <c r="V17" s="25">
        <v>154.5</v>
      </c>
      <c r="W17" s="25">
        <v>141.4</v>
      </c>
      <c r="X17" s="25">
        <v>140.80000000000001</v>
      </c>
      <c r="Y17" s="25">
        <v>145</v>
      </c>
      <c r="Z17" s="25">
        <v>124.6</v>
      </c>
      <c r="AA17" s="25">
        <v>137.9</v>
      </c>
      <c r="AB17" s="25">
        <v>152.5</v>
      </c>
      <c r="AC17" s="25">
        <v>145.30000000000001</v>
      </c>
      <c r="AD17" s="25">
        <v>138.69999999999999</v>
      </c>
      <c r="AE17" s="25">
        <v>147.30000000000001</v>
      </c>
      <c r="AF17" s="25" t="str">
        <f t="shared" si="0"/>
        <v>Pre Covid</v>
      </c>
      <c r="AK17" s="9" t="s">
        <v>114</v>
      </c>
      <c r="AL17" s="9" t="s">
        <v>20</v>
      </c>
      <c r="AM17">
        <v>1847</v>
      </c>
      <c r="AN17">
        <v>3110.25</v>
      </c>
      <c r="AO17">
        <v>307</v>
      </c>
      <c r="AP17">
        <v>458.95</v>
      </c>
      <c r="AQ17">
        <v>307.8</v>
      </c>
      <c r="AR17">
        <v>464.25</v>
      </c>
      <c r="AS17">
        <v>309</v>
      </c>
      <c r="AT17">
        <v>466.20000000000005</v>
      </c>
      <c r="AU17">
        <v>465</v>
      </c>
      <c r="AV17">
        <v>464.4</v>
      </c>
      <c r="AW17">
        <v>464.4</v>
      </c>
      <c r="AX17">
        <v>466.9</v>
      </c>
      <c r="AY17">
        <v>468.50000000000006</v>
      </c>
      <c r="AZ17">
        <v>470.25</v>
      </c>
    </row>
    <row r="18" spans="1:61">
      <c r="A18" s="32" t="s">
        <v>33</v>
      </c>
      <c r="B18" s="24">
        <v>2020</v>
      </c>
      <c r="C18" s="24" t="s">
        <v>35</v>
      </c>
      <c r="D18" s="24">
        <v>3</v>
      </c>
      <c r="E18" s="24">
        <v>145.1</v>
      </c>
      <c r="F18" s="24">
        <v>167</v>
      </c>
      <c r="G18" s="24">
        <v>148.1</v>
      </c>
      <c r="H18" s="24">
        <v>151.5</v>
      </c>
      <c r="I18" s="24">
        <v>131.19999999999999</v>
      </c>
      <c r="J18" s="24">
        <v>142.5</v>
      </c>
      <c r="K18" s="24">
        <v>157.30000000000001</v>
      </c>
      <c r="L18" s="24">
        <v>141.1</v>
      </c>
      <c r="M18" s="24">
        <v>113.2</v>
      </c>
      <c r="N18" s="24">
        <v>153.19999999999999</v>
      </c>
      <c r="O18" s="24">
        <v>136.69999999999999</v>
      </c>
      <c r="P18" s="24">
        <v>159.6</v>
      </c>
      <c r="Q18" s="24">
        <v>148.9</v>
      </c>
      <c r="R18" s="24">
        <v>171.2</v>
      </c>
      <c r="S18" s="24">
        <v>151.19999999999999</v>
      </c>
      <c r="T18" s="24">
        <v>141.9</v>
      </c>
      <c r="U18" s="24">
        <v>149.80000000000001</v>
      </c>
      <c r="V18" s="24">
        <v>154.5</v>
      </c>
      <c r="W18" s="24">
        <v>148.9</v>
      </c>
      <c r="X18" s="24">
        <v>146.4</v>
      </c>
      <c r="Y18" s="24">
        <v>152.30000000000001</v>
      </c>
      <c r="Z18" s="24">
        <v>129.9</v>
      </c>
      <c r="AA18" s="24">
        <v>143.69999999999999</v>
      </c>
      <c r="AB18" s="24">
        <v>156.1</v>
      </c>
      <c r="AC18" s="24">
        <v>145.19999999999999</v>
      </c>
      <c r="AD18" s="24">
        <v>143.80000000000001</v>
      </c>
      <c r="AE18" s="24">
        <v>148.6</v>
      </c>
      <c r="AF18" s="24" t="str">
        <f t="shared" si="0"/>
        <v>Pre Covid</v>
      </c>
      <c r="AK18" s="10" t="s">
        <v>114</v>
      </c>
      <c r="AL18" s="10" t="s">
        <v>21</v>
      </c>
      <c r="AM18">
        <v>2162.3000000000002</v>
      </c>
      <c r="AN18">
        <v>2991.9</v>
      </c>
      <c r="AO18">
        <v>422.9</v>
      </c>
      <c r="AP18">
        <v>427.2</v>
      </c>
      <c r="AQ18">
        <v>430.1</v>
      </c>
      <c r="AR18">
        <v>438.4</v>
      </c>
      <c r="AS18">
        <v>443.7</v>
      </c>
      <c r="AT18">
        <v>429.6</v>
      </c>
      <c r="AU18">
        <v>433.9</v>
      </c>
      <c r="AV18">
        <v>423.9</v>
      </c>
      <c r="AW18">
        <v>423.9</v>
      </c>
      <c r="AX18">
        <v>427.1</v>
      </c>
      <c r="AY18">
        <v>426.5</v>
      </c>
      <c r="AZ18">
        <v>427</v>
      </c>
      <c r="BF18" s="68" t="s">
        <v>50</v>
      </c>
      <c r="BG18" s="65" t="s">
        <v>196</v>
      </c>
      <c r="BH18" s="65" t="s">
        <v>197</v>
      </c>
      <c r="BI18" s="41" t="s">
        <v>198</v>
      </c>
    </row>
    <row r="19" spans="1:61">
      <c r="AK19" s="9" t="s">
        <v>114</v>
      </c>
      <c r="AL19" s="9" t="s">
        <v>22</v>
      </c>
      <c r="AM19">
        <v>2187.4</v>
      </c>
      <c r="AN19">
        <v>3110.25</v>
      </c>
      <c r="AO19">
        <v>435.3</v>
      </c>
      <c r="AP19">
        <v>436.8</v>
      </c>
      <c r="AQ19">
        <v>438</v>
      </c>
      <c r="AR19">
        <v>438.6</v>
      </c>
      <c r="AS19">
        <v>438.7</v>
      </c>
      <c r="AT19">
        <v>444.5</v>
      </c>
      <c r="AU19">
        <v>452.45</v>
      </c>
      <c r="AV19">
        <v>438.5</v>
      </c>
      <c r="AW19">
        <v>438.5</v>
      </c>
      <c r="AX19">
        <v>444.79999999999995</v>
      </c>
      <c r="AY19">
        <v>445.7</v>
      </c>
      <c r="AZ19">
        <v>445.8</v>
      </c>
      <c r="BF19" s="69" t="s">
        <v>220</v>
      </c>
      <c r="BG19" s="67">
        <v>1.9287722586691761E-2</v>
      </c>
      <c r="BH19" s="67">
        <v>2.1896968998500214E-3</v>
      </c>
      <c r="BI19" s="70">
        <v>8.3403684759398022E-2</v>
      </c>
    </row>
    <row r="20" spans="1:61">
      <c r="AK20" s="10" t="s">
        <v>114</v>
      </c>
      <c r="AL20" s="10" t="s">
        <v>26</v>
      </c>
      <c r="AM20">
        <v>2346.7999999999997</v>
      </c>
      <c r="AN20">
        <v>3324.85</v>
      </c>
      <c r="AO20">
        <v>468.1</v>
      </c>
      <c r="AP20">
        <v>468.7</v>
      </c>
      <c r="AQ20">
        <v>469.9</v>
      </c>
      <c r="AR20">
        <v>470.3</v>
      </c>
      <c r="AS20">
        <v>469.8</v>
      </c>
      <c r="AT20">
        <v>474</v>
      </c>
      <c r="AU20">
        <v>482.55</v>
      </c>
      <c r="AV20">
        <v>470.70000000000005</v>
      </c>
      <c r="AW20">
        <v>470.70000000000005</v>
      </c>
      <c r="AX20">
        <v>476.7</v>
      </c>
      <c r="AY20">
        <v>473.5</v>
      </c>
      <c r="AZ20">
        <v>476.7</v>
      </c>
      <c r="BF20" s="69" t="s">
        <v>221</v>
      </c>
      <c r="BG20" s="67">
        <v>-3.7514481693303394E-3</v>
      </c>
      <c r="BH20" s="67">
        <v>9.1996320147194124E-3</v>
      </c>
      <c r="BI20" s="70">
        <v>-6.5340453326610565E-2</v>
      </c>
    </row>
    <row r="21" spans="1:61">
      <c r="AK21" s="9" t="s">
        <v>114</v>
      </c>
      <c r="AL21" s="9" t="s">
        <v>24</v>
      </c>
      <c r="AM21">
        <v>1945.5</v>
      </c>
      <c r="AN21">
        <v>2888.75</v>
      </c>
      <c r="AO21">
        <v>380.4</v>
      </c>
      <c r="AP21">
        <v>390</v>
      </c>
      <c r="AQ21">
        <v>393.3</v>
      </c>
      <c r="AR21">
        <v>391.5</v>
      </c>
      <c r="AS21">
        <v>390.3</v>
      </c>
      <c r="AT21">
        <v>401.20000000000005</v>
      </c>
      <c r="AU21">
        <v>418.45000000000005</v>
      </c>
      <c r="AV21">
        <v>405.70000000000005</v>
      </c>
      <c r="AW21">
        <v>405.70000000000005</v>
      </c>
      <c r="AX21">
        <v>416</v>
      </c>
      <c r="AY21">
        <v>419.29999999999995</v>
      </c>
      <c r="AZ21">
        <v>422.4</v>
      </c>
      <c r="BF21" s="69" t="s">
        <v>222</v>
      </c>
      <c r="BG21" s="67">
        <v>-1.6169820027687781E-2</v>
      </c>
      <c r="BH21" s="67">
        <v>5.6973564266181789E-3</v>
      </c>
      <c r="BI21" s="70">
        <v>8.0403119023098449E-2</v>
      </c>
    </row>
    <row r="22" spans="1:61">
      <c r="BF22" s="69" t="s">
        <v>223</v>
      </c>
      <c r="BG22" s="67">
        <v>-9.3998011219725078E-3</v>
      </c>
      <c r="BH22" s="67">
        <v>7.931112621799229E-3</v>
      </c>
      <c r="BI22" s="70">
        <v>-6.8790994303352254E-2</v>
      </c>
    </row>
    <row r="23" spans="1:61">
      <c r="BF23" s="69" t="s">
        <v>224</v>
      </c>
      <c r="BG23" s="67">
        <v>3.6024091821660054E-2</v>
      </c>
      <c r="BH23" s="67">
        <v>2.0233812949639776E-3</v>
      </c>
      <c r="BI23" s="70">
        <v>7.9941506214964667E-2</v>
      </c>
    </row>
    <row r="24" spans="1:61">
      <c r="AK24" s="7" t="s">
        <v>54</v>
      </c>
      <c r="AL24" t="s">
        <v>133</v>
      </c>
      <c r="AM24" t="s">
        <v>134</v>
      </c>
      <c r="BF24" s="69" t="s">
        <v>225</v>
      </c>
      <c r="BG24" s="67">
        <v>-4.926873857403989E-3</v>
      </c>
      <c r="BH24" s="67">
        <v>2.950415077406322E-2</v>
      </c>
      <c r="BI24" s="70">
        <v>1.6632814263145976E-2</v>
      </c>
    </row>
    <row r="25" spans="1:61">
      <c r="A25" s="115" t="s">
        <v>119</v>
      </c>
      <c r="B25" s="116"/>
      <c r="C25" s="116"/>
      <c r="D25" s="116"/>
      <c r="E25" s="116"/>
      <c r="F25" s="116"/>
      <c r="G25" s="116"/>
      <c r="H25" s="116"/>
      <c r="I25" s="116"/>
      <c r="J25" s="116"/>
      <c r="K25" s="116"/>
      <c r="L25" s="116"/>
      <c r="M25" s="116"/>
      <c r="N25" s="116"/>
      <c r="O25" s="116"/>
      <c r="P25" s="116"/>
      <c r="Q25" s="116"/>
      <c r="R25" s="116"/>
      <c r="S25" s="116"/>
      <c r="T25" s="116"/>
      <c r="U25" s="116"/>
      <c r="V25" s="116"/>
      <c r="W25" s="116"/>
      <c r="X25" s="116"/>
      <c r="Y25" s="116"/>
      <c r="Z25" s="116"/>
      <c r="AA25" s="116"/>
      <c r="AB25" s="116"/>
      <c r="AC25" s="116"/>
      <c r="AD25" s="116"/>
      <c r="AE25" s="116"/>
      <c r="AF25" s="117"/>
      <c r="AK25" s="8" t="s">
        <v>114</v>
      </c>
      <c r="AL25">
        <v>10489</v>
      </c>
      <c r="AM25">
        <v>15426</v>
      </c>
      <c r="BF25" s="69" t="s">
        <v>226</v>
      </c>
      <c r="BG25" s="67">
        <v>9.67288560641562E-3</v>
      </c>
      <c r="BH25" s="67">
        <v>-2.1793614470960012E-3</v>
      </c>
      <c r="BI25" s="70">
        <v>-2.1821652940262434E-2</v>
      </c>
    </row>
    <row r="26" spans="1:61">
      <c r="A26" s="118"/>
      <c r="B26" s="119"/>
      <c r="C26" s="119"/>
      <c r="D26" s="119"/>
      <c r="E26" s="119"/>
      <c r="F26" s="119"/>
      <c r="G26" s="119"/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  <c r="AC26" s="119"/>
      <c r="AD26" s="119"/>
      <c r="AE26" s="119"/>
      <c r="AF26" s="120"/>
      <c r="AK26" s="8" t="s">
        <v>45</v>
      </c>
      <c r="AL26">
        <v>202184.10000000003</v>
      </c>
      <c r="AM26">
        <v>38822.350000000006</v>
      </c>
      <c r="BF26" s="69" t="s">
        <v>227</v>
      </c>
      <c r="BG26" s="67">
        <v>0</v>
      </c>
      <c r="BH26" s="67">
        <v>0</v>
      </c>
      <c r="BI26" s="70">
        <v>0</v>
      </c>
    </row>
    <row r="27" spans="1:61">
      <c r="A27" s="92" t="s">
        <v>0</v>
      </c>
      <c r="B27" s="33" t="s">
        <v>1</v>
      </c>
      <c r="C27" s="33" t="s">
        <v>2</v>
      </c>
      <c r="D27" s="33" t="s">
        <v>112</v>
      </c>
      <c r="E27" s="33" t="s">
        <v>3</v>
      </c>
      <c r="F27" s="33" t="s">
        <v>4</v>
      </c>
      <c r="G27" s="33" t="s">
        <v>5</v>
      </c>
      <c r="H27" s="33" t="s">
        <v>6</v>
      </c>
      <c r="I27" s="33" t="s">
        <v>7</v>
      </c>
      <c r="J27" s="33" t="s">
        <v>8</v>
      </c>
      <c r="K27" s="33" t="s">
        <v>9</v>
      </c>
      <c r="L27" s="33" t="s">
        <v>10</v>
      </c>
      <c r="M27" s="33" t="s">
        <v>11</v>
      </c>
      <c r="N27" s="33" t="s">
        <v>12</v>
      </c>
      <c r="O27" s="33" t="s">
        <v>13</v>
      </c>
      <c r="P27" s="33" t="s">
        <v>14</v>
      </c>
      <c r="Q27" s="33" t="s">
        <v>15</v>
      </c>
      <c r="R27" s="33" t="s">
        <v>16</v>
      </c>
      <c r="S27" s="33" t="s">
        <v>17</v>
      </c>
      <c r="T27" s="33" t="s">
        <v>18</v>
      </c>
      <c r="U27" s="33" t="s">
        <v>19</v>
      </c>
      <c r="V27" s="33" t="s">
        <v>20</v>
      </c>
      <c r="W27" s="33" t="s">
        <v>21</v>
      </c>
      <c r="X27" s="33" t="s">
        <v>22</v>
      </c>
      <c r="Y27" s="33" t="s">
        <v>23</v>
      </c>
      <c r="Z27" s="33" t="s">
        <v>24</v>
      </c>
      <c r="AA27" s="33" t="s">
        <v>25</v>
      </c>
      <c r="AB27" s="33" t="s">
        <v>26</v>
      </c>
      <c r="AC27" s="33" t="s">
        <v>27</v>
      </c>
      <c r="AD27" s="33" t="s">
        <v>28</v>
      </c>
      <c r="AE27" s="33" t="s">
        <v>29</v>
      </c>
      <c r="AF27" s="33" t="s">
        <v>111</v>
      </c>
      <c r="AK27" s="8" t="s">
        <v>115</v>
      </c>
      <c r="AL27">
        <v>4387.1000000000004</v>
      </c>
      <c r="AM27">
        <v>6444.5</v>
      </c>
      <c r="BF27" s="69" t="s">
        <v>228</v>
      </c>
      <c r="BG27" s="67">
        <v>1.4993540404316033E-2</v>
      </c>
      <c r="BH27" s="67">
        <v>1.0811401113901909E-2</v>
      </c>
      <c r="BI27" s="70">
        <v>1.2844952795933272E-2</v>
      </c>
    </row>
    <row r="28" spans="1:61">
      <c r="A28" s="31" t="s">
        <v>30</v>
      </c>
      <c r="B28" s="25">
        <v>2020</v>
      </c>
      <c r="C28" s="25" t="s">
        <v>36</v>
      </c>
      <c r="D28" s="25">
        <v>4</v>
      </c>
      <c r="E28" s="25">
        <v>147.19999999999999</v>
      </c>
      <c r="F28" s="25">
        <v>170.88333333333333</v>
      </c>
      <c r="G28" s="25">
        <v>146.9</v>
      </c>
      <c r="H28" s="25">
        <v>155.6</v>
      </c>
      <c r="I28" s="25">
        <v>137.1</v>
      </c>
      <c r="J28" s="25">
        <v>147.30000000000001</v>
      </c>
      <c r="K28" s="25">
        <v>162.69999999999999</v>
      </c>
      <c r="L28" s="25">
        <v>150.19999999999999</v>
      </c>
      <c r="M28" s="25">
        <v>119.8</v>
      </c>
      <c r="N28" s="25">
        <v>158.69999999999999</v>
      </c>
      <c r="O28" s="25">
        <v>139.19999999999999</v>
      </c>
      <c r="P28" s="25">
        <v>159.96666666666667</v>
      </c>
      <c r="Q28" s="25">
        <v>150.1</v>
      </c>
      <c r="R28" s="25">
        <v>173.06666666666666</v>
      </c>
      <c r="S28" s="25">
        <v>151.78333333333333</v>
      </c>
      <c r="T28" s="25">
        <v>143.25</v>
      </c>
      <c r="U28" s="25">
        <v>150.51666666666668</v>
      </c>
      <c r="V28" s="25">
        <v>155</v>
      </c>
      <c r="W28" s="25">
        <v>148.4</v>
      </c>
      <c r="X28" s="25">
        <v>147.28333333333333</v>
      </c>
      <c r="Y28" s="25">
        <v>154.30000000000001</v>
      </c>
      <c r="Z28" s="25">
        <v>131.81666666666666</v>
      </c>
      <c r="AA28" s="25">
        <v>145.28333333333333</v>
      </c>
      <c r="AB28" s="25">
        <v>157.05000000000001</v>
      </c>
      <c r="AC28" s="25">
        <v>146.19999999999999</v>
      </c>
      <c r="AD28" s="25">
        <v>145.11666666666667</v>
      </c>
      <c r="AE28" s="25">
        <v>149.28333333333333</v>
      </c>
      <c r="AF28" s="25" t="s">
        <v>113</v>
      </c>
      <c r="AK28" s="8" t="s">
        <v>51</v>
      </c>
      <c r="AL28">
        <v>217060.20000000004</v>
      </c>
      <c r="AM28">
        <v>60692.850000000006</v>
      </c>
      <c r="BF28" s="69" t="s">
        <v>229</v>
      </c>
      <c r="BG28" s="67">
        <v>5.8442838959499727E-3</v>
      </c>
      <c r="BH28" s="67">
        <v>1.5881590319792742E-2</v>
      </c>
      <c r="BI28" s="70">
        <v>8.9625812233923372E-4</v>
      </c>
    </row>
    <row r="29" spans="1:61">
      <c r="A29" s="32" t="s">
        <v>32</v>
      </c>
      <c r="B29" s="24">
        <v>2020</v>
      </c>
      <c r="C29" s="24" t="s">
        <v>36</v>
      </c>
      <c r="D29" s="24">
        <v>4</v>
      </c>
      <c r="E29" s="24">
        <v>151.80000000000001</v>
      </c>
      <c r="F29" s="24">
        <v>174.76666666666668</v>
      </c>
      <c r="G29" s="24">
        <v>151.9</v>
      </c>
      <c r="H29" s="24">
        <v>155.5</v>
      </c>
      <c r="I29" s="24">
        <v>131.6</v>
      </c>
      <c r="J29" s="24">
        <v>152.9</v>
      </c>
      <c r="K29" s="24">
        <v>180</v>
      </c>
      <c r="L29" s="24">
        <v>150.80000000000001</v>
      </c>
      <c r="M29" s="24">
        <v>121.2</v>
      </c>
      <c r="N29" s="24">
        <v>154</v>
      </c>
      <c r="O29" s="24">
        <v>133.5</v>
      </c>
      <c r="P29" s="24">
        <v>160.33333333333334</v>
      </c>
      <c r="Q29" s="24">
        <v>153.5</v>
      </c>
      <c r="R29" s="24">
        <v>174.93333333333334</v>
      </c>
      <c r="S29" s="24">
        <v>152.36666666666665</v>
      </c>
      <c r="T29" s="24">
        <v>144.6</v>
      </c>
      <c r="U29" s="24">
        <v>151.23333333333335</v>
      </c>
      <c r="V29" s="24">
        <v>155.6</v>
      </c>
      <c r="W29" s="24">
        <v>137.1</v>
      </c>
      <c r="X29" s="24">
        <v>148.16666666666666</v>
      </c>
      <c r="Y29" s="24">
        <v>144.80000000000001</v>
      </c>
      <c r="Z29" s="24">
        <v>133.73333333333335</v>
      </c>
      <c r="AA29" s="24">
        <v>146.86666666666665</v>
      </c>
      <c r="AB29" s="24">
        <v>158</v>
      </c>
      <c r="AC29" s="24">
        <v>147.19999999999999</v>
      </c>
      <c r="AD29" s="24">
        <v>146.43333333333334</v>
      </c>
      <c r="AE29" s="24">
        <v>149.96666666666667</v>
      </c>
      <c r="AF29" s="24" t="s">
        <v>113</v>
      </c>
      <c r="BF29" s="69" t="s">
        <v>230</v>
      </c>
      <c r="BG29" s="67">
        <v>2.1102536225426519E-2</v>
      </c>
      <c r="BH29" s="67">
        <v>-2.3396788259067948E-3</v>
      </c>
      <c r="BI29" s="70">
        <v>3.8728453100515293E-3</v>
      </c>
    </row>
    <row r="30" spans="1:61">
      <c r="A30" s="31" t="s">
        <v>33</v>
      </c>
      <c r="B30" s="25">
        <v>2020</v>
      </c>
      <c r="C30" s="25" t="s">
        <v>36</v>
      </c>
      <c r="D30" s="25">
        <v>4</v>
      </c>
      <c r="E30" s="25">
        <v>148.69999999999999</v>
      </c>
      <c r="F30" s="25">
        <v>178.65</v>
      </c>
      <c r="G30" s="25">
        <v>148.80000000000001</v>
      </c>
      <c r="H30" s="25">
        <v>155.6</v>
      </c>
      <c r="I30" s="25">
        <v>135.1</v>
      </c>
      <c r="J30" s="25">
        <v>149.9</v>
      </c>
      <c r="K30" s="25">
        <v>168.6</v>
      </c>
      <c r="L30" s="25">
        <v>150.4</v>
      </c>
      <c r="M30" s="25">
        <v>120.3</v>
      </c>
      <c r="N30" s="25">
        <v>157.1</v>
      </c>
      <c r="O30" s="25">
        <v>136.80000000000001</v>
      </c>
      <c r="P30" s="25">
        <v>160.69999999999999</v>
      </c>
      <c r="Q30" s="25">
        <v>151.4</v>
      </c>
      <c r="R30" s="25">
        <v>176.8</v>
      </c>
      <c r="S30" s="25">
        <v>152.94999999999999</v>
      </c>
      <c r="T30" s="25">
        <v>145.94999999999999</v>
      </c>
      <c r="U30" s="25">
        <v>151.94999999999999</v>
      </c>
      <c r="V30" s="25">
        <v>155.6</v>
      </c>
      <c r="W30" s="25">
        <v>144.1</v>
      </c>
      <c r="X30" s="25">
        <v>149.05000000000001</v>
      </c>
      <c r="Y30" s="25">
        <v>150.69999999999999</v>
      </c>
      <c r="Z30" s="25">
        <v>135.65</v>
      </c>
      <c r="AA30" s="25">
        <v>148.44999999999999</v>
      </c>
      <c r="AB30" s="25">
        <v>158.94999999999999</v>
      </c>
      <c r="AC30" s="25">
        <v>148.19999999999999</v>
      </c>
      <c r="AD30" s="25">
        <v>147.75</v>
      </c>
      <c r="AE30" s="25">
        <v>150.64999999999998</v>
      </c>
      <c r="AF30" s="25" t="s">
        <v>113</v>
      </c>
      <c r="BF30" s="71" t="s">
        <v>51</v>
      </c>
      <c r="BG30" s="89">
        <v>7.2677117364065347E-2</v>
      </c>
      <c r="BH30" s="89">
        <v>7.8719281192705881E-2</v>
      </c>
      <c r="BI30" s="72">
        <v>0.12204207991870589</v>
      </c>
    </row>
    <row r="31" spans="1:61">
      <c r="A31" s="32" t="s">
        <v>30</v>
      </c>
      <c r="B31" s="24">
        <v>2020</v>
      </c>
      <c r="C31" s="24" t="s">
        <v>37</v>
      </c>
      <c r="D31" s="24">
        <v>5</v>
      </c>
      <c r="E31" s="24">
        <v>148.53333333333333</v>
      </c>
      <c r="F31" s="24">
        <v>182.53333333333333</v>
      </c>
      <c r="G31" s="24">
        <v>149</v>
      </c>
      <c r="H31" s="24">
        <v>154.83333333333334</v>
      </c>
      <c r="I31" s="24">
        <v>136.13333333333333</v>
      </c>
      <c r="J31" s="24">
        <v>147.66666666666666</v>
      </c>
      <c r="K31" s="24">
        <v>162.03333333333333</v>
      </c>
      <c r="L31" s="24">
        <v>150.36666666666667</v>
      </c>
      <c r="M31" s="24">
        <v>117.93333333333334</v>
      </c>
      <c r="N31" s="24">
        <v>158</v>
      </c>
      <c r="O31" s="24">
        <v>138.56666666666666</v>
      </c>
      <c r="P31" s="24">
        <v>161.06666666666666</v>
      </c>
      <c r="Q31" s="24">
        <v>151.70000000000002</v>
      </c>
      <c r="R31" s="24">
        <v>178.66666666666666</v>
      </c>
      <c r="S31" s="24">
        <v>153.53333333333333</v>
      </c>
      <c r="T31" s="24">
        <v>147.30000000000001</v>
      </c>
      <c r="U31" s="24">
        <v>152.66666666666666</v>
      </c>
      <c r="V31" s="24">
        <v>155</v>
      </c>
      <c r="W31" s="24">
        <v>144.36666666666667</v>
      </c>
      <c r="X31" s="24">
        <v>149.93333333333334</v>
      </c>
      <c r="Y31" s="24">
        <v>153.19999999999999</v>
      </c>
      <c r="Z31" s="24">
        <v>137.56666666666666</v>
      </c>
      <c r="AA31" s="24">
        <v>150.03333333333333</v>
      </c>
      <c r="AB31" s="24">
        <v>159.9</v>
      </c>
      <c r="AC31" s="24">
        <v>149.19999999999999</v>
      </c>
      <c r="AD31" s="24">
        <v>149.06666666666666</v>
      </c>
      <c r="AE31" s="24">
        <v>151.33333333333331</v>
      </c>
      <c r="AF31" s="24" t="s">
        <v>113</v>
      </c>
    </row>
    <row r="32" spans="1:61">
      <c r="A32" s="31" t="s">
        <v>32</v>
      </c>
      <c r="B32" s="25">
        <v>2020</v>
      </c>
      <c r="C32" s="25" t="s">
        <v>37</v>
      </c>
      <c r="D32" s="25">
        <v>5</v>
      </c>
      <c r="E32" s="25">
        <v>148.36666666666665</v>
      </c>
      <c r="F32" s="25">
        <v>186.41666666666669</v>
      </c>
      <c r="G32" s="25">
        <v>149.20000000000002</v>
      </c>
      <c r="H32" s="25">
        <v>154.06666666666666</v>
      </c>
      <c r="I32" s="25">
        <v>137.16666666666666</v>
      </c>
      <c r="J32" s="25">
        <v>145.43333333333334</v>
      </c>
      <c r="K32" s="25">
        <v>155.46666666666667</v>
      </c>
      <c r="L32" s="25">
        <v>150.33333333333334</v>
      </c>
      <c r="M32" s="25">
        <v>115.56666666666666</v>
      </c>
      <c r="N32" s="25">
        <v>158.9</v>
      </c>
      <c r="O32" s="25">
        <v>140.33333333333334</v>
      </c>
      <c r="P32" s="25">
        <v>161.43333333333334</v>
      </c>
      <c r="Q32" s="25">
        <v>152</v>
      </c>
      <c r="R32" s="25">
        <v>180.53333333333333</v>
      </c>
      <c r="S32" s="25">
        <v>154.11666666666665</v>
      </c>
      <c r="T32" s="25">
        <v>148.65</v>
      </c>
      <c r="U32" s="25">
        <v>153.38333333333333</v>
      </c>
      <c r="V32" s="25">
        <v>155</v>
      </c>
      <c r="W32" s="25">
        <v>144.63333333333333</v>
      </c>
      <c r="X32" s="25">
        <v>150.81666666666666</v>
      </c>
      <c r="Y32" s="25">
        <v>155.69999999999999</v>
      </c>
      <c r="Z32" s="25">
        <v>139.48333333333335</v>
      </c>
      <c r="AA32" s="25">
        <v>151.61666666666665</v>
      </c>
      <c r="AB32" s="25">
        <v>160.85000000000002</v>
      </c>
      <c r="AC32" s="25">
        <v>150.19999999999999</v>
      </c>
      <c r="AD32" s="25">
        <v>150.38333333333333</v>
      </c>
      <c r="AE32" s="25">
        <v>152.01666666666665</v>
      </c>
      <c r="AF32" s="25" t="s">
        <v>113</v>
      </c>
    </row>
    <row r="33" spans="1:32">
      <c r="A33" s="32" t="s">
        <v>33</v>
      </c>
      <c r="B33" s="24">
        <v>2020</v>
      </c>
      <c r="C33" s="24" t="s">
        <v>37</v>
      </c>
      <c r="D33" s="24">
        <v>5</v>
      </c>
      <c r="E33" s="24">
        <v>148.19999999999999</v>
      </c>
      <c r="F33" s="24">
        <v>190.3</v>
      </c>
      <c r="G33" s="24">
        <v>149.4</v>
      </c>
      <c r="H33" s="24">
        <v>153.30000000000001</v>
      </c>
      <c r="I33" s="24">
        <v>138.19999999999999</v>
      </c>
      <c r="J33" s="24">
        <v>143.19999999999999</v>
      </c>
      <c r="K33" s="24">
        <v>148.9</v>
      </c>
      <c r="L33" s="24">
        <v>150.30000000000001</v>
      </c>
      <c r="M33" s="24">
        <v>113.2</v>
      </c>
      <c r="N33" s="24">
        <v>159.80000000000001</v>
      </c>
      <c r="O33" s="24">
        <v>142.1</v>
      </c>
      <c r="P33" s="24">
        <v>161.80000000000001</v>
      </c>
      <c r="Q33" s="24">
        <v>152.30000000000001</v>
      </c>
      <c r="R33" s="24">
        <v>182.4</v>
      </c>
      <c r="S33" s="24">
        <v>154.69999999999999</v>
      </c>
      <c r="T33" s="24">
        <v>150</v>
      </c>
      <c r="U33" s="24">
        <v>154.1</v>
      </c>
      <c r="V33" s="24">
        <v>155</v>
      </c>
      <c r="W33" s="24">
        <v>144.9</v>
      </c>
      <c r="X33" s="24">
        <v>151.69999999999999</v>
      </c>
      <c r="Y33" s="24">
        <v>158.19999999999999</v>
      </c>
      <c r="Z33" s="24">
        <v>141.4</v>
      </c>
      <c r="AA33" s="24">
        <v>153.19999999999999</v>
      </c>
      <c r="AB33" s="24">
        <v>161.80000000000001</v>
      </c>
      <c r="AC33" s="24">
        <v>151.19999999999999</v>
      </c>
      <c r="AD33" s="24">
        <v>151.69999999999999</v>
      </c>
      <c r="AE33" s="24">
        <v>152.69999999999999</v>
      </c>
      <c r="AF33" s="24" t="s">
        <v>113</v>
      </c>
    </row>
    <row r="34" spans="1:32">
      <c r="A34" s="31" t="s">
        <v>30</v>
      </c>
      <c r="B34" s="25">
        <v>2020</v>
      </c>
      <c r="C34" s="25" t="s">
        <v>38</v>
      </c>
      <c r="D34" s="25">
        <v>6</v>
      </c>
      <c r="E34" s="25">
        <v>148.19999999999999</v>
      </c>
      <c r="F34" s="25">
        <v>190.3</v>
      </c>
      <c r="G34" s="25">
        <v>149.4</v>
      </c>
      <c r="H34" s="25">
        <v>153.30000000000001</v>
      </c>
      <c r="I34" s="25">
        <v>138.19999999999999</v>
      </c>
      <c r="J34" s="25">
        <v>143.19999999999999</v>
      </c>
      <c r="K34" s="25">
        <v>148.9</v>
      </c>
      <c r="L34" s="25">
        <v>150.30000000000001</v>
      </c>
      <c r="M34" s="25">
        <v>113.2</v>
      </c>
      <c r="N34" s="25">
        <v>159.80000000000001</v>
      </c>
      <c r="O34" s="25">
        <v>142.1</v>
      </c>
      <c r="P34" s="25">
        <v>161.80000000000001</v>
      </c>
      <c r="Q34" s="25">
        <v>152.30000000000001</v>
      </c>
      <c r="R34" s="25">
        <v>182.4</v>
      </c>
      <c r="S34" s="25">
        <v>154.69999999999999</v>
      </c>
      <c r="T34" s="25">
        <v>150</v>
      </c>
      <c r="U34" s="25">
        <v>154.1</v>
      </c>
      <c r="V34" s="25">
        <v>155</v>
      </c>
      <c r="W34" s="25">
        <v>144.9</v>
      </c>
      <c r="X34" s="25">
        <v>151.69999999999999</v>
      </c>
      <c r="Y34" s="25">
        <v>158.19999999999999</v>
      </c>
      <c r="Z34" s="25">
        <v>141.4</v>
      </c>
      <c r="AA34" s="25">
        <v>153.19999999999999</v>
      </c>
      <c r="AB34" s="25">
        <v>161.80000000000001</v>
      </c>
      <c r="AC34" s="25">
        <v>151.19999999999999</v>
      </c>
      <c r="AD34" s="25">
        <v>151.69999999999999</v>
      </c>
      <c r="AE34" s="25">
        <v>152.69999999999999</v>
      </c>
      <c r="AF34" s="25" t="s">
        <v>113</v>
      </c>
    </row>
    <row r="35" spans="1:32">
      <c r="A35" s="32" t="s">
        <v>32</v>
      </c>
      <c r="B35" s="24">
        <v>2020</v>
      </c>
      <c r="C35" s="24" t="s">
        <v>38</v>
      </c>
      <c r="D35" s="24">
        <v>6</v>
      </c>
      <c r="E35" s="24">
        <v>152.69999999999999</v>
      </c>
      <c r="F35" s="24">
        <v>197</v>
      </c>
      <c r="G35" s="24">
        <v>154.6</v>
      </c>
      <c r="H35" s="24">
        <v>153.4</v>
      </c>
      <c r="I35" s="24">
        <v>132.9</v>
      </c>
      <c r="J35" s="24">
        <v>151.80000000000001</v>
      </c>
      <c r="K35" s="24">
        <v>171.2</v>
      </c>
      <c r="L35" s="24">
        <v>152</v>
      </c>
      <c r="M35" s="24">
        <v>116.3</v>
      </c>
      <c r="N35" s="24">
        <v>158.80000000000001</v>
      </c>
      <c r="O35" s="24">
        <v>135.6</v>
      </c>
      <c r="P35" s="24">
        <v>161.69999999999999</v>
      </c>
      <c r="Q35" s="24">
        <v>157</v>
      </c>
      <c r="R35" s="24">
        <v>186.7</v>
      </c>
      <c r="S35" s="24">
        <v>149.1</v>
      </c>
      <c r="T35" s="24">
        <v>136.6</v>
      </c>
      <c r="U35" s="24">
        <v>147.19999999999999</v>
      </c>
      <c r="V35" s="24">
        <v>154.69999999999999</v>
      </c>
      <c r="W35" s="24">
        <v>137.1</v>
      </c>
      <c r="X35" s="24">
        <v>140.4</v>
      </c>
      <c r="Y35" s="24">
        <v>148.1</v>
      </c>
      <c r="Z35" s="24">
        <v>129.30000000000001</v>
      </c>
      <c r="AA35" s="24">
        <v>144.5</v>
      </c>
      <c r="AB35" s="24">
        <v>152.5</v>
      </c>
      <c r="AC35" s="24">
        <v>152.19999999999999</v>
      </c>
      <c r="AD35" s="24">
        <v>142</v>
      </c>
      <c r="AE35" s="24">
        <v>150.80000000000001</v>
      </c>
      <c r="AF35" s="24" t="s">
        <v>113</v>
      </c>
    </row>
    <row r="36" spans="1:32">
      <c r="A36" s="31" t="s">
        <v>33</v>
      </c>
      <c r="B36" s="25">
        <v>2020</v>
      </c>
      <c r="C36" s="25" t="s">
        <v>38</v>
      </c>
      <c r="D36" s="25">
        <v>6</v>
      </c>
      <c r="E36" s="25">
        <v>149.6</v>
      </c>
      <c r="F36" s="25">
        <v>192.7</v>
      </c>
      <c r="G36" s="25">
        <v>151.4</v>
      </c>
      <c r="H36" s="25">
        <v>153.30000000000001</v>
      </c>
      <c r="I36" s="25">
        <v>136.30000000000001</v>
      </c>
      <c r="J36" s="25">
        <v>147.19999999999999</v>
      </c>
      <c r="K36" s="25">
        <v>156.5</v>
      </c>
      <c r="L36" s="25">
        <v>150.9</v>
      </c>
      <c r="M36" s="25">
        <v>114.2</v>
      </c>
      <c r="N36" s="25">
        <v>159.5</v>
      </c>
      <c r="O36" s="25">
        <v>139.4</v>
      </c>
      <c r="P36" s="25">
        <v>161.80000000000001</v>
      </c>
      <c r="Q36" s="25">
        <v>154</v>
      </c>
      <c r="R36" s="25">
        <v>183.5</v>
      </c>
      <c r="S36" s="25">
        <v>152.5</v>
      </c>
      <c r="T36" s="25">
        <v>144.4</v>
      </c>
      <c r="U36" s="25">
        <v>151.4</v>
      </c>
      <c r="V36" s="25">
        <v>154.69999999999999</v>
      </c>
      <c r="W36" s="25">
        <v>141.9</v>
      </c>
      <c r="X36" s="25">
        <v>146.4</v>
      </c>
      <c r="Y36" s="25">
        <v>154.4</v>
      </c>
      <c r="Z36" s="25">
        <v>135</v>
      </c>
      <c r="AA36" s="25">
        <v>148.30000000000001</v>
      </c>
      <c r="AB36" s="25">
        <v>156.4</v>
      </c>
      <c r="AC36" s="25">
        <v>151.6</v>
      </c>
      <c r="AD36" s="25">
        <v>147</v>
      </c>
      <c r="AE36" s="25">
        <v>151.80000000000001</v>
      </c>
      <c r="AF36" s="25" t="s">
        <v>113</v>
      </c>
    </row>
    <row r="37" spans="1:32">
      <c r="A37" s="32" t="s">
        <v>30</v>
      </c>
      <c r="B37" s="24">
        <v>2020</v>
      </c>
      <c r="C37" s="24" t="s">
        <v>39</v>
      </c>
      <c r="D37" s="24">
        <v>7</v>
      </c>
      <c r="E37" s="24">
        <v>148.19999999999999</v>
      </c>
      <c r="F37" s="24">
        <v>190.3</v>
      </c>
      <c r="G37" s="24">
        <v>149.4</v>
      </c>
      <c r="H37" s="24">
        <v>153.30000000000001</v>
      </c>
      <c r="I37" s="24">
        <v>138.19999999999999</v>
      </c>
      <c r="J37" s="24">
        <v>143.19999999999999</v>
      </c>
      <c r="K37" s="24">
        <v>148.9</v>
      </c>
      <c r="L37" s="24">
        <v>150.30000000000001</v>
      </c>
      <c r="M37" s="24">
        <v>113.2</v>
      </c>
      <c r="N37" s="24">
        <v>159.80000000000001</v>
      </c>
      <c r="O37" s="24">
        <v>142.1</v>
      </c>
      <c r="P37" s="24">
        <v>161.80000000000001</v>
      </c>
      <c r="Q37" s="24">
        <v>152.30000000000001</v>
      </c>
      <c r="R37" s="24">
        <v>182.4</v>
      </c>
      <c r="S37" s="24">
        <v>154.69999999999999</v>
      </c>
      <c r="T37" s="24">
        <v>150</v>
      </c>
      <c r="U37" s="24">
        <v>154.1</v>
      </c>
      <c r="V37" s="24">
        <v>155</v>
      </c>
      <c r="W37" s="24">
        <v>144.9</v>
      </c>
      <c r="X37" s="24">
        <v>151.69999999999999</v>
      </c>
      <c r="Y37" s="24">
        <v>158.19999999999999</v>
      </c>
      <c r="Z37" s="24">
        <v>141.4</v>
      </c>
      <c r="AA37" s="24">
        <v>153.19999999999999</v>
      </c>
      <c r="AB37" s="24">
        <v>161.80000000000001</v>
      </c>
      <c r="AC37" s="24">
        <v>151.19999999999999</v>
      </c>
      <c r="AD37" s="24">
        <v>151.69999999999999</v>
      </c>
      <c r="AE37" s="24">
        <v>152.69999999999999</v>
      </c>
      <c r="AF37" s="24" t="s">
        <v>113</v>
      </c>
    </row>
    <row r="38" spans="1:32">
      <c r="A38" s="31" t="s">
        <v>32</v>
      </c>
      <c r="B38" s="25">
        <v>2020</v>
      </c>
      <c r="C38" s="25" t="s">
        <v>39</v>
      </c>
      <c r="D38" s="25">
        <v>7</v>
      </c>
      <c r="E38" s="25">
        <v>152.69999999999999</v>
      </c>
      <c r="F38" s="25">
        <v>197</v>
      </c>
      <c r="G38" s="25">
        <v>154.6</v>
      </c>
      <c r="H38" s="25">
        <v>153.4</v>
      </c>
      <c r="I38" s="25">
        <v>132.9</v>
      </c>
      <c r="J38" s="25">
        <v>151.80000000000001</v>
      </c>
      <c r="K38" s="25">
        <v>171.2</v>
      </c>
      <c r="L38" s="25">
        <v>152</v>
      </c>
      <c r="M38" s="25">
        <v>116.3</v>
      </c>
      <c r="N38" s="25">
        <v>158.80000000000001</v>
      </c>
      <c r="O38" s="25">
        <v>135.6</v>
      </c>
      <c r="P38" s="25">
        <v>161.69999999999999</v>
      </c>
      <c r="Q38" s="25">
        <v>157</v>
      </c>
      <c r="R38" s="25">
        <v>186.7</v>
      </c>
      <c r="S38" s="25">
        <v>149.1</v>
      </c>
      <c r="T38" s="25">
        <v>136.6</v>
      </c>
      <c r="U38" s="25">
        <v>147.19999999999999</v>
      </c>
      <c r="V38" s="25">
        <v>154.69999999999999</v>
      </c>
      <c r="W38" s="25">
        <v>137.1</v>
      </c>
      <c r="X38" s="25">
        <v>140.4</v>
      </c>
      <c r="Y38" s="25">
        <v>148.1</v>
      </c>
      <c r="Z38" s="25">
        <v>129.30000000000001</v>
      </c>
      <c r="AA38" s="25">
        <v>144.5</v>
      </c>
      <c r="AB38" s="25">
        <v>152.5</v>
      </c>
      <c r="AC38" s="25">
        <v>152.19999999999999</v>
      </c>
      <c r="AD38" s="25">
        <v>142</v>
      </c>
      <c r="AE38" s="25">
        <v>150.80000000000001</v>
      </c>
      <c r="AF38" s="25" t="s">
        <v>113</v>
      </c>
    </row>
    <row r="39" spans="1:32">
      <c r="A39" s="32" t="s">
        <v>33</v>
      </c>
      <c r="B39" s="24">
        <v>2020</v>
      </c>
      <c r="C39" s="24" t="s">
        <v>39</v>
      </c>
      <c r="D39" s="24">
        <v>7</v>
      </c>
      <c r="E39" s="24">
        <v>149.6</v>
      </c>
      <c r="F39" s="24">
        <v>192.7</v>
      </c>
      <c r="G39" s="24">
        <v>151.4</v>
      </c>
      <c r="H39" s="24">
        <v>153.30000000000001</v>
      </c>
      <c r="I39" s="24">
        <v>136.30000000000001</v>
      </c>
      <c r="J39" s="24">
        <v>147.19999999999999</v>
      </c>
      <c r="K39" s="24">
        <v>156.5</v>
      </c>
      <c r="L39" s="24">
        <v>150.9</v>
      </c>
      <c r="M39" s="24">
        <v>114.2</v>
      </c>
      <c r="N39" s="24">
        <v>159.5</v>
      </c>
      <c r="O39" s="24">
        <v>139.4</v>
      </c>
      <c r="P39" s="24">
        <v>161.80000000000001</v>
      </c>
      <c r="Q39" s="24">
        <v>154</v>
      </c>
      <c r="R39" s="24">
        <v>183.5</v>
      </c>
      <c r="S39" s="24">
        <v>152.5</v>
      </c>
      <c r="T39" s="24">
        <v>144.4</v>
      </c>
      <c r="U39" s="24">
        <v>151.4</v>
      </c>
      <c r="V39" s="24">
        <v>154.69999999999999</v>
      </c>
      <c r="W39" s="24">
        <v>141.9</v>
      </c>
      <c r="X39" s="24">
        <v>146.4</v>
      </c>
      <c r="Y39" s="24">
        <v>154.4</v>
      </c>
      <c r="Z39" s="24">
        <v>135</v>
      </c>
      <c r="AA39" s="24">
        <v>148.30000000000001</v>
      </c>
      <c r="AB39" s="24">
        <v>156.4</v>
      </c>
      <c r="AC39" s="24">
        <v>151.6</v>
      </c>
      <c r="AD39" s="24">
        <v>147</v>
      </c>
      <c r="AE39" s="24">
        <v>151.80000000000001</v>
      </c>
      <c r="AF39" s="24" t="s">
        <v>113</v>
      </c>
    </row>
    <row r="40" spans="1:32">
      <c r="A40" s="31" t="s">
        <v>30</v>
      </c>
      <c r="B40" s="25">
        <v>2020</v>
      </c>
      <c r="C40" s="25" t="s">
        <v>40</v>
      </c>
      <c r="D40" s="25">
        <v>8</v>
      </c>
      <c r="E40" s="25">
        <v>147.6</v>
      </c>
      <c r="F40" s="25">
        <v>187.2</v>
      </c>
      <c r="G40" s="25">
        <v>148.4</v>
      </c>
      <c r="H40" s="25">
        <v>153.30000000000001</v>
      </c>
      <c r="I40" s="25">
        <v>139.80000000000001</v>
      </c>
      <c r="J40" s="25">
        <v>146.9</v>
      </c>
      <c r="K40" s="25">
        <v>171</v>
      </c>
      <c r="L40" s="25">
        <v>149.9</v>
      </c>
      <c r="M40" s="25">
        <v>114.2</v>
      </c>
      <c r="N40" s="25">
        <v>160</v>
      </c>
      <c r="O40" s="25">
        <v>143.5</v>
      </c>
      <c r="P40" s="25">
        <v>161.5</v>
      </c>
      <c r="Q40" s="25">
        <v>155.30000000000001</v>
      </c>
      <c r="R40" s="25">
        <v>180.9</v>
      </c>
      <c r="S40" s="25">
        <v>155.1</v>
      </c>
      <c r="T40" s="25">
        <v>149.30000000000001</v>
      </c>
      <c r="U40" s="25">
        <v>154.30000000000001</v>
      </c>
      <c r="V40" s="25">
        <v>155.9</v>
      </c>
      <c r="W40" s="25">
        <v>145.80000000000001</v>
      </c>
      <c r="X40" s="25">
        <v>151.9</v>
      </c>
      <c r="Y40" s="25">
        <v>158.80000000000001</v>
      </c>
      <c r="Z40" s="25">
        <v>143.6</v>
      </c>
      <c r="AA40" s="25">
        <v>152.19999999999999</v>
      </c>
      <c r="AB40" s="25">
        <v>162.69999999999999</v>
      </c>
      <c r="AC40" s="25">
        <v>153.6</v>
      </c>
      <c r="AD40" s="25">
        <v>153</v>
      </c>
      <c r="AE40" s="25">
        <v>154.69999999999999</v>
      </c>
      <c r="AF40" s="25" t="s">
        <v>113</v>
      </c>
    </row>
    <row r="41" spans="1:32">
      <c r="A41" s="32" t="s">
        <v>32</v>
      </c>
      <c r="B41" s="24">
        <v>2020</v>
      </c>
      <c r="C41" s="24" t="s">
        <v>40</v>
      </c>
      <c r="D41" s="24">
        <v>8</v>
      </c>
      <c r="E41" s="24">
        <v>151.6</v>
      </c>
      <c r="F41" s="24">
        <v>197.8</v>
      </c>
      <c r="G41" s="24">
        <v>154.5</v>
      </c>
      <c r="H41" s="24">
        <v>153.4</v>
      </c>
      <c r="I41" s="24">
        <v>133.4</v>
      </c>
      <c r="J41" s="24">
        <v>154.5</v>
      </c>
      <c r="K41" s="24">
        <v>191.9</v>
      </c>
      <c r="L41" s="24">
        <v>151.30000000000001</v>
      </c>
      <c r="M41" s="24">
        <v>116.8</v>
      </c>
      <c r="N41" s="24">
        <v>160</v>
      </c>
      <c r="O41" s="24">
        <v>136.5</v>
      </c>
      <c r="P41" s="24">
        <v>163.30000000000001</v>
      </c>
      <c r="Q41" s="24">
        <v>159.9</v>
      </c>
      <c r="R41" s="24">
        <v>187.2</v>
      </c>
      <c r="S41" s="24">
        <v>150</v>
      </c>
      <c r="T41" s="24">
        <v>135.19999999999999</v>
      </c>
      <c r="U41" s="24">
        <v>147.80000000000001</v>
      </c>
      <c r="V41" s="24">
        <v>155.5</v>
      </c>
      <c r="W41" s="24">
        <v>138.30000000000001</v>
      </c>
      <c r="X41" s="24">
        <v>144.5</v>
      </c>
      <c r="Y41" s="24">
        <v>148.69999999999999</v>
      </c>
      <c r="Z41" s="24">
        <v>133.9</v>
      </c>
      <c r="AA41" s="24">
        <v>141.19999999999999</v>
      </c>
      <c r="AB41" s="24">
        <v>155.5</v>
      </c>
      <c r="AC41" s="24">
        <v>155.19999999999999</v>
      </c>
      <c r="AD41" s="24">
        <v>144.80000000000001</v>
      </c>
      <c r="AE41" s="24">
        <v>152.9</v>
      </c>
      <c r="AF41" s="24" t="s">
        <v>113</v>
      </c>
    </row>
    <row r="42" spans="1:32">
      <c r="A42" s="31" t="s">
        <v>33</v>
      </c>
      <c r="B42" s="25">
        <v>2020</v>
      </c>
      <c r="C42" s="25" t="s">
        <v>40</v>
      </c>
      <c r="D42" s="25">
        <v>8</v>
      </c>
      <c r="E42" s="25">
        <v>148.9</v>
      </c>
      <c r="F42" s="25">
        <v>190.9</v>
      </c>
      <c r="G42" s="25">
        <v>150.80000000000001</v>
      </c>
      <c r="H42" s="25">
        <v>153.30000000000001</v>
      </c>
      <c r="I42" s="25">
        <v>137.4</v>
      </c>
      <c r="J42" s="25">
        <v>150.4</v>
      </c>
      <c r="K42" s="25">
        <v>178.1</v>
      </c>
      <c r="L42" s="25">
        <v>150.4</v>
      </c>
      <c r="M42" s="25">
        <v>115.1</v>
      </c>
      <c r="N42" s="25">
        <v>160</v>
      </c>
      <c r="O42" s="25">
        <v>140.6</v>
      </c>
      <c r="P42" s="25">
        <v>162.30000000000001</v>
      </c>
      <c r="Q42" s="25">
        <v>157</v>
      </c>
      <c r="R42" s="25">
        <v>182.6</v>
      </c>
      <c r="S42" s="25">
        <v>153.1</v>
      </c>
      <c r="T42" s="25">
        <v>143.4</v>
      </c>
      <c r="U42" s="25">
        <v>151.69999999999999</v>
      </c>
      <c r="V42" s="25">
        <v>155.5</v>
      </c>
      <c r="W42" s="25">
        <v>143</v>
      </c>
      <c r="X42" s="25">
        <v>148.4</v>
      </c>
      <c r="Y42" s="25">
        <v>155</v>
      </c>
      <c r="Z42" s="25">
        <v>138.5</v>
      </c>
      <c r="AA42" s="25">
        <v>146</v>
      </c>
      <c r="AB42" s="25">
        <v>158.5</v>
      </c>
      <c r="AC42" s="25">
        <v>154.30000000000001</v>
      </c>
      <c r="AD42" s="25">
        <v>149</v>
      </c>
      <c r="AE42" s="25">
        <v>153.9</v>
      </c>
      <c r="AF42" s="25" t="s">
        <v>113</v>
      </c>
    </row>
    <row r="43" spans="1:32">
      <c r="A43" s="32" t="s">
        <v>30</v>
      </c>
      <c r="B43" s="24">
        <v>2020</v>
      </c>
      <c r="C43" s="24" t="s">
        <v>41</v>
      </c>
      <c r="D43" s="24">
        <v>9</v>
      </c>
      <c r="E43" s="24">
        <v>146.9</v>
      </c>
      <c r="F43" s="24">
        <v>183.9</v>
      </c>
      <c r="G43" s="24">
        <v>149.5</v>
      </c>
      <c r="H43" s="24">
        <v>153.4</v>
      </c>
      <c r="I43" s="24">
        <v>140.4</v>
      </c>
      <c r="J43" s="24">
        <v>147</v>
      </c>
      <c r="K43" s="24">
        <v>178.8</v>
      </c>
      <c r="L43" s="24">
        <v>149.30000000000001</v>
      </c>
      <c r="M43" s="24">
        <v>115.1</v>
      </c>
      <c r="N43" s="24">
        <v>160</v>
      </c>
      <c r="O43" s="24">
        <v>145.4</v>
      </c>
      <c r="P43" s="24">
        <v>161.6</v>
      </c>
      <c r="Q43" s="24">
        <v>156.1</v>
      </c>
      <c r="R43" s="24">
        <v>182.9</v>
      </c>
      <c r="S43" s="24">
        <v>155.4</v>
      </c>
      <c r="T43" s="24">
        <v>149.9</v>
      </c>
      <c r="U43" s="24">
        <v>154.6</v>
      </c>
      <c r="V43" s="24">
        <v>155.9</v>
      </c>
      <c r="W43" s="24">
        <v>146.4</v>
      </c>
      <c r="X43" s="24">
        <v>151.6</v>
      </c>
      <c r="Y43" s="24">
        <v>159.1</v>
      </c>
      <c r="Z43" s="24">
        <v>144.6</v>
      </c>
      <c r="AA43" s="24">
        <v>152.80000000000001</v>
      </c>
      <c r="AB43" s="24">
        <v>161.1</v>
      </c>
      <c r="AC43" s="24">
        <v>157.4</v>
      </c>
      <c r="AD43" s="24">
        <v>153.69999999999999</v>
      </c>
      <c r="AE43" s="24">
        <v>155.4</v>
      </c>
      <c r="AF43" s="24" t="s">
        <v>113</v>
      </c>
    </row>
    <row r="44" spans="1:32">
      <c r="A44" s="31" t="s">
        <v>32</v>
      </c>
      <c r="B44" s="25">
        <v>2020</v>
      </c>
      <c r="C44" s="25" t="s">
        <v>41</v>
      </c>
      <c r="D44" s="25">
        <v>9</v>
      </c>
      <c r="E44" s="25">
        <v>151.5</v>
      </c>
      <c r="F44" s="25">
        <v>193.1</v>
      </c>
      <c r="G44" s="25">
        <v>157.30000000000001</v>
      </c>
      <c r="H44" s="25">
        <v>153.9</v>
      </c>
      <c r="I44" s="25">
        <v>134.4</v>
      </c>
      <c r="J44" s="25">
        <v>155.4</v>
      </c>
      <c r="K44" s="25">
        <v>202</v>
      </c>
      <c r="L44" s="25">
        <v>150.80000000000001</v>
      </c>
      <c r="M44" s="25">
        <v>118.9</v>
      </c>
      <c r="N44" s="25">
        <v>160.9</v>
      </c>
      <c r="O44" s="25">
        <v>137.69999999999999</v>
      </c>
      <c r="P44" s="25">
        <v>164.4</v>
      </c>
      <c r="Q44" s="25">
        <v>161.30000000000001</v>
      </c>
      <c r="R44" s="25">
        <v>188.7</v>
      </c>
      <c r="S44" s="25">
        <v>150.19999999999999</v>
      </c>
      <c r="T44" s="25">
        <v>136.30000000000001</v>
      </c>
      <c r="U44" s="25">
        <v>148.1</v>
      </c>
      <c r="V44" s="25">
        <v>156.30000000000001</v>
      </c>
      <c r="W44" s="25">
        <v>137.19999999999999</v>
      </c>
      <c r="X44" s="25">
        <v>145.4</v>
      </c>
      <c r="Y44" s="25">
        <v>150</v>
      </c>
      <c r="Z44" s="25">
        <v>135.1</v>
      </c>
      <c r="AA44" s="25">
        <v>141.80000000000001</v>
      </c>
      <c r="AB44" s="25">
        <v>154.9</v>
      </c>
      <c r="AC44" s="25">
        <v>159.80000000000001</v>
      </c>
      <c r="AD44" s="25">
        <v>146</v>
      </c>
      <c r="AE44" s="25">
        <v>154</v>
      </c>
      <c r="AF44" s="25" t="s">
        <v>113</v>
      </c>
    </row>
    <row r="45" spans="1:32">
      <c r="A45" s="32" t="s">
        <v>33</v>
      </c>
      <c r="B45" s="24">
        <v>2020</v>
      </c>
      <c r="C45" s="24" t="s">
        <v>41</v>
      </c>
      <c r="D45" s="24">
        <v>9</v>
      </c>
      <c r="E45" s="24">
        <v>148.4</v>
      </c>
      <c r="F45" s="24">
        <v>187.1</v>
      </c>
      <c r="G45" s="24">
        <v>152.5</v>
      </c>
      <c r="H45" s="24">
        <v>153.6</v>
      </c>
      <c r="I45" s="24">
        <v>138.19999999999999</v>
      </c>
      <c r="J45" s="24">
        <v>150.9</v>
      </c>
      <c r="K45" s="24">
        <v>186.7</v>
      </c>
      <c r="L45" s="24">
        <v>149.80000000000001</v>
      </c>
      <c r="M45" s="24">
        <v>116.4</v>
      </c>
      <c r="N45" s="24">
        <v>160.30000000000001</v>
      </c>
      <c r="O45" s="24">
        <v>142.19999999999999</v>
      </c>
      <c r="P45" s="24">
        <v>162.9</v>
      </c>
      <c r="Q45" s="24">
        <v>158</v>
      </c>
      <c r="R45" s="24">
        <v>184.4</v>
      </c>
      <c r="S45" s="24">
        <v>153.4</v>
      </c>
      <c r="T45" s="24">
        <v>144.30000000000001</v>
      </c>
      <c r="U45" s="24">
        <v>152</v>
      </c>
      <c r="V45" s="24">
        <v>156.30000000000001</v>
      </c>
      <c r="W45" s="24">
        <v>142.9</v>
      </c>
      <c r="X45" s="24">
        <v>148.69999999999999</v>
      </c>
      <c r="Y45" s="24">
        <v>155.6</v>
      </c>
      <c r="Z45" s="24">
        <v>139.6</v>
      </c>
      <c r="AA45" s="24">
        <v>146.6</v>
      </c>
      <c r="AB45" s="24">
        <v>157.5</v>
      </c>
      <c r="AC45" s="24">
        <v>158.4</v>
      </c>
      <c r="AD45" s="24">
        <v>150</v>
      </c>
      <c r="AE45" s="24">
        <v>154.69999999999999</v>
      </c>
      <c r="AF45" s="24" t="s">
        <v>113</v>
      </c>
    </row>
    <row r="46" spans="1:32">
      <c r="A46" s="31" t="s">
        <v>30</v>
      </c>
      <c r="B46" s="25">
        <v>2020</v>
      </c>
      <c r="C46" s="25" t="s">
        <v>42</v>
      </c>
      <c r="D46" s="25">
        <v>10</v>
      </c>
      <c r="E46" s="25">
        <v>146</v>
      </c>
      <c r="F46" s="25">
        <v>186.3</v>
      </c>
      <c r="G46" s="25">
        <v>159.19999999999999</v>
      </c>
      <c r="H46" s="25">
        <v>153.6</v>
      </c>
      <c r="I46" s="25">
        <v>142.6</v>
      </c>
      <c r="J46" s="25">
        <v>147.19999999999999</v>
      </c>
      <c r="K46" s="25">
        <v>200.6</v>
      </c>
      <c r="L46" s="25">
        <v>150.30000000000001</v>
      </c>
      <c r="M46" s="25">
        <v>115.3</v>
      </c>
      <c r="N46" s="25">
        <v>160.9</v>
      </c>
      <c r="O46" s="25">
        <v>147.4</v>
      </c>
      <c r="P46" s="25">
        <v>161.9</v>
      </c>
      <c r="Q46" s="25">
        <v>159.6</v>
      </c>
      <c r="R46" s="25">
        <v>182.7</v>
      </c>
      <c r="S46" s="25">
        <v>155.69999999999999</v>
      </c>
      <c r="T46" s="25">
        <v>150.6</v>
      </c>
      <c r="U46" s="25">
        <v>155</v>
      </c>
      <c r="V46" s="25">
        <v>157.25</v>
      </c>
      <c r="W46" s="25">
        <v>146.80000000000001</v>
      </c>
      <c r="X46" s="25">
        <v>152</v>
      </c>
      <c r="Y46" s="25">
        <v>159.5</v>
      </c>
      <c r="Z46" s="25">
        <v>146.4</v>
      </c>
      <c r="AA46" s="25">
        <v>152.4</v>
      </c>
      <c r="AB46" s="25">
        <v>162.5</v>
      </c>
      <c r="AC46" s="25">
        <v>156.19999999999999</v>
      </c>
      <c r="AD46" s="25">
        <v>154.30000000000001</v>
      </c>
      <c r="AE46" s="25">
        <v>157.5</v>
      </c>
      <c r="AF46" s="25" t="s">
        <v>113</v>
      </c>
    </row>
    <row r="47" spans="1:32">
      <c r="A47" s="32" t="s">
        <v>32</v>
      </c>
      <c r="B47" s="24">
        <v>2020</v>
      </c>
      <c r="C47" s="24" t="s">
        <v>42</v>
      </c>
      <c r="D47" s="24">
        <v>10</v>
      </c>
      <c r="E47" s="24">
        <v>150.6</v>
      </c>
      <c r="F47" s="24">
        <v>193.7</v>
      </c>
      <c r="G47" s="24">
        <v>164.8</v>
      </c>
      <c r="H47" s="24">
        <v>153.69999999999999</v>
      </c>
      <c r="I47" s="24">
        <v>135.69999999999999</v>
      </c>
      <c r="J47" s="24">
        <v>155.69999999999999</v>
      </c>
      <c r="K47" s="24">
        <v>226</v>
      </c>
      <c r="L47" s="24">
        <v>152.19999999999999</v>
      </c>
      <c r="M47" s="24">
        <v>118.1</v>
      </c>
      <c r="N47" s="24">
        <v>161.30000000000001</v>
      </c>
      <c r="O47" s="24">
        <v>139.19999999999999</v>
      </c>
      <c r="P47" s="24">
        <v>164.8</v>
      </c>
      <c r="Q47" s="24">
        <v>164.4</v>
      </c>
      <c r="R47" s="24">
        <v>188.7</v>
      </c>
      <c r="S47" s="24">
        <v>150.5</v>
      </c>
      <c r="T47" s="24">
        <v>136.1</v>
      </c>
      <c r="U47" s="24">
        <v>148.30000000000001</v>
      </c>
      <c r="V47" s="24">
        <v>156.5</v>
      </c>
      <c r="W47" s="24">
        <v>137.1</v>
      </c>
      <c r="X47" s="24">
        <v>145.1</v>
      </c>
      <c r="Y47" s="24">
        <v>151</v>
      </c>
      <c r="Z47" s="24">
        <v>135.4</v>
      </c>
      <c r="AA47" s="24">
        <v>142</v>
      </c>
      <c r="AB47" s="24">
        <v>155.69999999999999</v>
      </c>
      <c r="AC47" s="24">
        <v>158.1</v>
      </c>
      <c r="AD47" s="24">
        <v>146.19999999999999</v>
      </c>
      <c r="AE47" s="24">
        <v>155.19999999999999</v>
      </c>
      <c r="AF47" s="24" t="s">
        <v>113</v>
      </c>
    </row>
    <row r="48" spans="1:32">
      <c r="A48" s="31" t="s">
        <v>33</v>
      </c>
      <c r="B48" s="25">
        <v>2020</v>
      </c>
      <c r="C48" s="25" t="s">
        <v>42</v>
      </c>
      <c r="D48" s="25">
        <v>10</v>
      </c>
      <c r="E48" s="25">
        <v>147.5</v>
      </c>
      <c r="F48" s="25">
        <v>188.9</v>
      </c>
      <c r="G48" s="25">
        <v>161.4</v>
      </c>
      <c r="H48" s="25">
        <v>153.6</v>
      </c>
      <c r="I48" s="25">
        <v>140.1</v>
      </c>
      <c r="J48" s="25">
        <v>151.19999999999999</v>
      </c>
      <c r="K48" s="25">
        <v>209.2</v>
      </c>
      <c r="L48" s="25">
        <v>150.9</v>
      </c>
      <c r="M48" s="25">
        <v>116.2</v>
      </c>
      <c r="N48" s="25">
        <v>161</v>
      </c>
      <c r="O48" s="25">
        <v>144</v>
      </c>
      <c r="P48" s="25">
        <v>163.19999999999999</v>
      </c>
      <c r="Q48" s="25">
        <v>161.4</v>
      </c>
      <c r="R48" s="25">
        <v>184.3</v>
      </c>
      <c r="S48" s="25">
        <v>153.69999999999999</v>
      </c>
      <c r="T48" s="25">
        <v>144.6</v>
      </c>
      <c r="U48" s="25">
        <v>152.30000000000001</v>
      </c>
      <c r="V48" s="25">
        <v>156.5</v>
      </c>
      <c r="W48" s="25">
        <v>143.1</v>
      </c>
      <c r="X48" s="25">
        <v>148.69999999999999</v>
      </c>
      <c r="Y48" s="25">
        <v>156.30000000000001</v>
      </c>
      <c r="Z48" s="25">
        <v>140.6</v>
      </c>
      <c r="AA48" s="25">
        <v>146.5</v>
      </c>
      <c r="AB48" s="25">
        <v>158.5</v>
      </c>
      <c r="AC48" s="25">
        <v>157</v>
      </c>
      <c r="AD48" s="25">
        <v>150.4</v>
      </c>
      <c r="AE48" s="25">
        <v>156.4</v>
      </c>
      <c r="AF48" s="25" t="s">
        <v>113</v>
      </c>
    </row>
  </sheetData>
  <mergeCells count="2">
    <mergeCell ref="A1:AF2"/>
    <mergeCell ref="A25:AF26"/>
  </mergeCells>
  <phoneticPr fontId="13" type="noConversion"/>
  <pageMargins left="0.7" right="0.7" top="0.75" bottom="0.75" header="0.3" footer="0.3"/>
  <drawing r:id="rId3"/>
  <tableParts count="2"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E0D93-8259-48A6-956D-2E7225DF8CB3}">
  <dimension ref="A1:AR32"/>
  <sheetViews>
    <sheetView zoomScale="20" zoomScaleNormal="20" workbookViewId="0">
      <selection activeCell="AF43" sqref="AF43"/>
    </sheetView>
  </sheetViews>
  <sheetFormatPr defaultRowHeight="14.4"/>
  <cols>
    <col min="1" max="1" width="34.6640625" customWidth="1"/>
    <col min="2" max="2" width="17.5546875" customWidth="1"/>
    <col min="3" max="3" width="15.33203125" customWidth="1"/>
    <col min="4" max="4" width="11.109375" customWidth="1"/>
    <col min="5" max="5" width="9" customWidth="1"/>
    <col min="6" max="6" width="7.33203125" customWidth="1"/>
    <col min="7" max="7" width="7.77734375" customWidth="1"/>
    <col min="8" max="8" width="7.5546875" customWidth="1"/>
    <col min="9" max="9" width="11.6640625" customWidth="1"/>
    <col min="10" max="10" width="17.21875" customWidth="1"/>
    <col min="11" max="11" width="14" customWidth="1"/>
    <col min="12" max="12" width="16.33203125" customWidth="1"/>
    <col min="13" max="13" width="16.109375" customWidth="1"/>
    <col min="14" max="14" width="9.77734375" customWidth="1"/>
    <col min="20" max="20" width="12.5546875" customWidth="1"/>
    <col min="21" max="23" width="19.88671875" customWidth="1"/>
    <col min="24" max="24" width="27.44140625" customWidth="1"/>
    <col min="25" max="25" width="10.33203125" customWidth="1"/>
    <col min="26" max="26" width="27.5546875" customWidth="1"/>
    <col min="30" max="30" width="44.5546875" customWidth="1"/>
    <col min="31" max="31" width="12" customWidth="1"/>
    <col min="32" max="33" width="11" customWidth="1"/>
    <col min="34" max="34" width="25.6640625" customWidth="1"/>
    <col min="36" max="36" width="47" customWidth="1"/>
    <col min="37" max="37" width="11.5546875" customWidth="1"/>
    <col min="39" max="39" width="47" customWidth="1"/>
    <col min="40" max="40" width="42.44140625" customWidth="1"/>
    <col min="42" max="42" width="47" customWidth="1"/>
    <col min="43" max="43" width="6.109375" customWidth="1"/>
    <col min="44" max="44" width="9.44140625" customWidth="1"/>
    <col min="45" max="45" width="17.88671875" customWidth="1"/>
    <col min="46" max="46" width="11.88671875" bestFit="1" customWidth="1"/>
    <col min="47" max="47" width="6.33203125" bestFit="1" customWidth="1"/>
    <col min="48" max="48" width="15.77734375" bestFit="1" customWidth="1"/>
    <col min="49" max="49" width="10.6640625" bestFit="1" customWidth="1"/>
    <col min="50" max="50" width="9.6640625" bestFit="1" customWidth="1"/>
    <col min="51" max="51" width="9.5546875" bestFit="1" customWidth="1"/>
    <col min="52" max="52" width="17.33203125" bestFit="1" customWidth="1"/>
    <col min="53" max="53" width="20.88671875" bestFit="1" customWidth="1"/>
    <col min="54" max="54" width="9.6640625" bestFit="1" customWidth="1"/>
    <col min="57" max="57" width="46.77734375" bestFit="1" customWidth="1"/>
    <col min="58" max="58" width="12.77734375" bestFit="1" customWidth="1"/>
    <col min="59" max="59" width="12.77734375" customWidth="1"/>
    <col min="60" max="60" width="46.77734375" bestFit="1" customWidth="1"/>
    <col min="61" max="61" width="48.6640625" bestFit="1" customWidth="1"/>
    <col min="62" max="62" width="8" bestFit="1" customWidth="1"/>
    <col min="63" max="63" width="46.77734375" bestFit="1" customWidth="1"/>
    <col min="64" max="64" width="9.33203125" bestFit="1" customWidth="1"/>
  </cols>
  <sheetData>
    <row r="1" spans="1:44">
      <c r="A1" s="109" t="s">
        <v>206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1"/>
    </row>
    <row r="2" spans="1:44" ht="14.4" customHeight="1">
      <c r="A2" s="124"/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6"/>
      <c r="T2" s="37" t="s">
        <v>2</v>
      </c>
      <c r="U2" s="38" t="s">
        <v>61</v>
      </c>
      <c r="V2" s="39" t="s">
        <v>162</v>
      </c>
      <c r="W2" s="38" t="s">
        <v>62</v>
      </c>
      <c r="X2" s="39" t="s">
        <v>164</v>
      </c>
      <c r="Y2" s="38" t="s">
        <v>63</v>
      </c>
      <c r="Z2" s="40" t="s">
        <v>163</v>
      </c>
      <c r="AD2" s="127" t="s">
        <v>188</v>
      </c>
      <c r="AE2" s="127"/>
      <c r="AJ2" s="128" t="s">
        <v>189</v>
      </c>
      <c r="AK2" s="129"/>
      <c r="AN2" s="132" t="s">
        <v>190</v>
      </c>
      <c r="AO2" s="132"/>
    </row>
    <row r="3" spans="1:44" ht="14.4" customHeight="1">
      <c r="A3" s="112"/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4"/>
      <c r="T3" s="36" t="s">
        <v>150</v>
      </c>
      <c r="U3" s="61">
        <v>55990.924602459359</v>
      </c>
      <c r="V3" s="52"/>
      <c r="W3" s="61">
        <v>86692.515382787504</v>
      </c>
      <c r="X3" s="52"/>
      <c r="Y3" s="61">
        <v>92441.854830099124</v>
      </c>
      <c r="Z3" s="52"/>
      <c r="AD3" s="127"/>
      <c r="AE3" s="127"/>
      <c r="AJ3" s="130"/>
      <c r="AK3" s="131"/>
      <c r="AN3" s="132"/>
      <c r="AO3" s="132"/>
    </row>
    <row r="4" spans="1:44">
      <c r="A4" s="133" t="s">
        <v>191</v>
      </c>
      <c r="B4" s="133"/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T4" s="36" t="s">
        <v>151</v>
      </c>
      <c r="U4" s="61">
        <v>48033.558892131798</v>
      </c>
      <c r="V4" s="42">
        <f>(U4-U3)/U3</f>
        <v>-0.14211884813164954</v>
      </c>
      <c r="W4" s="61">
        <v>87441.416368947481</v>
      </c>
      <c r="X4" s="42">
        <f>(W4-W3)/W3</f>
        <v>8.6385887276800456E-3</v>
      </c>
      <c r="Y4" s="61">
        <v>85798.258921224522</v>
      </c>
      <c r="Z4" s="42">
        <f>(Y4-Y3)/Y3</f>
        <v>-7.1867834338514847E-2</v>
      </c>
      <c r="AD4" t="s">
        <v>207</v>
      </c>
      <c r="AE4" t="s">
        <v>187</v>
      </c>
      <c r="AJ4" t="s">
        <v>207</v>
      </c>
      <c r="AK4" t="s">
        <v>187</v>
      </c>
      <c r="AN4" t="s">
        <v>207</v>
      </c>
      <c r="AO4" t="s">
        <v>187</v>
      </c>
    </row>
    <row r="5" spans="1:44" ht="17.399999999999999">
      <c r="A5" s="135" t="s">
        <v>203</v>
      </c>
      <c r="B5" s="136"/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7"/>
      <c r="T5" s="36" t="s">
        <v>152</v>
      </c>
      <c r="U5" s="61">
        <v>61518.692284107237</v>
      </c>
      <c r="V5" s="42">
        <f t="shared" ref="V5:V15" si="0">(U5-U4)/U4</f>
        <v>0.28074399863351351</v>
      </c>
      <c r="W5" s="61">
        <v>113228.86524779514</v>
      </c>
      <c r="X5" s="42">
        <f t="shared" ref="X5:X15" si="1">(W5-W4)/W4</f>
        <v>0.29491115251428374</v>
      </c>
      <c r="Y5" s="61">
        <v>89613.478577777831</v>
      </c>
      <c r="Z5" s="42">
        <f t="shared" ref="Z5:Z15" si="2">(Y5-Y4)/Y4</f>
        <v>4.446733190770507E-2</v>
      </c>
      <c r="AD5" s="65" t="s">
        <v>231</v>
      </c>
      <c r="AE5" s="93">
        <v>0.79981778286043637</v>
      </c>
      <c r="AJ5" t="s">
        <v>231</v>
      </c>
      <c r="AK5" s="16">
        <v>0.14089691160602166</v>
      </c>
      <c r="AN5" t="s">
        <v>231</v>
      </c>
      <c r="AO5" s="16">
        <v>0.18885517070736255</v>
      </c>
    </row>
    <row r="6" spans="1:44" ht="18" customHeight="1">
      <c r="A6" s="58" t="s">
        <v>208</v>
      </c>
      <c r="B6" s="59" t="s">
        <v>144</v>
      </c>
      <c r="C6" s="59" t="s">
        <v>145</v>
      </c>
      <c r="D6" s="59" t="s">
        <v>146</v>
      </c>
      <c r="E6" s="59" t="s">
        <v>135</v>
      </c>
      <c r="F6" s="59" t="s">
        <v>136</v>
      </c>
      <c r="G6" s="59" t="s">
        <v>137</v>
      </c>
      <c r="H6" s="59" t="s">
        <v>138</v>
      </c>
      <c r="I6" s="59" t="s">
        <v>139</v>
      </c>
      <c r="J6" s="59" t="s">
        <v>140</v>
      </c>
      <c r="K6" s="59" t="s">
        <v>141</v>
      </c>
      <c r="L6" s="59" t="s">
        <v>142</v>
      </c>
      <c r="M6" s="59" t="s">
        <v>143</v>
      </c>
      <c r="N6" s="59" t="s">
        <v>147</v>
      </c>
      <c r="T6" s="36" t="s">
        <v>153</v>
      </c>
      <c r="U6" s="61">
        <v>63309.498622749867</v>
      </c>
      <c r="V6" s="42">
        <f t="shared" si="0"/>
        <v>2.9109954587010409E-2</v>
      </c>
      <c r="W6" s="61">
        <v>128800.06584155018</v>
      </c>
      <c r="X6" s="42">
        <f t="shared" si="1"/>
        <v>0.13751970895123189</v>
      </c>
      <c r="Y6" s="61">
        <v>89035.978544082594</v>
      </c>
      <c r="Z6" s="42">
        <f t="shared" si="2"/>
        <v>-6.444343449897541E-3</v>
      </c>
      <c r="AD6" t="s">
        <v>232</v>
      </c>
      <c r="AE6" s="16">
        <v>0.83332337245700427</v>
      </c>
      <c r="AJ6" t="s">
        <v>232</v>
      </c>
      <c r="AK6" s="16">
        <v>-2.3940857541530681E-2</v>
      </c>
      <c r="AL6" s="50"/>
      <c r="AN6" t="s">
        <v>232</v>
      </c>
      <c r="AO6" s="16">
        <v>-0.57986999684398921</v>
      </c>
      <c r="AR6" s="51"/>
    </row>
    <row r="7" spans="1:44" ht="15.6">
      <c r="A7" s="63" t="s">
        <v>148</v>
      </c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T7" s="36" t="s">
        <v>154</v>
      </c>
      <c r="U7" s="61">
        <v>60800.383481587211</v>
      </c>
      <c r="V7" s="42">
        <f t="shared" si="0"/>
        <v>-3.9632522697960866E-2</v>
      </c>
      <c r="W7" s="61">
        <v>119633.62181054099</v>
      </c>
      <c r="X7" s="42">
        <f t="shared" si="1"/>
        <v>-7.1168007338488062E-2</v>
      </c>
      <c r="Y7" s="61">
        <v>87955.310700035101</v>
      </c>
      <c r="Z7" s="42">
        <f t="shared" si="2"/>
        <v>-1.2137428730706251E-2</v>
      </c>
      <c r="AD7" t="s">
        <v>233</v>
      </c>
      <c r="AE7" s="16">
        <v>0.87891865111562262</v>
      </c>
      <c r="AJ7" t="s">
        <v>233</v>
      </c>
      <c r="AK7" s="16">
        <v>-2.5691719534218047E-2</v>
      </c>
      <c r="AN7" t="s">
        <v>233</v>
      </c>
      <c r="AO7" s="16">
        <v>-0.63716474088838859</v>
      </c>
    </row>
    <row r="8" spans="1:44" ht="15.6">
      <c r="A8" s="64" t="s">
        <v>149</v>
      </c>
      <c r="B8" s="61">
        <v>55990.924602459359</v>
      </c>
      <c r="C8" s="61">
        <v>48033.558892131798</v>
      </c>
      <c r="D8" s="61">
        <v>61518.692284107237</v>
      </c>
      <c r="E8" s="61">
        <v>63309.498622749867</v>
      </c>
      <c r="F8" s="61">
        <v>60800.383481587211</v>
      </c>
      <c r="G8" s="61">
        <v>61073.298999169296</v>
      </c>
      <c r="H8" s="61">
        <v>59460.950438057756</v>
      </c>
      <c r="I8" s="61">
        <v>67310.659830633638</v>
      </c>
      <c r="J8" s="61">
        <v>69109.876194440018</v>
      </c>
      <c r="K8" s="61">
        <v>72054.19693085934</v>
      </c>
      <c r="L8" s="61">
        <v>79009.388695268004</v>
      </c>
      <c r="M8" s="61">
        <v>81771.141778992853</v>
      </c>
      <c r="N8" s="62">
        <f>SUM(B8:M8)</f>
        <v>779442.57075045642</v>
      </c>
      <c r="T8" s="36" t="s">
        <v>155</v>
      </c>
      <c r="U8" s="61">
        <v>61073.298999169296</v>
      </c>
      <c r="V8" s="42">
        <f t="shared" si="0"/>
        <v>4.4887137539968789E-3</v>
      </c>
      <c r="W8" s="61">
        <v>121897.63969956485</v>
      </c>
      <c r="X8" s="42">
        <f t="shared" si="1"/>
        <v>1.892459540019022E-2</v>
      </c>
      <c r="Y8" s="61">
        <v>83881.451010452583</v>
      </c>
      <c r="Z8" s="42">
        <f t="shared" si="2"/>
        <v>-4.6317381601619328E-2</v>
      </c>
      <c r="AD8" t="s">
        <v>234</v>
      </c>
      <c r="AE8" s="16">
        <v>0.83431234176862867</v>
      </c>
      <c r="AJ8" t="s">
        <v>234</v>
      </c>
      <c r="AK8" s="16">
        <v>5.4971461470532439E-2</v>
      </c>
      <c r="AL8" s="16"/>
      <c r="AN8" t="s">
        <v>234</v>
      </c>
      <c r="AO8" s="16">
        <v>-0.55254944971552067</v>
      </c>
    </row>
    <row r="9" spans="1:44">
      <c r="T9" s="36" t="s">
        <v>156</v>
      </c>
      <c r="U9" s="61">
        <v>59460.950438057756</v>
      </c>
      <c r="V9" s="42">
        <f t="shared" si="0"/>
        <v>-2.6400220514262215E-2</v>
      </c>
      <c r="W9" s="61">
        <v>128755.46490262874</v>
      </c>
      <c r="X9" s="42">
        <f t="shared" si="1"/>
        <v>5.6258884257037539E-2</v>
      </c>
      <c r="Y9" s="61">
        <v>85329.770402117996</v>
      </c>
      <c r="Z9" s="42">
        <f t="shared" si="2"/>
        <v>1.7266265356865793E-2</v>
      </c>
      <c r="AD9" t="s">
        <v>235</v>
      </c>
      <c r="AE9" s="16">
        <v>0.81406057572357171</v>
      </c>
      <c r="AJ9" t="s">
        <v>235</v>
      </c>
      <c r="AK9" s="16">
        <v>-1.2240036259486584E-2</v>
      </c>
      <c r="AL9" s="16"/>
      <c r="AN9" t="s">
        <v>235</v>
      </c>
      <c r="AO9" s="16">
        <v>-0.56040607466502357</v>
      </c>
    </row>
    <row r="10" spans="1:44">
      <c r="T10" s="36" t="s">
        <v>157</v>
      </c>
      <c r="U10" s="61">
        <v>67310.659830633638</v>
      </c>
      <c r="V10" s="42">
        <f t="shared" si="0"/>
        <v>0.13201452944740866</v>
      </c>
      <c r="W10" s="61">
        <v>104567.31614182114</v>
      </c>
      <c r="X10" s="42">
        <f t="shared" si="1"/>
        <v>-0.18786114266372986</v>
      </c>
      <c r="Y10" s="61">
        <v>91863.736672447398</v>
      </c>
      <c r="Z10" s="42">
        <f t="shared" si="2"/>
        <v>7.6573114395339092E-2</v>
      </c>
      <c r="AD10" t="s">
        <v>236</v>
      </c>
      <c r="AE10" s="16">
        <v>0.85147707447687393</v>
      </c>
      <c r="AJ10" t="s">
        <v>236</v>
      </c>
      <c r="AK10" s="16">
        <v>6.8776143553416658E-2</v>
      </c>
      <c r="AL10" s="16"/>
      <c r="AN10" t="s">
        <v>236</v>
      </c>
      <c r="AO10" s="16">
        <v>-0.51526134813531577</v>
      </c>
    </row>
    <row r="11" spans="1:44">
      <c r="T11" s="36" t="s">
        <v>158</v>
      </c>
      <c r="U11" s="61">
        <v>69109.876194440018</v>
      </c>
      <c r="V11" s="42">
        <f t="shared" si="0"/>
        <v>2.6730036049766089E-2</v>
      </c>
      <c r="W11" s="61">
        <v>95157.741525290738</v>
      </c>
      <c r="X11" s="42">
        <f t="shared" si="1"/>
        <v>-8.9985809751189472E-2</v>
      </c>
      <c r="Y11" s="61">
        <v>90379.189582584731</v>
      </c>
      <c r="Z11" s="42">
        <f t="shared" si="2"/>
        <v>-1.616031683052498E-2</v>
      </c>
      <c r="AL11" s="16"/>
    </row>
    <row r="12" spans="1:44">
      <c r="T12" s="36" t="s">
        <v>159</v>
      </c>
      <c r="U12" s="61">
        <v>72054.19693085934</v>
      </c>
      <c r="V12" s="42">
        <f t="shared" si="0"/>
        <v>4.260347288331847E-2</v>
      </c>
      <c r="W12" s="61">
        <v>99194.385511237808</v>
      </c>
      <c r="X12" s="42">
        <f t="shared" si="1"/>
        <v>4.2420552665956485E-2</v>
      </c>
      <c r="Y12" s="61">
        <v>98715.177930114951</v>
      </c>
      <c r="Z12" s="42">
        <f t="shared" si="2"/>
        <v>9.2233492975870746E-2</v>
      </c>
      <c r="AL12" s="16"/>
    </row>
    <row r="13" spans="1:44">
      <c r="T13" s="36" t="s">
        <v>160</v>
      </c>
      <c r="U13" s="61">
        <v>79009.388695268004</v>
      </c>
      <c r="V13" s="42">
        <f t="shared" si="0"/>
        <v>9.6527226180629297E-2</v>
      </c>
      <c r="W13" s="61">
        <v>100258.75918442282</v>
      </c>
      <c r="X13" s="42">
        <f t="shared" si="1"/>
        <v>1.0730180621608104E-2</v>
      </c>
      <c r="Y13" s="61">
        <v>95382.058589648965</v>
      </c>
      <c r="Z13" s="42">
        <f t="shared" si="2"/>
        <v>-3.3765013753261484E-2</v>
      </c>
      <c r="AL13" s="16"/>
    </row>
    <row r="14" spans="1:44">
      <c r="A14" s="133" t="s">
        <v>191</v>
      </c>
      <c r="B14" s="133"/>
      <c r="C14" s="133"/>
      <c r="D14" s="133"/>
      <c r="E14" s="133"/>
      <c r="F14" s="133"/>
      <c r="G14" s="133"/>
      <c r="H14" s="133"/>
      <c r="I14" s="133"/>
      <c r="J14" s="133"/>
      <c r="K14" s="133"/>
      <c r="L14" s="133"/>
      <c r="M14" s="133"/>
      <c r="N14" s="133"/>
      <c r="T14" s="41" t="s">
        <v>161</v>
      </c>
      <c r="U14" s="61">
        <v>81771.141778992853</v>
      </c>
      <c r="V14" s="42">
        <f t="shared" si="0"/>
        <v>3.495474562367111E-2</v>
      </c>
      <c r="W14" s="61">
        <v>94253.237400611397</v>
      </c>
      <c r="X14" s="42">
        <f t="shared" si="1"/>
        <v>-5.9900220516039417E-2</v>
      </c>
      <c r="Y14" s="61">
        <v>94748.458657805822</v>
      </c>
      <c r="Z14" s="42">
        <f t="shared" si="2"/>
        <v>-6.6427579904623875E-3</v>
      </c>
    </row>
    <row r="15" spans="1:44" ht="17.399999999999999">
      <c r="A15" s="134" t="s">
        <v>205</v>
      </c>
      <c r="B15" s="134"/>
      <c r="C15" s="134"/>
      <c r="D15" s="134"/>
      <c r="E15" s="134"/>
      <c r="F15" s="134"/>
      <c r="G15" s="134"/>
      <c r="H15" s="134"/>
      <c r="I15" s="134"/>
      <c r="J15" s="134"/>
      <c r="K15" s="134"/>
      <c r="L15" s="134"/>
      <c r="M15" s="134"/>
      <c r="N15" s="134"/>
      <c r="T15" s="53" t="s">
        <v>52</v>
      </c>
      <c r="U15" s="54">
        <f>SUM(U3:U14)</f>
        <v>779442.57075045642</v>
      </c>
      <c r="V15" s="55">
        <f t="shared" si="0"/>
        <v>8.5320005786038386</v>
      </c>
      <c r="W15" s="62">
        <f>SUM(W3:W14)</f>
        <v>1279881.0290171988</v>
      </c>
      <c r="X15" s="55">
        <f t="shared" si="1"/>
        <v>12.579173133090668</v>
      </c>
      <c r="Y15" s="62">
        <f>SUM(Y3:Y14)</f>
        <v>1085144.7244183917</v>
      </c>
      <c r="Z15" s="55">
        <f t="shared" si="2"/>
        <v>10.452901079240855</v>
      </c>
    </row>
    <row r="16" spans="1:44" ht="17.399999999999999">
      <c r="A16" s="58" t="s">
        <v>208</v>
      </c>
      <c r="B16" s="59" t="s">
        <v>144</v>
      </c>
      <c r="C16" s="59" t="s">
        <v>145</v>
      </c>
      <c r="D16" s="59" t="s">
        <v>146</v>
      </c>
      <c r="E16" s="59" t="s">
        <v>135</v>
      </c>
      <c r="F16" s="59" t="s">
        <v>136</v>
      </c>
      <c r="G16" s="59" t="s">
        <v>137</v>
      </c>
      <c r="H16" s="59" t="s">
        <v>138</v>
      </c>
      <c r="I16" s="59" t="s">
        <v>139</v>
      </c>
      <c r="J16" s="59" t="s">
        <v>140</v>
      </c>
      <c r="K16" s="59" t="s">
        <v>141</v>
      </c>
      <c r="L16" s="59" t="s">
        <v>142</v>
      </c>
      <c r="M16" s="59" t="s">
        <v>143</v>
      </c>
      <c r="N16" s="59" t="s">
        <v>147</v>
      </c>
    </row>
    <row r="17" spans="1:31" ht="15.6">
      <c r="A17" s="63" t="s">
        <v>148</v>
      </c>
      <c r="E17" s="60"/>
      <c r="F17" s="60"/>
      <c r="G17" s="60"/>
      <c r="H17" s="60"/>
      <c r="I17" s="60"/>
      <c r="J17" s="60"/>
      <c r="K17" s="60"/>
      <c r="L17" s="60"/>
      <c r="M17" s="60"/>
      <c r="N17" s="60"/>
    </row>
    <row r="18" spans="1:31" ht="15.6">
      <c r="A18" s="64" t="s">
        <v>149</v>
      </c>
      <c r="B18" s="61">
        <v>86692.515382787504</v>
      </c>
      <c r="C18" s="61">
        <v>87441.416368947481</v>
      </c>
      <c r="D18" s="61">
        <v>113228.86524779514</v>
      </c>
      <c r="E18" s="61">
        <v>128800.06584155018</v>
      </c>
      <c r="F18" s="61">
        <v>119633.62181054099</v>
      </c>
      <c r="G18" s="61">
        <v>121897.63969956485</v>
      </c>
      <c r="H18" s="61">
        <v>128755.46490262874</v>
      </c>
      <c r="I18" s="61">
        <v>104567.31614182114</v>
      </c>
      <c r="J18" s="61">
        <v>95157.741525290738</v>
      </c>
      <c r="K18" s="61">
        <v>99194.385511237808</v>
      </c>
      <c r="L18" s="61">
        <v>100258.75918442282</v>
      </c>
      <c r="M18" s="61">
        <v>94253.237400611397</v>
      </c>
      <c r="N18" s="62">
        <f>SUM(B18:M18)</f>
        <v>1279881.0290171988</v>
      </c>
      <c r="T18" s="68" t="s">
        <v>50</v>
      </c>
      <c r="U18" s="65" t="s">
        <v>165</v>
      </c>
      <c r="V18" s="65" t="s">
        <v>202</v>
      </c>
      <c r="W18" s="41" t="s">
        <v>166</v>
      </c>
    </row>
    <row r="19" spans="1:31">
      <c r="T19" s="69" t="s">
        <v>209</v>
      </c>
      <c r="U19" s="67">
        <v>-0.14211884813164954</v>
      </c>
      <c r="V19" s="67">
        <v>8.6385887276800456E-3</v>
      </c>
      <c r="W19" s="70">
        <v>-7.1867834338514847E-2</v>
      </c>
    </row>
    <row r="20" spans="1:31">
      <c r="T20" s="69" t="s">
        <v>210</v>
      </c>
      <c r="U20" s="67">
        <v>0.28074399863351351</v>
      </c>
      <c r="V20" s="67">
        <v>0.29491115251428374</v>
      </c>
      <c r="W20" s="70">
        <v>4.446733190770507E-2</v>
      </c>
    </row>
    <row r="21" spans="1:31">
      <c r="T21" s="69" t="s">
        <v>211</v>
      </c>
      <c r="U21" s="67">
        <v>2.9109954587010409E-2</v>
      </c>
      <c r="V21" s="67">
        <v>0.13751970895123189</v>
      </c>
      <c r="W21" s="70">
        <v>-6.444343449897541E-3</v>
      </c>
      <c r="AE21" s="43"/>
    </row>
    <row r="22" spans="1:31">
      <c r="T22" s="69" t="s">
        <v>212</v>
      </c>
      <c r="U22" s="67">
        <v>-3.9632522697960866E-2</v>
      </c>
      <c r="V22" s="67">
        <v>-7.1168007338488062E-2</v>
      </c>
      <c r="W22" s="70">
        <v>-1.2137428730706251E-2</v>
      </c>
      <c r="AE22" s="43"/>
    </row>
    <row r="23" spans="1:31">
      <c r="T23" s="69" t="s">
        <v>213</v>
      </c>
      <c r="U23" s="67">
        <v>4.4887137539968789E-3</v>
      </c>
      <c r="V23" s="67">
        <v>1.892459540019022E-2</v>
      </c>
      <c r="W23" s="70">
        <v>-4.6317381601619328E-2</v>
      </c>
    </row>
    <row r="24" spans="1:31">
      <c r="A24" s="133" t="s">
        <v>191</v>
      </c>
      <c r="B24" s="133"/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T24" s="69" t="s">
        <v>214</v>
      </c>
      <c r="U24" s="67">
        <v>-2.6400220514262215E-2</v>
      </c>
      <c r="V24" s="67">
        <v>5.6258884257037539E-2</v>
      </c>
      <c r="W24" s="70">
        <v>1.7266265356865793E-2</v>
      </c>
    </row>
    <row r="25" spans="1:31" ht="17.399999999999999">
      <c r="A25" s="135" t="s">
        <v>204</v>
      </c>
      <c r="B25" s="136"/>
      <c r="C25" s="136"/>
      <c r="D25" s="136"/>
      <c r="E25" s="136"/>
      <c r="F25" s="136"/>
      <c r="G25" s="136"/>
      <c r="H25" s="136"/>
      <c r="I25" s="136"/>
      <c r="J25" s="136"/>
      <c r="K25" s="136"/>
      <c r="L25" s="136"/>
      <c r="M25" s="136"/>
      <c r="N25" s="137"/>
      <c r="T25" s="69" t="s">
        <v>215</v>
      </c>
      <c r="U25" s="67">
        <v>0.13201452944740866</v>
      </c>
      <c r="V25" s="67">
        <v>-0.18786114266372986</v>
      </c>
      <c r="W25" s="70">
        <v>7.6573114395339092E-2</v>
      </c>
    </row>
    <row r="26" spans="1:31" ht="17.399999999999999">
      <c r="A26" s="58" t="s">
        <v>208</v>
      </c>
      <c r="B26" s="59" t="s">
        <v>144</v>
      </c>
      <c r="C26" s="59" t="s">
        <v>145</v>
      </c>
      <c r="D26" s="59" t="s">
        <v>146</v>
      </c>
      <c r="E26" s="59" t="s">
        <v>135</v>
      </c>
      <c r="F26" s="59" t="s">
        <v>136</v>
      </c>
      <c r="G26" s="59" t="s">
        <v>137</v>
      </c>
      <c r="H26" s="59" t="s">
        <v>138</v>
      </c>
      <c r="I26" s="59" t="s">
        <v>139</v>
      </c>
      <c r="J26" s="59" t="s">
        <v>140</v>
      </c>
      <c r="K26" s="59" t="s">
        <v>141</v>
      </c>
      <c r="L26" s="59" t="s">
        <v>142</v>
      </c>
      <c r="M26" s="59" t="s">
        <v>143</v>
      </c>
      <c r="N26" s="59" t="s">
        <v>147</v>
      </c>
      <c r="T26" s="69" t="s">
        <v>216</v>
      </c>
      <c r="U26" s="67">
        <v>2.6730036049766089E-2</v>
      </c>
      <c r="V26" s="67">
        <v>-8.9985809751189472E-2</v>
      </c>
      <c r="W26" s="70">
        <v>-1.616031683052498E-2</v>
      </c>
    </row>
    <row r="27" spans="1:31" ht="15.6">
      <c r="A27" s="63" t="s">
        <v>148</v>
      </c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T27" s="69" t="s">
        <v>217</v>
      </c>
      <c r="U27" s="67">
        <v>4.260347288331847E-2</v>
      </c>
      <c r="V27" s="67">
        <v>4.2420552665956485E-2</v>
      </c>
      <c r="W27" s="70">
        <v>9.2233492975870746E-2</v>
      </c>
    </row>
    <row r="28" spans="1:31" ht="15.6">
      <c r="A28" s="64" t="s">
        <v>149</v>
      </c>
      <c r="B28" s="61">
        <v>92441.854830099124</v>
      </c>
      <c r="C28" s="61">
        <v>85798.258921224522</v>
      </c>
      <c r="D28" s="61">
        <v>89613.478577777831</v>
      </c>
      <c r="E28" s="61">
        <v>89035.978544082594</v>
      </c>
      <c r="F28" s="61">
        <v>87955.310700035101</v>
      </c>
      <c r="G28" s="61">
        <v>83881.451010452583</v>
      </c>
      <c r="H28" s="61">
        <v>85329.770402117996</v>
      </c>
      <c r="I28" s="61">
        <v>91863.736672447398</v>
      </c>
      <c r="J28" s="61">
        <v>90379.189582584731</v>
      </c>
      <c r="K28" s="61">
        <v>98715.177930114951</v>
      </c>
      <c r="L28" s="61">
        <v>95382.058589648965</v>
      </c>
      <c r="M28" s="61">
        <v>94748.458657805822</v>
      </c>
      <c r="N28" s="62">
        <f>SUM(B28:M28)</f>
        <v>1085144.7244183917</v>
      </c>
      <c r="T28" s="69" t="s">
        <v>218</v>
      </c>
      <c r="U28" s="67">
        <v>9.6527226180629297E-2</v>
      </c>
      <c r="V28" s="67">
        <v>1.0730180621608104E-2</v>
      </c>
      <c r="W28" s="70">
        <v>-3.3765013753261484E-2</v>
      </c>
    </row>
    <row r="29" spans="1:31">
      <c r="T29" s="69" t="s">
        <v>219</v>
      </c>
      <c r="U29" s="67">
        <v>3.495474562367111E-2</v>
      </c>
      <c r="V29" s="67">
        <v>-5.9900220516039417E-2</v>
      </c>
      <c r="W29" s="70">
        <v>-6.6427579904623875E-3</v>
      </c>
    </row>
    <row r="30" spans="1:31">
      <c r="T30" s="71" t="s">
        <v>51</v>
      </c>
      <c r="U30" s="89">
        <v>0.4390210858154418</v>
      </c>
      <c r="V30" s="89">
        <v>0.16048848286854114</v>
      </c>
      <c r="W30" s="72">
        <v>3.7205127940793878E-2</v>
      </c>
    </row>
    <row r="32" spans="1:31" ht="18">
      <c r="A32" s="121" t="s">
        <v>237</v>
      </c>
      <c r="B32" s="122"/>
      <c r="C32" s="123"/>
    </row>
  </sheetData>
  <mergeCells count="11">
    <mergeCell ref="A32:C32"/>
    <mergeCell ref="A1:N3"/>
    <mergeCell ref="AD2:AE3"/>
    <mergeCell ref="AJ2:AK3"/>
    <mergeCell ref="AN2:AO3"/>
    <mergeCell ref="A14:N14"/>
    <mergeCell ref="A15:N15"/>
    <mergeCell ref="A24:N24"/>
    <mergeCell ref="A25:N25"/>
    <mergeCell ref="A4:N4"/>
    <mergeCell ref="A5:N5"/>
  </mergeCells>
  <hyperlinks>
    <hyperlink ref="A32" r:id="rId2" display="https://ppac.gov.in/import-export/history" xr:uid="{072206BA-CD5A-466A-9C31-56994430EAF2}"/>
  </hyperlinks>
  <pageMargins left="0.7" right="0.7" top="0.75" bottom="0.75" header="0.3" footer="0.3"/>
  <ignoredErrors>
    <ignoredError sqref="W15 Y15" formula="1"/>
  </ignoredErrors>
  <drawing r:id="rId3"/>
  <tableParts count="4">
    <tablePart r:id="rId4"/>
    <tablePart r:id="rId5"/>
    <tablePart r:id="rId6"/>
    <tablePart r:id="rId7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EE7FC-7466-4A66-B0C7-827CB44F0B6F}">
  <sheetPr>
    <tabColor rgb="FFFF0000"/>
  </sheetPr>
  <dimension ref="F397:U401"/>
  <sheetViews>
    <sheetView tabSelected="1" topLeftCell="A7" zoomScale="50" zoomScaleNormal="50" workbookViewId="0">
      <selection activeCell="AM32" sqref="AM32"/>
    </sheetView>
  </sheetViews>
  <sheetFormatPr defaultRowHeight="14.4"/>
  <cols>
    <col min="1" max="23" width="8.88671875" style="57"/>
    <col min="24" max="24" width="8.88671875" style="57" customWidth="1"/>
    <col min="25" max="70" width="8.88671875" style="57"/>
    <col min="71" max="71" width="15.6640625" style="57" bestFit="1" customWidth="1"/>
    <col min="72" max="72" width="9.44140625" style="57" bestFit="1" customWidth="1"/>
    <col min="73" max="73" width="16.44140625" style="57" bestFit="1" customWidth="1"/>
    <col min="74" max="81" width="8.88671875" style="57"/>
    <col min="82" max="82" width="8.88671875" style="57" customWidth="1"/>
    <col min="83" max="83" width="14.5546875" style="57" customWidth="1"/>
    <col min="84" max="84" width="23.21875" style="57" customWidth="1"/>
    <col min="85" max="85" width="29.21875" style="57" customWidth="1"/>
    <col min="86" max="86" width="32.21875" style="57" customWidth="1"/>
    <col min="87" max="16384" width="8.88671875" style="57"/>
  </cols>
  <sheetData>
    <row r="397" spans="6:21" ht="14.4" customHeight="1">
      <c r="F397" s="138" t="s">
        <v>238</v>
      </c>
      <c r="G397" s="138"/>
      <c r="H397" s="138"/>
      <c r="I397" s="138"/>
      <c r="J397" s="138"/>
      <c r="K397" s="138"/>
      <c r="L397" s="138"/>
      <c r="M397" s="138"/>
      <c r="N397" s="138"/>
      <c r="O397" s="138"/>
      <c r="P397" s="138"/>
      <c r="Q397" s="138"/>
      <c r="R397" s="138"/>
      <c r="S397" s="138"/>
      <c r="T397" s="138"/>
      <c r="U397" s="138"/>
    </row>
    <row r="398" spans="6:21" ht="14.4" customHeight="1">
      <c r="F398" s="138"/>
      <c r="G398" s="138"/>
      <c r="H398" s="138"/>
      <c r="I398" s="138"/>
      <c r="J398" s="138"/>
      <c r="K398" s="138"/>
      <c r="L398" s="138"/>
      <c r="M398" s="138"/>
      <c r="N398" s="138"/>
      <c r="O398" s="138"/>
      <c r="P398" s="138"/>
      <c r="Q398" s="138"/>
      <c r="R398" s="138"/>
      <c r="S398" s="138"/>
      <c r="T398" s="138"/>
      <c r="U398" s="138"/>
    </row>
    <row r="399" spans="6:21" ht="14.4" customHeight="1">
      <c r="F399" s="138"/>
      <c r="G399" s="138"/>
      <c r="H399" s="138"/>
      <c r="I399" s="138"/>
      <c r="J399" s="138"/>
      <c r="K399" s="138"/>
      <c r="L399" s="138"/>
      <c r="M399" s="138"/>
      <c r="N399" s="138"/>
      <c r="O399" s="138"/>
      <c r="P399" s="138"/>
      <c r="Q399" s="138"/>
      <c r="R399" s="138"/>
      <c r="S399" s="138"/>
      <c r="T399" s="138"/>
      <c r="U399" s="138"/>
    </row>
    <row r="400" spans="6:21" ht="4.8" customHeight="1">
      <c r="F400" s="138"/>
      <c r="G400" s="138"/>
      <c r="H400" s="138"/>
      <c r="I400" s="138"/>
      <c r="J400" s="138"/>
      <c r="K400" s="138"/>
      <c r="L400" s="138"/>
      <c r="M400" s="138"/>
      <c r="N400" s="138"/>
      <c r="O400" s="138"/>
      <c r="P400" s="138"/>
      <c r="Q400" s="138"/>
      <c r="R400" s="138"/>
      <c r="S400" s="138"/>
      <c r="T400" s="138"/>
      <c r="U400" s="138"/>
    </row>
    <row r="401" spans="6:21" hidden="1">
      <c r="F401" s="138"/>
      <c r="G401" s="138"/>
      <c r="H401" s="138"/>
      <c r="I401" s="138"/>
      <c r="J401" s="138"/>
      <c r="K401" s="138"/>
      <c r="L401" s="138"/>
      <c r="M401" s="138"/>
      <c r="N401" s="138"/>
      <c r="O401" s="138"/>
      <c r="P401" s="138"/>
      <c r="Q401" s="138"/>
      <c r="R401" s="138"/>
      <c r="S401" s="138"/>
      <c r="T401" s="138"/>
      <c r="U401" s="138"/>
    </row>
  </sheetData>
  <mergeCells count="1">
    <mergeCell ref="F397:U401"/>
  </mergeCells>
  <hyperlinks>
    <hyperlink ref="F397" r:id="rId1" display="https://ppac.gov.in/import-export/history" xr:uid="{EB08C9FC-A997-4545-B980-94F97C2B3CDC}"/>
  </hyperlinks>
  <pageMargins left="0.7" right="0.7" top="0.75" bottom="0.75" header="0.3" footer="0.3"/>
  <pageSetup orientation="portrait" r:id="rId2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F84D5-9C73-4782-9124-9CAB5448E5CF}">
  <dimension ref="A1:CL39"/>
  <sheetViews>
    <sheetView topLeftCell="F1" zoomScale="83" workbookViewId="0">
      <selection activeCell="AB70" sqref="AB70"/>
    </sheetView>
  </sheetViews>
  <sheetFormatPr defaultRowHeight="14.4"/>
  <cols>
    <col min="1" max="1" width="10.6640625" customWidth="1"/>
    <col min="2" max="2" width="5" customWidth="1"/>
    <col min="3" max="3" width="9.44140625" customWidth="1"/>
    <col min="4" max="4" width="17.44140625" customWidth="1"/>
    <col min="5" max="5" width="11.6640625" customWidth="1"/>
    <col min="6" max="6" width="6" customWidth="1"/>
    <col min="7" max="7" width="15.109375" customWidth="1"/>
    <col min="8" max="8" width="10.33203125" customWidth="1"/>
    <col min="9" max="9" width="6" customWidth="1"/>
    <col min="10" max="10" width="9.5546875" customWidth="1"/>
    <col min="11" max="11" width="16.77734375" customWidth="1"/>
    <col min="12" max="12" width="20" customWidth="1"/>
    <col min="13" max="13" width="6" customWidth="1"/>
    <col min="14" max="14" width="20.109375" customWidth="1"/>
    <col min="15" max="15" width="29.88671875" customWidth="1"/>
    <col min="16" max="16" width="16.5546875" customWidth="1"/>
    <col min="17" max="17" width="23.5546875" customWidth="1"/>
    <col min="18" max="18" width="7.21875" customWidth="1"/>
    <col min="19" max="19" width="8.21875" customWidth="1"/>
    <col min="20" max="20" width="18.44140625" customWidth="1"/>
    <col min="21" max="21" width="7.109375" customWidth="1"/>
    <col min="22" max="22" width="11.21875" customWidth="1"/>
    <col min="23" max="23" width="24.77734375" customWidth="1"/>
    <col min="24" max="24" width="6" customWidth="1"/>
    <col min="25" max="25" width="24.5546875" customWidth="1"/>
    <col min="26" max="26" width="22.6640625" customWidth="1"/>
    <col min="27" max="27" width="8.77734375" customWidth="1"/>
    <col min="28" max="28" width="20.88671875" customWidth="1"/>
    <col min="29" max="29" width="12.109375" customWidth="1"/>
    <col min="30" max="30" width="11.6640625" customWidth="1"/>
    <col min="31" max="31" width="13.109375" customWidth="1"/>
    <col min="32" max="32" width="8.33203125" customWidth="1"/>
    <col min="40" max="40" width="5" customWidth="1"/>
    <col min="41" max="41" width="9.44140625" customWidth="1"/>
    <col min="42" max="42" width="17.5546875" customWidth="1"/>
    <col min="43" max="43" width="11.6640625" customWidth="1"/>
    <col min="44" max="44" width="6" customWidth="1"/>
    <col min="45" max="45" width="15.44140625" customWidth="1"/>
    <col min="46" max="46" width="10.44140625" customWidth="1"/>
    <col min="47" max="47" width="6" customWidth="1"/>
    <col min="48" max="48" width="9.5546875" customWidth="1"/>
    <col min="49" max="49" width="17" customWidth="1"/>
    <col min="50" max="50" width="20.44140625" customWidth="1"/>
    <col min="51" max="51" width="6" customWidth="1"/>
    <col min="52" max="52" width="29.88671875" customWidth="1"/>
    <col min="53" max="53" width="16.6640625" customWidth="1"/>
    <col min="58" max="58" width="5.88671875" customWidth="1"/>
    <col min="59" max="59" width="10.6640625" customWidth="1"/>
    <col min="60" max="60" width="27.33203125" customWidth="1"/>
    <col min="61" max="61" width="31.88671875" customWidth="1"/>
    <col min="62" max="62" width="29.44140625" customWidth="1"/>
    <col min="65" max="65" width="5.88671875" customWidth="1"/>
    <col min="66" max="66" width="10.6640625" customWidth="1"/>
    <col min="67" max="67" width="9.88671875" customWidth="1"/>
    <col min="68" max="68" width="10" customWidth="1"/>
    <col min="69" max="69" width="24.21875" customWidth="1"/>
    <col min="70" max="71" width="18.44140625" customWidth="1"/>
    <col min="72" max="72" width="5.88671875" customWidth="1"/>
    <col min="73" max="73" width="10.6640625" customWidth="1"/>
    <col min="74" max="74" width="9.88671875" customWidth="1"/>
    <col min="75" max="75" width="15.5546875" customWidth="1"/>
    <col min="76" max="76" width="33.77734375" customWidth="1"/>
    <col min="77" max="77" width="32.44140625" customWidth="1"/>
    <col min="78" max="78" width="11.5546875" customWidth="1"/>
    <col min="81" max="81" width="5.88671875" customWidth="1"/>
    <col min="82" max="82" width="10.6640625" customWidth="1"/>
    <col min="83" max="83" width="7.88671875" customWidth="1"/>
    <col min="84" max="84" width="28.44140625" customWidth="1"/>
    <col min="87" max="87" width="5.88671875" customWidth="1"/>
    <col min="88" max="88" width="10.6640625" customWidth="1"/>
    <col min="89" max="89" width="16.44140625" customWidth="1"/>
    <col min="90" max="90" width="15.77734375" customWidth="1"/>
  </cols>
  <sheetData>
    <row r="1" spans="1:90" ht="21" customHeight="1">
      <c r="A1" s="143">
        <v>2021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3"/>
      <c r="AB1" s="143"/>
      <c r="AC1" s="143"/>
      <c r="AD1" s="143"/>
      <c r="AN1" s="141" t="s">
        <v>169</v>
      </c>
      <c r="AO1" s="141"/>
      <c r="AP1" s="141"/>
      <c r="AQ1" s="141"/>
      <c r="AR1" s="141"/>
      <c r="AS1" s="141"/>
      <c r="AT1" s="141"/>
      <c r="AU1" s="141"/>
      <c r="AV1" s="141"/>
      <c r="AW1" s="141"/>
      <c r="AX1" s="141"/>
      <c r="AY1" s="141"/>
      <c r="AZ1" s="141"/>
      <c r="BA1" s="141"/>
      <c r="BF1" s="145" t="s">
        <v>170</v>
      </c>
      <c r="BG1" s="145"/>
      <c r="BH1" s="145"/>
      <c r="BI1" s="145"/>
      <c r="BJ1" s="145"/>
      <c r="BM1" s="141" t="s">
        <v>171</v>
      </c>
      <c r="BN1" s="141"/>
      <c r="BO1" s="141"/>
      <c r="BP1" s="141"/>
      <c r="BQ1" s="141"/>
      <c r="BR1" s="48"/>
      <c r="BS1" s="48"/>
      <c r="BT1" s="139" t="s">
        <v>172</v>
      </c>
      <c r="BU1" s="139"/>
      <c r="BV1" s="139"/>
      <c r="BW1" s="139"/>
      <c r="BX1" s="139"/>
      <c r="BY1" s="139"/>
      <c r="BZ1" s="139"/>
      <c r="CC1" s="139" t="s">
        <v>173</v>
      </c>
      <c r="CD1" s="139"/>
      <c r="CE1" s="139"/>
      <c r="CF1" s="139"/>
      <c r="CI1" s="139" t="s">
        <v>174</v>
      </c>
      <c r="CJ1" s="139"/>
      <c r="CK1" s="139"/>
      <c r="CL1" s="139"/>
    </row>
    <row r="2" spans="1:90" ht="21" customHeight="1">
      <c r="A2" s="144"/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N2" s="142"/>
      <c r="AO2" s="142"/>
      <c r="AP2" s="142"/>
      <c r="AQ2" s="142"/>
      <c r="AR2" s="142"/>
      <c r="AS2" s="142"/>
      <c r="AT2" s="142"/>
      <c r="AU2" s="142"/>
      <c r="AV2" s="142"/>
      <c r="AW2" s="142"/>
      <c r="AX2" s="142"/>
      <c r="AY2" s="142"/>
      <c r="AZ2" s="142"/>
      <c r="BA2" s="142"/>
      <c r="BF2" s="146"/>
      <c r="BG2" s="146"/>
      <c r="BH2" s="146"/>
      <c r="BI2" s="146"/>
      <c r="BJ2" s="146"/>
      <c r="BM2" s="142"/>
      <c r="BN2" s="142"/>
      <c r="BO2" s="142"/>
      <c r="BP2" s="142"/>
      <c r="BQ2" s="142"/>
      <c r="BR2" s="48"/>
      <c r="BS2" s="48"/>
      <c r="BT2" s="140"/>
      <c r="BU2" s="140"/>
      <c r="BV2" s="140"/>
      <c r="BW2" s="140"/>
      <c r="BX2" s="140"/>
      <c r="BY2" s="140"/>
      <c r="BZ2" s="140"/>
      <c r="CC2" s="140"/>
      <c r="CD2" s="140"/>
      <c r="CE2" s="140"/>
      <c r="CF2" s="140"/>
      <c r="CI2" s="140"/>
      <c r="CJ2" s="140"/>
      <c r="CK2" s="140"/>
      <c r="CL2" s="140"/>
    </row>
    <row r="3" spans="1:90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14" t="s">
        <v>17</v>
      </c>
      <c r="S3" s="2" t="s">
        <v>18</v>
      </c>
      <c r="T3" s="2" t="s">
        <v>19</v>
      </c>
      <c r="U3" s="2" t="s">
        <v>20</v>
      </c>
      <c r="V3" s="2" t="s">
        <v>21</v>
      </c>
      <c r="W3" s="2" t="s">
        <v>22</v>
      </c>
      <c r="X3" s="2" t="s">
        <v>23</v>
      </c>
      <c r="Y3" s="2" t="s">
        <v>24</v>
      </c>
      <c r="Z3" s="2" t="s">
        <v>25</v>
      </c>
      <c r="AA3" s="2" t="s">
        <v>26</v>
      </c>
      <c r="AB3" s="2" t="s">
        <v>27</v>
      </c>
      <c r="AC3" s="2" t="s">
        <v>28</v>
      </c>
      <c r="AD3" s="2" t="s">
        <v>29</v>
      </c>
      <c r="AE3" s="13" t="s">
        <v>55</v>
      </c>
      <c r="AF3" s="47" t="s">
        <v>54</v>
      </c>
      <c r="AN3" s="2" t="s">
        <v>1</v>
      </c>
      <c r="AO3" s="2" t="s">
        <v>2</v>
      </c>
      <c r="AP3" s="2" t="s">
        <v>3</v>
      </c>
      <c r="AQ3" s="2" t="s">
        <v>4</v>
      </c>
      <c r="AR3" s="2" t="s">
        <v>5</v>
      </c>
      <c r="AS3" s="2" t="s">
        <v>6</v>
      </c>
      <c r="AT3" s="2" t="s">
        <v>7</v>
      </c>
      <c r="AU3" s="2" t="s">
        <v>8</v>
      </c>
      <c r="AV3" s="2" t="s">
        <v>9</v>
      </c>
      <c r="AW3" s="2" t="s">
        <v>10</v>
      </c>
      <c r="AX3" s="2" t="s">
        <v>11</v>
      </c>
      <c r="AY3" s="2" t="s">
        <v>12</v>
      </c>
      <c r="AZ3" s="2" t="s">
        <v>14</v>
      </c>
      <c r="BA3" s="2" t="s">
        <v>15</v>
      </c>
      <c r="BF3" s="2" t="s">
        <v>1</v>
      </c>
      <c r="BG3" s="2" t="s">
        <v>2</v>
      </c>
      <c r="BH3" s="2" t="s">
        <v>13</v>
      </c>
      <c r="BI3" s="2" t="s">
        <v>16</v>
      </c>
      <c r="BJ3" s="2" t="s">
        <v>25</v>
      </c>
      <c r="BM3" s="2" t="s">
        <v>1</v>
      </c>
      <c r="BN3" s="2" t="s">
        <v>2</v>
      </c>
      <c r="BO3" s="14" t="s">
        <v>17</v>
      </c>
      <c r="BP3" s="2" t="s">
        <v>18</v>
      </c>
      <c r="BQ3" s="2" t="s">
        <v>19</v>
      </c>
      <c r="BT3" s="2" t="s">
        <v>1</v>
      </c>
      <c r="BU3" s="2" t="s">
        <v>2</v>
      </c>
      <c r="BV3" s="2" t="s">
        <v>20</v>
      </c>
      <c r="BW3" s="2" t="s">
        <v>21</v>
      </c>
      <c r="BX3" s="2" t="s">
        <v>22</v>
      </c>
      <c r="BY3" s="2" t="s">
        <v>24</v>
      </c>
      <c r="BZ3" s="2" t="s">
        <v>26</v>
      </c>
      <c r="CC3" s="2" t="s">
        <v>1</v>
      </c>
      <c r="CD3" s="2" t="s">
        <v>2</v>
      </c>
      <c r="CE3" s="2" t="s">
        <v>23</v>
      </c>
      <c r="CF3" s="2" t="s">
        <v>27</v>
      </c>
      <c r="CI3" s="2" t="s">
        <v>1</v>
      </c>
      <c r="CJ3" s="2" t="s">
        <v>2</v>
      </c>
      <c r="CK3" s="2" t="s">
        <v>28</v>
      </c>
      <c r="CL3" s="2" t="s">
        <v>29</v>
      </c>
    </row>
    <row r="4" spans="1:90">
      <c r="A4" s="5" t="s">
        <v>30</v>
      </c>
      <c r="B4" s="6">
        <v>2021</v>
      </c>
      <c r="C4" s="6" t="s">
        <v>31</v>
      </c>
      <c r="D4" s="6">
        <v>143.4</v>
      </c>
      <c r="E4" s="6">
        <v>187.5</v>
      </c>
      <c r="F4" s="6">
        <v>173.4</v>
      </c>
      <c r="G4" s="6">
        <v>154</v>
      </c>
      <c r="H4" s="6">
        <v>154.80000000000001</v>
      </c>
      <c r="I4" s="6">
        <v>147</v>
      </c>
      <c r="J4" s="6">
        <v>187.8</v>
      </c>
      <c r="K4" s="6">
        <v>159.5</v>
      </c>
      <c r="L4" s="6">
        <v>113.8</v>
      </c>
      <c r="M4" s="6">
        <v>164.5</v>
      </c>
      <c r="N4" s="6">
        <v>156.1</v>
      </c>
      <c r="O4" s="6">
        <v>164.3</v>
      </c>
      <c r="P4" s="6">
        <v>159.6</v>
      </c>
      <c r="Q4" s="6">
        <v>184.6</v>
      </c>
      <c r="R4" s="6">
        <v>157.5</v>
      </c>
      <c r="S4" s="6">
        <v>152.4</v>
      </c>
      <c r="T4" s="6">
        <v>156.80000000000001</v>
      </c>
      <c r="U4" s="6">
        <v>158.05000000000001</v>
      </c>
      <c r="V4" s="6">
        <v>150.9</v>
      </c>
      <c r="W4" s="6">
        <v>153.9</v>
      </c>
      <c r="X4" s="6">
        <v>162.5</v>
      </c>
      <c r="Y4" s="6">
        <v>147.5</v>
      </c>
      <c r="Z4" s="6">
        <v>155.1</v>
      </c>
      <c r="AA4" s="6">
        <v>163.5</v>
      </c>
      <c r="AB4" s="6">
        <v>156.19999999999999</v>
      </c>
      <c r="AC4" s="6">
        <v>155.9</v>
      </c>
      <c r="AD4" s="6">
        <v>158.5</v>
      </c>
      <c r="AE4" s="22"/>
      <c r="AN4" s="6">
        <v>2021</v>
      </c>
      <c r="AO4" s="6" t="s">
        <v>31</v>
      </c>
      <c r="AP4" s="6">
        <v>143.4</v>
      </c>
      <c r="AQ4" s="6">
        <v>187.5</v>
      </c>
      <c r="AR4" s="6">
        <v>173.4</v>
      </c>
      <c r="AS4" s="6">
        <v>154</v>
      </c>
      <c r="AT4" s="6">
        <v>154.80000000000001</v>
      </c>
      <c r="AU4" s="6">
        <v>147</v>
      </c>
      <c r="AV4" s="6">
        <v>187.8</v>
      </c>
      <c r="AW4" s="6">
        <v>159.5</v>
      </c>
      <c r="AX4" s="6">
        <v>113.8</v>
      </c>
      <c r="AY4" s="6">
        <v>164.5</v>
      </c>
      <c r="AZ4" s="6">
        <v>164.3</v>
      </c>
      <c r="BA4" s="6">
        <v>159.6</v>
      </c>
      <c r="BF4" s="6">
        <v>2021</v>
      </c>
      <c r="BG4" s="6" t="s">
        <v>31</v>
      </c>
      <c r="BH4" s="6">
        <v>156.1</v>
      </c>
      <c r="BI4" s="6">
        <v>184.6</v>
      </c>
      <c r="BJ4" s="6">
        <v>155.1</v>
      </c>
      <c r="BK4">
        <f>SUM('2021'!BH4:BJ6)</f>
        <v>1466.8</v>
      </c>
      <c r="BM4" s="6">
        <v>2021</v>
      </c>
      <c r="BN4" s="6" t="s">
        <v>31</v>
      </c>
      <c r="BO4" s="6">
        <v>157.5</v>
      </c>
      <c r="BP4" s="6">
        <v>152.4</v>
      </c>
      <c r="BQ4" s="6">
        <v>156.80000000000001</v>
      </c>
      <c r="BR4">
        <f>SUM(BO4:BQ6)</f>
        <v>1362.5</v>
      </c>
      <c r="BT4" s="6">
        <v>2021</v>
      </c>
      <c r="BU4" s="6" t="s">
        <v>31</v>
      </c>
      <c r="BV4" s="6">
        <v>158.05000000000001</v>
      </c>
      <c r="BW4" s="6">
        <v>150.9</v>
      </c>
      <c r="BX4" s="6">
        <v>153.9</v>
      </c>
      <c r="BY4" s="6">
        <v>147.5</v>
      </c>
      <c r="BZ4" s="6">
        <v>163.5</v>
      </c>
      <c r="CA4">
        <f>SUM(BV4:BZ6)</f>
        <v>2269.85</v>
      </c>
      <c r="CC4" s="6">
        <v>2021</v>
      </c>
      <c r="CD4" s="6" t="s">
        <v>31</v>
      </c>
      <c r="CE4" s="6">
        <v>162.5</v>
      </c>
      <c r="CF4" s="6">
        <v>156.19999999999999</v>
      </c>
      <c r="CG4">
        <f>SUM(CE4:CF6)</f>
        <v>946.59999999999991</v>
      </c>
      <c r="CI4" s="6">
        <v>2021</v>
      </c>
      <c r="CJ4" s="6" t="s">
        <v>31</v>
      </c>
      <c r="CK4" s="6">
        <v>155.9</v>
      </c>
      <c r="CL4" s="6">
        <v>158.5</v>
      </c>
    </row>
    <row r="5" spans="1:90">
      <c r="A5" s="3" t="s">
        <v>32</v>
      </c>
      <c r="B5" s="4">
        <v>2021</v>
      </c>
      <c r="C5" s="4" t="s">
        <v>31</v>
      </c>
      <c r="D5" s="4">
        <v>148</v>
      </c>
      <c r="E5" s="4">
        <v>194.8</v>
      </c>
      <c r="F5" s="4">
        <v>178.4</v>
      </c>
      <c r="G5" s="4">
        <v>154.4</v>
      </c>
      <c r="H5" s="4">
        <v>144.1</v>
      </c>
      <c r="I5" s="4">
        <v>152.6</v>
      </c>
      <c r="J5" s="4">
        <v>206.8</v>
      </c>
      <c r="K5" s="4">
        <v>162.1</v>
      </c>
      <c r="L5" s="4">
        <v>116.3</v>
      </c>
      <c r="M5" s="4">
        <v>163</v>
      </c>
      <c r="N5" s="4">
        <v>145.9</v>
      </c>
      <c r="O5" s="4">
        <v>167.2</v>
      </c>
      <c r="P5" s="4">
        <v>163.4</v>
      </c>
      <c r="Q5" s="4">
        <v>191.8</v>
      </c>
      <c r="R5" s="4">
        <v>152.5</v>
      </c>
      <c r="S5" s="4">
        <v>137.30000000000001</v>
      </c>
      <c r="T5" s="4">
        <v>150.19999999999999</v>
      </c>
      <c r="U5" s="4">
        <v>157.69999999999999</v>
      </c>
      <c r="V5" s="4">
        <v>142.9</v>
      </c>
      <c r="W5" s="4">
        <v>145.69999999999999</v>
      </c>
      <c r="X5" s="4">
        <v>154.1</v>
      </c>
      <c r="Y5" s="4">
        <v>136.9</v>
      </c>
      <c r="Z5" s="4">
        <v>145.4</v>
      </c>
      <c r="AA5" s="4">
        <v>156.1</v>
      </c>
      <c r="AB5" s="4">
        <v>157.69999999999999</v>
      </c>
      <c r="AC5" s="4">
        <v>147.6</v>
      </c>
      <c r="AD5" s="4">
        <v>156</v>
      </c>
      <c r="AE5" s="23"/>
      <c r="AN5" s="4">
        <v>2021</v>
      </c>
      <c r="AO5" s="4" t="s">
        <v>31</v>
      </c>
      <c r="AP5" s="4">
        <v>148</v>
      </c>
      <c r="AQ5" s="4">
        <v>194.8</v>
      </c>
      <c r="AR5" s="4">
        <v>178.4</v>
      </c>
      <c r="AS5" s="4">
        <v>154.4</v>
      </c>
      <c r="AT5" s="4">
        <v>144.1</v>
      </c>
      <c r="AU5" s="4">
        <v>152.6</v>
      </c>
      <c r="AV5" s="4">
        <v>206.8</v>
      </c>
      <c r="AW5" s="4">
        <v>162.1</v>
      </c>
      <c r="AX5" s="4">
        <v>116.3</v>
      </c>
      <c r="AY5" s="4">
        <v>163</v>
      </c>
      <c r="AZ5" s="4">
        <v>167.2</v>
      </c>
      <c r="BA5" s="4">
        <v>163.4</v>
      </c>
      <c r="BB5">
        <f>SUM(AP4:BA6)</f>
        <v>5785.4000000000005</v>
      </c>
      <c r="BF5" s="4">
        <v>2021</v>
      </c>
      <c r="BG5" s="4" t="s">
        <v>31</v>
      </c>
      <c r="BH5" s="4">
        <v>145.9</v>
      </c>
      <c r="BI5" s="4">
        <v>191.8</v>
      </c>
      <c r="BJ5" s="4">
        <v>145.4</v>
      </c>
      <c r="BK5">
        <f>SUM(BH7:BJ9)</f>
        <v>1488.6</v>
      </c>
      <c r="BM5" s="4">
        <v>2021</v>
      </c>
      <c r="BN5" s="4" t="s">
        <v>31</v>
      </c>
      <c r="BO5" s="4">
        <v>152.5</v>
      </c>
      <c r="BP5" s="4">
        <v>137.30000000000001</v>
      </c>
      <c r="BQ5" s="4">
        <v>150.19999999999999</v>
      </c>
      <c r="BR5">
        <f>SUM(BO7:BQ9)</f>
        <v>1376</v>
      </c>
      <c r="BT5" s="4">
        <v>2021</v>
      </c>
      <c r="BU5" s="4" t="s">
        <v>31</v>
      </c>
      <c r="BV5" s="4">
        <v>157.69999999999999</v>
      </c>
      <c r="BW5" s="4">
        <v>142.9</v>
      </c>
      <c r="BX5" s="4">
        <v>145.69999999999999</v>
      </c>
      <c r="BY5" s="4">
        <v>136.9</v>
      </c>
      <c r="BZ5" s="4">
        <v>156.1</v>
      </c>
      <c r="CA5">
        <f>SUM(BV7:BZ9)</f>
        <v>2303.0500000000002</v>
      </c>
      <c r="CC5" s="4">
        <v>2021</v>
      </c>
      <c r="CD5" s="4" t="s">
        <v>31</v>
      </c>
      <c r="CE5" s="4">
        <v>154.1</v>
      </c>
      <c r="CF5" s="4">
        <v>157.69999999999999</v>
      </c>
      <c r="CI5" s="4">
        <v>2021</v>
      </c>
      <c r="CJ5" s="4" t="s">
        <v>31</v>
      </c>
      <c r="CK5" s="4">
        <v>147.6</v>
      </c>
      <c r="CL5" s="4">
        <v>156</v>
      </c>
    </row>
    <row r="6" spans="1:90">
      <c r="A6" s="5" t="s">
        <v>33</v>
      </c>
      <c r="B6" s="6">
        <v>2021</v>
      </c>
      <c r="C6" s="6" t="s">
        <v>31</v>
      </c>
      <c r="D6" s="6">
        <v>144.9</v>
      </c>
      <c r="E6" s="6">
        <v>190.1</v>
      </c>
      <c r="F6" s="6">
        <v>175.3</v>
      </c>
      <c r="G6" s="6">
        <v>154.1</v>
      </c>
      <c r="H6" s="6">
        <v>150.9</v>
      </c>
      <c r="I6" s="6">
        <v>149.6</v>
      </c>
      <c r="J6" s="6">
        <v>194.2</v>
      </c>
      <c r="K6" s="6">
        <v>160.4</v>
      </c>
      <c r="L6" s="6">
        <v>114.6</v>
      </c>
      <c r="M6" s="6">
        <v>164</v>
      </c>
      <c r="N6" s="6">
        <v>151.80000000000001</v>
      </c>
      <c r="O6" s="6">
        <v>165.6</v>
      </c>
      <c r="P6" s="6">
        <v>161</v>
      </c>
      <c r="Q6" s="6">
        <v>186.5</v>
      </c>
      <c r="R6" s="6">
        <v>155.5</v>
      </c>
      <c r="S6" s="6">
        <v>146.1</v>
      </c>
      <c r="T6" s="6">
        <v>154.19999999999999</v>
      </c>
      <c r="U6" s="6">
        <v>157.69999999999999</v>
      </c>
      <c r="V6" s="6">
        <v>147.9</v>
      </c>
      <c r="W6" s="6">
        <v>150</v>
      </c>
      <c r="X6" s="6">
        <v>159.30000000000001</v>
      </c>
      <c r="Y6" s="6">
        <v>141.9</v>
      </c>
      <c r="Z6" s="6">
        <v>149.6</v>
      </c>
      <c r="AA6" s="6">
        <v>159.19999999999999</v>
      </c>
      <c r="AB6" s="6">
        <v>156.80000000000001</v>
      </c>
      <c r="AC6" s="6">
        <v>151.9</v>
      </c>
      <c r="AD6" s="6">
        <v>157.30000000000001</v>
      </c>
      <c r="AE6" s="22"/>
      <c r="AN6" s="6">
        <v>2021</v>
      </c>
      <c r="AO6" s="6" t="s">
        <v>31</v>
      </c>
      <c r="AP6" s="6">
        <v>144.9</v>
      </c>
      <c r="AQ6" s="6">
        <v>190.1</v>
      </c>
      <c r="AR6" s="6">
        <v>175.3</v>
      </c>
      <c r="AS6" s="6">
        <v>154.1</v>
      </c>
      <c r="AT6" s="6">
        <v>150.9</v>
      </c>
      <c r="AU6" s="6">
        <v>149.6</v>
      </c>
      <c r="AV6" s="6">
        <v>194.2</v>
      </c>
      <c r="AW6" s="6">
        <v>160.4</v>
      </c>
      <c r="AX6" s="6">
        <v>114.6</v>
      </c>
      <c r="AY6" s="6">
        <v>164</v>
      </c>
      <c r="AZ6" s="6">
        <v>165.6</v>
      </c>
      <c r="BA6" s="6">
        <v>161</v>
      </c>
      <c r="BF6" s="6">
        <v>2021</v>
      </c>
      <c r="BG6" s="6" t="s">
        <v>31</v>
      </c>
      <c r="BH6" s="6">
        <v>151.80000000000001</v>
      </c>
      <c r="BI6" s="6">
        <v>186.5</v>
      </c>
      <c r="BJ6" s="6">
        <v>149.6</v>
      </c>
      <c r="BK6">
        <f>SUM(BH10:BJ12)</f>
        <v>1494.5</v>
      </c>
      <c r="BM6" s="6">
        <v>2021</v>
      </c>
      <c r="BN6" s="6" t="s">
        <v>31</v>
      </c>
      <c r="BO6" s="6">
        <v>155.5</v>
      </c>
      <c r="BP6" s="6">
        <v>146.1</v>
      </c>
      <c r="BQ6" s="6">
        <v>154.19999999999999</v>
      </c>
      <c r="BR6">
        <f>SUM(BO10:BQ12)</f>
        <v>1381.4000000000003</v>
      </c>
      <c r="BT6" s="6">
        <v>2021</v>
      </c>
      <c r="BU6" s="6" t="s">
        <v>31</v>
      </c>
      <c r="BV6" s="6">
        <v>157.69999999999999</v>
      </c>
      <c r="BW6" s="6">
        <v>147.9</v>
      </c>
      <c r="BX6" s="6">
        <v>150</v>
      </c>
      <c r="BY6" s="6">
        <v>141.9</v>
      </c>
      <c r="BZ6" s="6">
        <v>159.19999999999999</v>
      </c>
      <c r="CA6">
        <f>SUM(BV10:BZ12)</f>
        <v>2319.9499999999998</v>
      </c>
      <c r="CC6" s="6">
        <v>2021</v>
      </c>
      <c r="CD6" s="6" t="s">
        <v>31</v>
      </c>
      <c r="CE6" s="6">
        <v>159.30000000000001</v>
      </c>
      <c r="CF6" s="6">
        <v>156.80000000000001</v>
      </c>
      <c r="CI6" s="6">
        <v>2021</v>
      </c>
      <c r="CJ6" s="6" t="s">
        <v>31</v>
      </c>
      <c r="CK6" s="6">
        <v>151.9</v>
      </c>
      <c r="CL6" s="6">
        <v>157.30000000000001</v>
      </c>
    </row>
    <row r="7" spans="1:90">
      <c r="A7" s="3" t="s">
        <v>30</v>
      </c>
      <c r="B7" s="4">
        <v>2021</v>
      </c>
      <c r="C7" s="4" t="s">
        <v>34</v>
      </c>
      <c r="D7" s="4">
        <v>142.80000000000001</v>
      </c>
      <c r="E7" s="4">
        <v>184</v>
      </c>
      <c r="F7" s="4">
        <v>168</v>
      </c>
      <c r="G7" s="4">
        <v>154.4</v>
      </c>
      <c r="H7" s="4">
        <v>163</v>
      </c>
      <c r="I7" s="4">
        <v>147.80000000000001</v>
      </c>
      <c r="J7" s="4">
        <v>149.69999999999999</v>
      </c>
      <c r="K7" s="4">
        <v>158.30000000000001</v>
      </c>
      <c r="L7" s="4">
        <v>111.8</v>
      </c>
      <c r="M7" s="4">
        <v>165</v>
      </c>
      <c r="N7" s="4">
        <v>160</v>
      </c>
      <c r="O7" s="4">
        <v>165.8</v>
      </c>
      <c r="P7" s="4">
        <v>154.69999999999999</v>
      </c>
      <c r="Q7" s="4">
        <v>186.5</v>
      </c>
      <c r="R7" s="4">
        <v>159.1</v>
      </c>
      <c r="S7" s="4">
        <v>153.9</v>
      </c>
      <c r="T7" s="4">
        <v>158.4</v>
      </c>
      <c r="U7" s="4">
        <v>159.85</v>
      </c>
      <c r="V7" s="4">
        <v>154.4</v>
      </c>
      <c r="W7" s="4">
        <v>154.80000000000001</v>
      </c>
      <c r="X7" s="4">
        <v>164.3</v>
      </c>
      <c r="Y7" s="4">
        <v>150.19999999999999</v>
      </c>
      <c r="Z7" s="4">
        <v>157</v>
      </c>
      <c r="AA7" s="4">
        <v>163.6</v>
      </c>
      <c r="AB7" s="4">
        <v>155.19999999999999</v>
      </c>
      <c r="AC7" s="4">
        <v>157.19999999999999</v>
      </c>
      <c r="AD7" s="4">
        <v>156.69999999999999</v>
      </c>
      <c r="AE7" s="23"/>
      <c r="AN7" s="4">
        <v>2021</v>
      </c>
      <c r="AO7" s="4" t="s">
        <v>34</v>
      </c>
      <c r="AP7" s="4">
        <v>142.80000000000001</v>
      </c>
      <c r="AQ7" s="4">
        <v>184</v>
      </c>
      <c r="AR7" s="4">
        <v>168</v>
      </c>
      <c r="AS7" s="4">
        <v>154.4</v>
      </c>
      <c r="AT7" s="4">
        <v>163</v>
      </c>
      <c r="AU7" s="4">
        <v>147.80000000000001</v>
      </c>
      <c r="AV7" s="4">
        <v>149.69999999999999</v>
      </c>
      <c r="AW7" s="4">
        <v>158.30000000000001</v>
      </c>
      <c r="AX7" s="4">
        <v>111.8</v>
      </c>
      <c r="AY7" s="4">
        <v>165</v>
      </c>
      <c r="AZ7" s="4">
        <v>165.8</v>
      </c>
      <c r="BA7" s="4">
        <v>154.69999999999999</v>
      </c>
      <c r="BF7" s="4">
        <v>2021</v>
      </c>
      <c r="BG7" s="4" t="s">
        <v>34</v>
      </c>
      <c r="BH7" s="4">
        <v>160</v>
      </c>
      <c r="BI7" s="4">
        <v>186.5</v>
      </c>
      <c r="BJ7" s="4">
        <v>157</v>
      </c>
      <c r="BK7">
        <f>SUM(BH13:BJ15)</f>
        <v>1501.9</v>
      </c>
      <c r="BM7" s="4">
        <v>2021</v>
      </c>
      <c r="BN7" s="4" t="s">
        <v>34</v>
      </c>
      <c r="BO7" s="4">
        <v>159.1</v>
      </c>
      <c r="BP7" s="4">
        <v>153.9</v>
      </c>
      <c r="BQ7" s="4">
        <v>158.4</v>
      </c>
      <c r="BR7">
        <f>SUM(BO13:BQ15)</f>
        <v>1388.8999999999999</v>
      </c>
      <c r="BT7" s="4">
        <v>2021</v>
      </c>
      <c r="BU7" s="4" t="s">
        <v>34</v>
      </c>
      <c r="BV7" s="4">
        <v>159.85</v>
      </c>
      <c r="BW7" s="4">
        <v>154.4</v>
      </c>
      <c r="BX7" s="4">
        <v>154.80000000000001</v>
      </c>
      <c r="BY7" s="4">
        <v>150.19999999999999</v>
      </c>
      <c r="BZ7" s="4">
        <v>163.6</v>
      </c>
      <c r="CA7">
        <f>SUM(BV13:BZ15)</f>
        <v>2328.1</v>
      </c>
      <c r="CC7" s="4">
        <v>2021</v>
      </c>
      <c r="CD7" s="4" t="s">
        <v>34</v>
      </c>
      <c r="CE7" s="4">
        <v>164.3</v>
      </c>
      <c r="CF7" s="4">
        <v>155.19999999999999</v>
      </c>
      <c r="CI7" s="4">
        <v>2021</v>
      </c>
      <c r="CJ7" s="4" t="s">
        <v>34</v>
      </c>
      <c r="CK7" s="4">
        <v>157.19999999999999</v>
      </c>
      <c r="CL7" s="4">
        <v>156.69999999999999</v>
      </c>
    </row>
    <row r="8" spans="1:90">
      <c r="A8" s="5" t="s">
        <v>32</v>
      </c>
      <c r="B8" s="6">
        <v>2021</v>
      </c>
      <c r="C8" s="6" t="s">
        <v>34</v>
      </c>
      <c r="D8" s="6">
        <v>147.6</v>
      </c>
      <c r="E8" s="6">
        <v>191.2</v>
      </c>
      <c r="F8" s="6">
        <v>169.9</v>
      </c>
      <c r="G8" s="6">
        <v>155.1</v>
      </c>
      <c r="H8" s="6">
        <v>151.4</v>
      </c>
      <c r="I8" s="6">
        <v>154</v>
      </c>
      <c r="J8" s="6">
        <v>180.2</v>
      </c>
      <c r="K8" s="6">
        <v>159.80000000000001</v>
      </c>
      <c r="L8" s="6">
        <v>114.9</v>
      </c>
      <c r="M8" s="6">
        <v>162.5</v>
      </c>
      <c r="N8" s="6">
        <v>149.19999999999999</v>
      </c>
      <c r="O8" s="6">
        <v>169.4</v>
      </c>
      <c r="P8" s="6">
        <v>160.80000000000001</v>
      </c>
      <c r="Q8" s="6">
        <v>193.3</v>
      </c>
      <c r="R8" s="6">
        <v>154.19999999999999</v>
      </c>
      <c r="S8" s="6">
        <v>138.19999999999999</v>
      </c>
      <c r="T8" s="6">
        <v>151.80000000000001</v>
      </c>
      <c r="U8" s="6">
        <v>159.80000000000001</v>
      </c>
      <c r="V8" s="6">
        <v>149.1</v>
      </c>
      <c r="W8" s="6">
        <v>146.5</v>
      </c>
      <c r="X8" s="6">
        <v>156.30000000000001</v>
      </c>
      <c r="Y8" s="6">
        <v>140.5</v>
      </c>
      <c r="Z8" s="6">
        <v>147.30000000000001</v>
      </c>
      <c r="AA8" s="6">
        <v>156.6</v>
      </c>
      <c r="AB8" s="6">
        <v>156.69999999999999</v>
      </c>
      <c r="AC8" s="6">
        <v>149.30000000000001</v>
      </c>
      <c r="AD8" s="6">
        <v>156.5</v>
      </c>
      <c r="AE8" s="22"/>
      <c r="AN8" s="6">
        <v>2021</v>
      </c>
      <c r="AO8" s="6" t="s">
        <v>34</v>
      </c>
      <c r="AP8" s="6">
        <v>147.6</v>
      </c>
      <c r="AQ8" s="6">
        <v>191.2</v>
      </c>
      <c r="AR8" s="6">
        <v>169.9</v>
      </c>
      <c r="AS8" s="6">
        <v>155.1</v>
      </c>
      <c r="AT8" s="6">
        <v>151.4</v>
      </c>
      <c r="AU8" s="6">
        <v>154</v>
      </c>
      <c r="AV8" s="6">
        <v>180.2</v>
      </c>
      <c r="AW8" s="6">
        <v>159.80000000000001</v>
      </c>
      <c r="AX8" s="6">
        <v>114.9</v>
      </c>
      <c r="AY8" s="6">
        <v>162.5</v>
      </c>
      <c r="AZ8" s="6">
        <v>169.4</v>
      </c>
      <c r="BA8" s="6">
        <v>160.80000000000001</v>
      </c>
      <c r="BF8" s="6">
        <v>2021</v>
      </c>
      <c r="BG8" s="6" t="s">
        <v>34</v>
      </c>
      <c r="BH8" s="6">
        <v>149.19999999999999</v>
      </c>
      <c r="BI8" s="6">
        <v>193.3</v>
      </c>
      <c r="BJ8" s="6">
        <v>147.30000000000001</v>
      </c>
      <c r="BK8">
        <f>SUM(BH16:BJ18)</f>
        <v>1524.0000000000002</v>
      </c>
      <c r="BM8" s="6">
        <v>2021</v>
      </c>
      <c r="BN8" s="6" t="s">
        <v>34</v>
      </c>
      <c r="BO8" s="6">
        <v>154.19999999999999</v>
      </c>
      <c r="BP8" s="6">
        <v>138.19999999999999</v>
      </c>
      <c r="BQ8" s="6">
        <v>151.80000000000001</v>
      </c>
      <c r="BR8">
        <f>SUM(BO16:BQ18)</f>
        <v>1415.5</v>
      </c>
      <c r="BT8" s="6">
        <v>2021</v>
      </c>
      <c r="BU8" s="6" t="s">
        <v>34</v>
      </c>
      <c r="BV8" s="6">
        <v>159.80000000000001</v>
      </c>
      <c r="BW8" s="6">
        <v>149.1</v>
      </c>
      <c r="BX8" s="6">
        <v>146.5</v>
      </c>
      <c r="BY8" s="6">
        <v>140.5</v>
      </c>
      <c r="BZ8" s="6">
        <v>156.6</v>
      </c>
      <c r="CA8">
        <f>SUM(BV16:BZ18)</f>
        <v>2357.3999999999996</v>
      </c>
      <c r="CC8" s="6">
        <v>2021</v>
      </c>
      <c r="CD8" s="6" t="s">
        <v>34</v>
      </c>
      <c r="CE8" s="6">
        <v>156.30000000000001</v>
      </c>
      <c r="CF8" s="6">
        <v>156.69999999999999</v>
      </c>
      <c r="CI8" s="6">
        <v>2021</v>
      </c>
      <c r="CJ8" s="6" t="s">
        <v>34</v>
      </c>
      <c r="CK8" s="6">
        <v>149.30000000000001</v>
      </c>
      <c r="CL8" s="6">
        <v>156.5</v>
      </c>
    </row>
    <row r="9" spans="1:90">
      <c r="A9" s="3" t="s">
        <v>33</v>
      </c>
      <c r="B9" s="4">
        <v>2021</v>
      </c>
      <c r="C9" s="4" t="s">
        <v>34</v>
      </c>
      <c r="D9" s="4">
        <v>144.30000000000001</v>
      </c>
      <c r="E9" s="4">
        <v>186.5</v>
      </c>
      <c r="F9" s="4">
        <v>168.7</v>
      </c>
      <c r="G9" s="4">
        <v>154.69999999999999</v>
      </c>
      <c r="H9" s="4">
        <v>158.69999999999999</v>
      </c>
      <c r="I9" s="4">
        <v>150.69999999999999</v>
      </c>
      <c r="J9" s="4">
        <v>160</v>
      </c>
      <c r="K9" s="4">
        <v>158.80000000000001</v>
      </c>
      <c r="L9" s="4">
        <v>112.8</v>
      </c>
      <c r="M9" s="4">
        <v>164.2</v>
      </c>
      <c r="N9" s="4">
        <v>155.5</v>
      </c>
      <c r="O9" s="4">
        <v>167.5</v>
      </c>
      <c r="P9" s="4">
        <v>156.9</v>
      </c>
      <c r="Q9" s="4">
        <v>188.3</v>
      </c>
      <c r="R9" s="4">
        <v>157.19999999999999</v>
      </c>
      <c r="S9" s="4">
        <v>147.4</v>
      </c>
      <c r="T9" s="4">
        <v>155.80000000000001</v>
      </c>
      <c r="U9" s="4">
        <v>159.80000000000001</v>
      </c>
      <c r="V9" s="4">
        <v>152.4</v>
      </c>
      <c r="W9" s="4">
        <v>150.9</v>
      </c>
      <c r="X9" s="4">
        <v>161.30000000000001</v>
      </c>
      <c r="Y9" s="4">
        <v>145.1</v>
      </c>
      <c r="Z9" s="4">
        <v>151.5</v>
      </c>
      <c r="AA9" s="4">
        <v>159.5</v>
      </c>
      <c r="AB9" s="4">
        <v>155.80000000000001</v>
      </c>
      <c r="AC9" s="4">
        <v>153.4</v>
      </c>
      <c r="AD9" s="4">
        <v>156.6</v>
      </c>
      <c r="AE9" s="23"/>
      <c r="AN9" s="4">
        <v>2021</v>
      </c>
      <c r="AO9" s="4" t="s">
        <v>34</v>
      </c>
      <c r="AP9" s="4">
        <v>144.30000000000001</v>
      </c>
      <c r="AQ9" s="4">
        <v>186.5</v>
      </c>
      <c r="AR9" s="4">
        <v>168.7</v>
      </c>
      <c r="AS9" s="4">
        <v>154.69999999999999</v>
      </c>
      <c r="AT9" s="4">
        <v>158.69999999999999</v>
      </c>
      <c r="AU9" s="4">
        <v>150.69999999999999</v>
      </c>
      <c r="AV9" s="4">
        <v>160</v>
      </c>
      <c r="AW9" s="4">
        <v>158.80000000000001</v>
      </c>
      <c r="AX9" s="4">
        <v>112.8</v>
      </c>
      <c r="AY9" s="4">
        <v>164.2</v>
      </c>
      <c r="AZ9" s="4">
        <v>167.5</v>
      </c>
      <c r="BA9" s="4">
        <v>156.9</v>
      </c>
      <c r="BF9" s="4">
        <v>2021</v>
      </c>
      <c r="BG9" s="4" t="s">
        <v>34</v>
      </c>
      <c r="BH9" s="4">
        <v>155.5</v>
      </c>
      <c r="BI9" s="4">
        <v>188.3</v>
      </c>
      <c r="BJ9" s="4">
        <v>151.5</v>
      </c>
      <c r="BK9">
        <f>SUM(BH19:BJ21)</f>
        <v>1519.3</v>
      </c>
      <c r="BM9" s="4">
        <v>2021</v>
      </c>
      <c r="BN9" s="4" t="s">
        <v>34</v>
      </c>
      <c r="BO9" s="4">
        <v>157.19999999999999</v>
      </c>
      <c r="BP9" s="4">
        <v>147.4</v>
      </c>
      <c r="BQ9" s="4">
        <v>155.80000000000001</v>
      </c>
      <c r="BR9">
        <f>SUM(BO19:BQ21)</f>
        <v>1417.1000000000001</v>
      </c>
      <c r="BT9" s="4">
        <v>2021</v>
      </c>
      <c r="BU9" s="4" t="s">
        <v>34</v>
      </c>
      <c r="BV9" s="4">
        <v>159.80000000000001</v>
      </c>
      <c r="BW9" s="4">
        <v>152.4</v>
      </c>
      <c r="BX9" s="4">
        <v>150.9</v>
      </c>
      <c r="BY9" s="4">
        <v>145.1</v>
      </c>
      <c r="BZ9" s="4">
        <v>159.5</v>
      </c>
      <c r="CA9">
        <f>SUM(BV19:BZ21)</f>
        <v>2362.7999999999993</v>
      </c>
      <c r="CC9" s="4">
        <v>2021</v>
      </c>
      <c r="CD9" s="4" t="s">
        <v>34</v>
      </c>
      <c r="CE9" s="4">
        <v>161.30000000000001</v>
      </c>
      <c r="CF9" s="4">
        <v>155.80000000000001</v>
      </c>
      <c r="CI9" s="4">
        <v>2021</v>
      </c>
      <c r="CJ9" s="4" t="s">
        <v>34</v>
      </c>
      <c r="CK9" s="4">
        <v>153.4</v>
      </c>
      <c r="CL9" s="4">
        <v>156.6</v>
      </c>
    </row>
    <row r="10" spans="1:90">
      <c r="A10" s="5" t="s">
        <v>30</v>
      </c>
      <c r="B10" s="6">
        <v>2021</v>
      </c>
      <c r="C10" s="6" t="s">
        <v>35</v>
      </c>
      <c r="D10" s="6">
        <v>142.5</v>
      </c>
      <c r="E10" s="6">
        <v>189.4</v>
      </c>
      <c r="F10" s="6">
        <v>163.19999999999999</v>
      </c>
      <c r="G10" s="6">
        <v>154.5</v>
      </c>
      <c r="H10" s="6">
        <v>168.2</v>
      </c>
      <c r="I10" s="6">
        <v>150.5</v>
      </c>
      <c r="J10" s="6">
        <v>141</v>
      </c>
      <c r="K10" s="6">
        <v>159.19999999999999</v>
      </c>
      <c r="L10" s="6">
        <v>111.7</v>
      </c>
      <c r="M10" s="6">
        <v>164</v>
      </c>
      <c r="N10" s="6">
        <v>160.6</v>
      </c>
      <c r="O10" s="6">
        <v>166.4</v>
      </c>
      <c r="P10" s="6">
        <v>154.5</v>
      </c>
      <c r="Q10" s="6">
        <v>186.1</v>
      </c>
      <c r="R10" s="6">
        <v>159.6</v>
      </c>
      <c r="S10" s="6">
        <v>154.4</v>
      </c>
      <c r="T10" s="6">
        <v>158.9</v>
      </c>
      <c r="U10" s="6">
        <v>159.85</v>
      </c>
      <c r="V10" s="6">
        <v>156</v>
      </c>
      <c r="W10" s="6">
        <v>154.80000000000001</v>
      </c>
      <c r="X10" s="6">
        <v>164.6</v>
      </c>
      <c r="Y10" s="6">
        <v>151.30000000000001</v>
      </c>
      <c r="Z10" s="6">
        <v>157.80000000000001</v>
      </c>
      <c r="AA10" s="6">
        <v>163.80000000000001</v>
      </c>
      <c r="AB10" s="6">
        <v>153.1</v>
      </c>
      <c r="AC10" s="6">
        <v>157.30000000000001</v>
      </c>
      <c r="AD10" s="6">
        <v>156.69999999999999</v>
      </c>
      <c r="AE10" s="22"/>
      <c r="AN10" s="6">
        <v>2021</v>
      </c>
      <c r="AO10" s="6" t="s">
        <v>35</v>
      </c>
      <c r="AP10" s="6">
        <v>142.5</v>
      </c>
      <c r="AQ10" s="6">
        <v>189.4</v>
      </c>
      <c r="AR10" s="6">
        <v>163.19999999999999</v>
      </c>
      <c r="AS10" s="6">
        <v>154.5</v>
      </c>
      <c r="AT10" s="6">
        <v>168.2</v>
      </c>
      <c r="AU10" s="6">
        <v>150.5</v>
      </c>
      <c r="AV10" s="6">
        <v>141</v>
      </c>
      <c r="AW10" s="6">
        <v>159.19999999999999</v>
      </c>
      <c r="AX10" s="6">
        <v>111.7</v>
      </c>
      <c r="AY10" s="6">
        <v>164</v>
      </c>
      <c r="AZ10" s="6">
        <v>166.4</v>
      </c>
      <c r="BA10" s="6">
        <v>154.5</v>
      </c>
      <c r="BF10" s="6">
        <v>2021</v>
      </c>
      <c r="BG10" s="6" t="s">
        <v>35</v>
      </c>
      <c r="BH10" s="6">
        <v>160.6</v>
      </c>
      <c r="BI10" s="6">
        <v>186.1</v>
      </c>
      <c r="BJ10" s="6">
        <v>157.80000000000001</v>
      </c>
      <c r="BK10">
        <f>SUM(BH22:BJ24)</f>
        <v>1524.1</v>
      </c>
      <c r="BM10" s="6">
        <v>2021</v>
      </c>
      <c r="BN10" s="6" t="s">
        <v>35</v>
      </c>
      <c r="BO10" s="6">
        <v>159.6</v>
      </c>
      <c r="BP10" s="6">
        <v>154.4</v>
      </c>
      <c r="BQ10" s="6">
        <v>158.9</v>
      </c>
      <c r="BR10">
        <f>SUM(BO22:BQ24)</f>
        <v>1425</v>
      </c>
      <c r="BT10" s="6">
        <v>2021</v>
      </c>
      <c r="BU10" s="6" t="s">
        <v>35</v>
      </c>
      <c r="BV10" s="6">
        <v>159.85</v>
      </c>
      <c r="BW10" s="6">
        <v>156</v>
      </c>
      <c r="BX10" s="6">
        <v>154.80000000000001</v>
      </c>
      <c r="BY10" s="6">
        <v>151.30000000000001</v>
      </c>
      <c r="BZ10" s="6">
        <v>163.80000000000001</v>
      </c>
      <c r="CA10">
        <f>SUM(BV22:BZ24)</f>
        <v>2382.1</v>
      </c>
      <c r="CC10" s="6">
        <v>2021</v>
      </c>
      <c r="CD10" s="6" t="s">
        <v>35</v>
      </c>
      <c r="CE10" s="6">
        <v>164.6</v>
      </c>
      <c r="CF10" s="6">
        <v>153.1</v>
      </c>
      <c r="CI10" s="6">
        <v>2021</v>
      </c>
      <c r="CJ10" s="6" t="s">
        <v>35</v>
      </c>
      <c r="CK10" s="6">
        <v>157.30000000000001</v>
      </c>
      <c r="CL10" s="6">
        <v>156.69999999999999</v>
      </c>
    </row>
    <row r="11" spans="1:90">
      <c r="A11" s="3" t="s">
        <v>32</v>
      </c>
      <c r="B11" s="4">
        <v>2021</v>
      </c>
      <c r="C11" s="4" t="s">
        <v>35</v>
      </c>
      <c r="D11" s="4">
        <v>147.5</v>
      </c>
      <c r="E11" s="4">
        <v>197.5</v>
      </c>
      <c r="F11" s="4">
        <v>164.7</v>
      </c>
      <c r="G11" s="4">
        <v>155.6</v>
      </c>
      <c r="H11" s="4">
        <v>156.4</v>
      </c>
      <c r="I11" s="4">
        <v>157.30000000000001</v>
      </c>
      <c r="J11" s="4">
        <v>166.1</v>
      </c>
      <c r="K11" s="4">
        <v>161.1</v>
      </c>
      <c r="L11" s="4">
        <v>114.3</v>
      </c>
      <c r="M11" s="4">
        <v>162.6</v>
      </c>
      <c r="N11" s="4">
        <v>150.69999999999999</v>
      </c>
      <c r="O11" s="4">
        <v>170.3</v>
      </c>
      <c r="P11" s="4">
        <v>160.4</v>
      </c>
      <c r="Q11" s="4">
        <v>193.5</v>
      </c>
      <c r="R11" s="4">
        <v>155.1</v>
      </c>
      <c r="S11" s="4">
        <v>138.69999999999999</v>
      </c>
      <c r="T11" s="4">
        <v>152.6</v>
      </c>
      <c r="U11" s="4">
        <v>159.9</v>
      </c>
      <c r="V11" s="4">
        <v>154.80000000000001</v>
      </c>
      <c r="W11" s="4">
        <v>147.19999999999999</v>
      </c>
      <c r="X11" s="4">
        <v>156.9</v>
      </c>
      <c r="Y11" s="4">
        <v>141.69999999999999</v>
      </c>
      <c r="Z11" s="4">
        <v>148.6</v>
      </c>
      <c r="AA11" s="4">
        <v>157.6</v>
      </c>
      <c r="AB11" s="4">
        <v>154.9</v>
      </c>
      <c r="AC11" s="4">
        <v>150</v>
      </c>
      <c r="AD11" s="4">
        <v>156.9</v>
      </c>
      <c r="AE11" s="23"/>
      <c r="AN11" s="4">
        <v>2021</v>
      </c>
      <c r="AO11" s="4" t="s">
        <v>35</v>
      </c>
      <c r="AP11" s="4">
        <v>147.5</v>
      </c>
      <c r="AQ11" s="4">
        <v>197.5</v>
      </c>
      <c r="AR11" s="4">
        <v>164.7</v>
      </c>
      <c r="AS11" s="4">
        <v>155.6</v>
      </c>
      <c r="AT11" s="4">
        <v>156.4</v>
      </c>
      <c r="AU11" s="4">
        <v>157.30000000000001</v>
      </c>
      <c r="AV11" s="4">
        <v>166.1</v>
      </c>
      <c r="AW11" s="4">
        <v>161.1</v>
      </c>
      <c r="AX11" s="4">
        <v>114.3</v>
      </c>
      <c r="AY11" s="4">
        <v>162.6</v>
      </c>
      <c r="AZ11" s="4">
        <v>170.3</v>
      </c>
      <c r="BA11" s="4">
        <v>160.4</v>
      </c>
      <c r="BF11" s="4">
        <v>2021</v>
      </c>
      <c r="BG11" s="4" t="s">
        <v>35</v>
      </c>
      <c r="BH11" s="4">
        <v>150.69999999999999</v>
      </c>
      <c r="BI11" s="4">
        <v>193.5</v>
      </c>
      <c r="BJ11" s="4">
        <v>148.6</v>
      </c>
      <c r="BK11">
        <f>SUM(BH25:BJ27)</f>
        <v>1536.3</v>
      </c>
      <c r="BM11" s="4">
        <v>2021</v>
      </c>
      <c r="BN11" s="4" t="s">
        <v>35</v>
      </c>
      <c r="BO11" s="4">
        <v>155.1</v>
      </c>
      <c r="BP11" s="4">
        <v>138.69999999999999</v>
      </c>
      <c r="BQ11" s="4">
        <v>152.6</v>
      </c>
      <c r="BR11">
        <f>SUM(BO25:BQ27)</f>
        <v>1439.6000000000001</v>
      </c>
      <c r="BT11" s="4">
        <v>2021</v>
      </c>
      <c r="BU11" s="4" t="s">
        <v>35</v>
      </c>
      <c r="BV11" s="4">
        <v>159.9</v>
      </c>
      <c r="BW11" s="4">
        <v>154.80000000000001</v>
      </c>
      <c r="BX11" s="4">
        <v>147.19999999999999</v>
      </c>
      <c r="BY11" s="4">
        <v>141.69999999999999</v>
      </c>
      <c r="BZ11" s="4">
        <v>157.6</v>
      </c>
      <c r="CA11">
        <f>SUM(BV25:BZ27)</f>
        <v>2398.1000000000004</v>
      </c>
      <c r="CC11" s="4">
        <v>2021</v>
      </c>
      <c r="CD11" s="4" t="s">
        <v>35</v>
      </c>
      <c r="CE11" s="4">
        <v>156.9</v>
      </c>
      <c r="CF11" s="4">
        <v>154.9</v>
      </c>
      <c r="CI11" s="4">
        <v>2021</v>
      </c>
      <c r="CJ11" s="4" t="s">
        <v>35</v>
      </c>
      <c r="CK11" s="4">
        <v>150</v>
      </c>
      <c r="CL11" s="4">
        <v>156.9</v>
      </c>
    </row>
    <row r="12" spans="1:90">
      <c r="A12" s="5" t="s">
        <v>33</v>
      </c>
      <c r="B12" s="6">
        <v>2021</v>
      </c>
      <c r="C12" s="6" t="s">
        <v>35</v>
      </c>
      <c r="D12" s="6">
        <v>144.1</v>
      </c>
      <c r="E12" s="6">
        <v>192.2</v>
      </c>
      <c r="F12" s="6">
        <v>163.80000000000001</v>
      </c>
      <c r="G12" s="6">
        <v>154.9</v>
      </c>
      <c r="H12" s="6">
        <v>163.9</v>
      </c>
      <c r="I12" s="6">
        <v>153.69999999999999</v>
      </c>
      <c r="J12" s="6">
        <v>149.5</v>
      </c>
      <c r="K12" s="6">
        <v>159.80000000000001</v>
      </c>
      <c r="L12" s="6">
        <v>112.6</v>
      </c>
      <c r="M12" s="6">
        <v>163.5</v>
      </c>
      <c r="N12" s="6">
        <v>156.5</v>
      </c>
      <c r="O12" s="6">
        <v>168.2</v>
      </c>
      <c r="P12" s="6">
        <v>156.69999999999999</v>
      </c>
      <c r="Q12" s="6">
        <v>188.1</v>
      </c>
      <c r="R12" s="6">
        <v>157.80000000000001</v>
      </c>
      <c r="S12" s="6">
        <v>147.9</v>
      </c>
      <c r="T12" s="6">
        <v>156.4</v>
      </c>
      <c r="U12" s="6">
        <v>159.9</v>
      </c>
      <c r="V12" s="6">
        <v>155.5</v>
      </c>
      <c r="W12" s="6">
        <v>151.19999999999999</v>
      </c>
      <c r="X12" s="6">
        <v>161.69999999999999</v>
      </c>
      <c r="Y12" s="6">
        <v>146.19999999999999</v>
      </c>
      <c r="Z12" s="6">
        <v>152.6</v>
      </c>
      <c r="AA12" s="6">
        <v>160.19999999999999</v>
      </c>
      <c r="AB12" s="6">
        <v>153.80000000000001</v>
      </c>
      <c r="AC12" s="6">
        <v>153.80000000000001</v>
      </c>
      <c r="AD12" s="6">
        <v>156.80000000000001</v>
      </c>
      <c r="AE12" s="22"/>
      <c r="AN12" s="6">
        <v>2021</v>
      </c>
      <c r="AO12" s="6" t="s">
        <v>35</v>
      </c>
      <c r="AP12" s="6">
        <v>144.1</v>
      </c>
      <c r="AQ12" s="6">
        <v>192.2</v>
      </c>
      <c r="AR12" s="6">
        <v>163.80000000000001</v>
      </c>
      <c r="AS12" s="6">
        <v>154.9</v>
      </c>
      <c r="AT12" s="6">
        <v>163.9</v>
      </c>
      <c r="AU12" s="6">
        <v>153.69999999999999</v>
      </c>
      <c r="AV12" s="6">
        <v>149.5</v>
      </c>
      <c r="AW12" s="6">
        <v>159.80000000000001</v>
      </c>
      <c r="AX12" s="6">
        <v>112.6</v>
      </c>
      <c r="AY12" s="6">
        <v>163.5</v>
      </c>
      <c r="AZ12" s="6">
        <v>168.2</v>
      </c>
      <c r="BA12" s="6">
        <v>156.69999999999999</v>
      </c>
      <c r="BF12" s="6">
        <v>2021</v>
      </c>
      <c r="BG12" s="6" t="s">
        <v>35</v>
      </c>
      <c r="BH12" s="6">
        <v>156.5</v>
      </c>
      <c r="BI12" s="6">
        <v>188.1</v>
      </c>
      <c r="BJ12" s="6">
        <v>152.6</v>
      </c>
      <c r="BK12">
        <f>SUM(BH28:BJ30)</f>
        <v>1539.2</v>
      </c>
      <c r="BM12" s="6">
        <v>2021</v>
      </c>
      <c r="BN12" s="6" t="s">
        <v>35</v>
      </c>
      <c r="BO12" s="6">
        <v>157.80000000000001</v>
      </c>
      <c r="BP12" s="6">
        <v>147.9</v>
      </c>
      <c r="BQ12" s="6">
        <v>156.4</v>
      </c>
      <c r="BR12">
        <f>SUM(BO28:BQ30)</f>
        <v>1442.3999999999999</v>
      </c>
      <c r="BT12" s="6">
        <v>2021</v>
      </c>
      <c r="BU12" s="6" t="s">
        <v>35</v>
      </c>
      <c r="BV12" s="6">
        <v>159.9</v>
      </c>
      <c r="BW12" s="6">
        <v>155.5</v>
      </c>
      <c r="BX12" s="6">
        <v>151.19999999999999</v>
      </c>
      <c r="BY12" s="6">
        <v>146.19999999999999</v>
      </c>
      <c r="BZ12" s="6">
        <v>160.19999999999999</v>
      </c>
      <c r="CA12">
        <f>SUM(BV28:BZ30)</f>
        <v>2400.2999999999993</v>
      </c>
      <c r="CC12" s="6">
        <v>2021</v>
      </c>
      <c r="CD12" s="6" t="s">
        <v>35</v>
      </c>
      <c r="CE12" s="6">
        <v>161.69999999999999</v>
      </c>
      <c r="CF12" s="6">
        <v>153.80000000000001</v>
      </c>
      <c r="CI12" s="6">
        <v>2021</v>
      </c>
      <c r="CJ12" s="6" t="s">
        <v>35</v>
      </c>
      <c r="CK12" s="6">
        <v>153.80000000000001</v>
      </c>
      <c r="CL12" s="6">
        <v>156.80000000000001</v>
      </c>
    </row>
    <row r="13" spans="1:90">
      <c r="A13" s="3" t="s">
        <v>30</v>
      </c>
      <c r="B13" s="4">
        <v>2021</v>
      </c>
      <c r="C13" s="4" t="s">
        <v>36</v>
      </c>
      <c r="D13" s="4">
        <v>142.69999999999999</v>
      </c>
      <c r="E13" s="4">
        <v>195.5</v>
      </c>
      <c r="F13" s="4">
        <v>163.4</v>
      </c>
      <c r="G13" s="4">
        <v>155</v>
      </c>
      <c r="H13" s="4">
        <v>175.2</v>
      </c>
      <c r="I13" s="4">
        <v>160.6</v>
      </c>
      <c r="J13" s="4">
        <v>135.1</v>
      </c>
      <c r="K13" s="4">
        <v>161.1</v>
      </c>
      <c r="L13" s="4">
        <v>112.2</v>
      </c>
      <c r="M13" s="4">
        <v>164.4</v>
      </c>
      <c r="N13" s="4">
        <v>161.9</v>
      </c>
      <c r="O13" s="4">
        <v>166.8</v>
      </c>
      <c r="P13" s="4">
        <v>155.6</v>
      </c>
      <c r="Q13" s="4">
        <v>186.8</v>
      </c>
      <c r="R13" s="4">
        <v>160.69999999999999</v>
      </c>
      <c r="S13" s="4">
        <v>155.1</v>
      </c>
      <c r="T13" s="4">
        <v>159.9</v>
      </c>
      <c r="U13" s="4">
        <v>161.5</v>
      </c>
      <c r="V13" s="4">
        <v>156</v>
      </c>
      <c r="W13" s="4">
        <v>155.5</v>
      </c>
      <c r="X13" s="4">
        <v>165.3</v>
      </c>
      <c r="Y13" s="4">
        <v>151.69999999999999</v>
      </c>
      <c r="Z13" s="4">
        <v>158.6</v>
      </c>
      <c r="AA13" s="4">
        <v>164.1</v>
      </c>
      <c r="AB13" s="4">
        <v>154.6</v>
      </c>
      <c r="AC13" s="4">
        <v>158</v>
      </c>
      <c r="AD13" s="4">
        <v>157.6</v>
      </c>
      <c r="AE13" s="23"/>
      <c r="AN13" s="4">
        <v>2021</v>
      </c>
      <c r="AO13" s="4" t="s">
        <v>36</v>
      </c>
      <c r="AP13" s="4">
        <v>142.69999999999999</v>
      </c>
      <c r="AQ13" s="4">
        <v>195.5</v>
      </c>
      <c r="AR13" s="4">
        <v>163.4</v>
      </c>
      <c r="AS13" s="4">
        <v>155</v>
      </c>
      <c r="AT13" s="4">
        <v>175.2</v>
      </c>
      <c r="AU13" s="4">
        <v>160.6</v>
      </c>
      <c r="AV13" s="4">
        <v>135.1</v>
      </c>
      <c r="AW13" s="4">
        <v>161.1</v>
      </c>
      <c r="AX13" s="4">
        <v>112.2</v>
      </c>
      <c r="AY13" s="4">
        <v>164.4</v>
      </c>
      <c r="AZ13" s="4">
        <v>166.8</v>
      </c>
      <c r="BA13" s="4">
        <v>155.6</v>
      </c>
      <c r="BF13" s="4">
        <v>2021</v>
      </c>
      <c r="BG13" s="4" t="s">
        <v>36</v>
      </c>
      <c r="BH13" s="4">
        <v>161.9</v>
      </c>
      <c r="BI13" s="4">
        <v>186.8</v>
      </c>
      <c r="BJ13" s="4">
        <v>158.6</v>
      </c>
      <c r="BK13">
        <f>SUM(BH31:BJ33)</f>
        <v>1545.2</v>
      </c>
      <c r="BM13" s="4">
        <v>2021</v>
      </c>
      <c r="BN13" s="4" t="s">
        <v>36</v>
      </c>
      <c r="BO13" s="4">
        <v>160.69999999999999</v>
      </c>
      <c r="BP13" s="4">
        <v>155.1</v>
      </c>
      <c r="BQ13" s="4">
        <v>159.9</v>
      </c>
      <c r="BR13">
        <f>SUM(BO31:BQ33)</f>
        <v>1451.8</v>
      </c>
      <c r="BT13" s="4">
        <v>2021</v>
      </c>
      <c r="BU13" s="4" t="s">
        <v>36</v>
      </c>
      <c r="BV13" s="4">
        <v>161.5</v>
      </c>
      <c r="BW13" s="4">
        <v>156</v>
      </c>
      <c r="BX13" s="4">
        <v>155.5</v>
      </c>
      <c r="BY13" s="4">
        <v>151.69999999999999</v>
      </c>
      <c r="BZ13" s="4">
        <v>164.1</v>
      </c>
      <c r="CA13">
        <f>SUM(BV31:BZ33)</f>
        <v>2418.2999999999997</v>
      </c>
      <c r="CC13" s="4">
        <v>2021</v>
      </c>
      <c r="CD13" s="4" t="s">
        <v>36</v>
      </c>
      <c r="CE13" s="4">
        <v>165.3</v>
      </c>
      <c r="CF13" s="4">
        <v>154.6</v>
      </c>
      <c r="CI13" s="4">
        <v>2021</v>
      </c>
      <c r="CJ13" s="4" t="s">
        <v>36</v>
      </c>
      <c r="CK13" s="4">
        <v>158</v>
      </c>
      <c r="CL13" s="4">
        <v>157.6</v>
      </c>
    </row>
    <row r="14" spans="1:90">
      <c r="A14" s="5" t="s">
        <v>32</v>
      </c>
      <c r="B14" s="6">
        <v>2021</v>
      </c>
      <c r="C14" s="6" t="s">
        <v>36</v>
      </c>
      <c r="D14" s="6">
        <v>147.6</v>
      </c>
      <c r="E14" s="6">
        <v>202.5</v>
      </c>
      <c r="F14" s="6">
        <v>166.4</v>
      </c>
      <c r="G14" s="6">
        <v>156</v>
      </c>
      <c r="H14" s="6">
        <v>161.4</v>
      </c>
      <c r="I14" s="6">
        <v>168.8</v>
      </c>
      <c r="J14" s="6">
        <v>161.6</v>
      </c>
      <c r="K14" s="6">
        <v>162.80000000000001</v>
      </c>
      <c r="L14" s="6">
        <v>114.8</v>
      </c>
      <c r="M14" s="6">
        <v>162.80000000000001</v>
      </c>
      <c r="N14" s="6">
        <v>151.5</v>
      </c>
      <c r="O14" s="6">
        <v>171.4</v>
      </c>
      <c r="P14" s="6">
        <v>162</v>
      </c>
      <c r="Q14" s="6">
        <v>194.4</v>
      </c>
      <c r="R14" s="6">
        <v>155.9</v>
      </c>
      <c r="S14" s="6">
        <v>139.30000000000001</v>
      </c>
      <c r="T14" s="6">
        <v>153.4</v>
      </c>
      <c r="U14" s="6">
        <v>161.4</v>
      </c>
      <c r="V14" s="6">
        <v>154.9</v>
      </c>
      <c r="W14" s="6">
        <v>147.6</v>
      </c>
      <c r="X14" s="6">
        <v>157.5</v>
      </c>
      <c r="Y14" s="6">
        <v>142.1</v>
      </c>
      <c r="Z14" s="6">
        <v>149.1</v>
      </c>
      <c r="AA14" s="6">
        <v>157.6</v>
      </c>
      <c r="AB14" s="6">
        <v>156.6</v>
      </c>
      <c r="AC14" s="6">
        <v>150.5</v>
      </c>
      <c r="AD14" s="6">
        <v>158</v>
      </c>
      <c r="AE14" s="22"/>
      <c r="AN14" s="6">
        <v>2021</v>
      </c>
      <c r="AO14" s="6" t="s">
        <v>36</v>
      </c>
      <c r="AP14" s="6">
        <v>147.6</v>
      </c>
      <c r="AQ14" s="6">
        <v>202.5</v>
      </c>
      <c r="AR14" s="6">
        <v>166.4</v>
      </c>
      <c r="AS14" s="6">
        <v>156</v>
      </c>
      <c r="AT14" s="6">
        <v>161.4</v>
      </c>
      <c r="AU14" s="6">
        <v>168.8</v>
      </c>
      <c r="AV14" s="6">
        <v>161.6</v>
      </c>
      <c r="AW14" s="6">
        <v>162.80000000000001</v>
      </c>
      <c r="AX14" s="6">
        <v>114.8</v>
      </c>
      <c r="AY14" s="6">
        <v>162.80000000000001</v>
      </c>
      <c r="AZ14" s="6">
        <v>171.4</v>
      </c>
      <c r="BA14" s="6">
        <v>162</v>
      </c>
      <c r="BF14" s="6">
        <v>2021</v>
      </c>
      <c r="BG14" s="6" t="s">
        <v>36</v>
      </c>
      <c r="BH14" s="6">
        <v>151.5</v>
      </c>
      <c r="BI14" s="6">
        <v>194.4</v>
      </c>
      <c r="BJ14" s="6">
        <v>149.1</v>
      </c>
      <c r="BK14">
        <f>SUM(BH34:BJ36)</f>
        <v>1550.5</v>
      </c>
      <c r="BM14" s="6">
        <v>2021</v>
      </c>
      <c r="BN14" s="6" t="s">
        <v>36</v>
      </c>
      <c r="BO14" s="6">
        <v>155.9</v>
      </c>
      <c r="BP14" s="6">
        <v>139.30000000000001</v>
      </c>
      <c r="BQ14" s="6">
        <v>153.4</v>
      </c>
      <c r="BR14">
        <f>SUM(BO34:BQ36)</f>
        <v>1463.9</v>
      </c>
      <c r="BT14" s="6">
        <v>2021</v>
      </c>
      <c r="BU14" s="6" t="s">
        <v>36</v>
      </c>
      <c r="BV14" s="6">
        <v>161.4</v>
      </c>
      <c r="BW14" s="6">
        <v>154.9</v>
      </c>
      <c r="BX14" s="6">
        <v>147.6</v>
      </c>
      <c r="BY14" s="6">
        <v>142.1</v>
      </c>
      <c r="BZ14" s="6">
        <v>157.6</v>
      </c>
      <c r="CA14">
        <f>SUM(BV34:BZ36)</f>
        <v>2419.8000000000006</v>
      </c>
      <c r="CC14" s="6">
        <v>2021</v>
      </c>
      <c r="CD14" s="6" t="s">
        <v>36</v>
      </c>
      <c r="CE14" s="6">
        <v>157.5</v>
      </c>
      <c r="CF14" s="6">
        <v>156.6</v>
      </c>
      <c r="CI14" s="6">
        <v>2021</v>
      </c>
      <c r="CJ14" s="6" t="s">
        <v>36</v>
      </c>
      <c r="CK14" s="6">
        <v>150.5</v>
      </c>
      <c r="CL14" s="6">
        <v>158</v>
      </c>
    </row>
    <row r="15" spans="1:90">
      <c r="A15" s="3" t="s">
        <v>33</v>
      </c>
      <c r="B15" s="4">
        <v>2021</v>
      </c>
      <c r="C15" s="4" t="s">
        <v>36</v>
      </c>
      <c r="D15" s="4">
        <v>144.30000000000001</v>
      </c>
      <c r="E15" s="4">
        <v>198</v>
      </c>
      <c r="F15" s="4">
        <v>164.6</v>
      </c>
      <c r="G15" s="4">
        <v>155.4</v>
      </c>
      <c r="H15" s="4">
        <v>170.1</v>
      </c>
      <c r="I15" s="4">
        <v>164.4</v>
      </c>
      <c r="J15" s="4">
        <v>144.1</v>
      </c>
      <c r="K15" s="4">
        <v>161.69999999999999</v>
      </c>
      <c r="L15" s="4">
        <v>113.1</v>
      </c>
      <c r="M15" s="4">
        <v>163.9</v>
      </c>
      <c r="N15" s="4">
        <v>157.6</v>
      </c>
      <c r="O15" s="4">
        <v>168.9</v>
      </c>
      <c r="P15" s="4">
        <v>158</v>
      </c>
      <c r="Q15" s="4">
        <v>188.8</v>
      </c>
      <c r="R15" s="4">
        <v>158.80000000000001</v>
      </c>
      <c r="S15" s="4">
        <v>148.5</v>
      </c>
      <c r="T15" s="4">
        <v>157.30000000000001</v>
      </c>
      <c r="U15" s="4">
        <v>161.4</v>
      </c>
      <c r="V15" s="4">
        <v>155.6</v>
      </c>
      <c r="W15" s="4">
        <v>151.80000000000001</v>
      </c>
      <c r="X15" s="4">
        <v>162.30000000000001</v>
      </c>
      <c r="Y15" s="4">
        <v>146.6</v>
      </c>
      <c r="Z15" s="4">
        <v>153.19999999999999</v>
      </c>
      <c r="AA15" s="4">
        <v>160.30000000000001</v>
      </c>
      <c r="AB15" s="4">
        <v>155.4</v>
      </c>
      <c r="AC15" s="4">
        <v>154.4</v>
      </c>
      <c r="AD15" s="4">
        <v>157.80000000000001</v>
      </c>
      <c r="AE15" s="23"/>
      <c r="AN15" s="4">
        <v>2021</v>
      </c>
      <c r="AO15" s="4" t="s">
        <v>36</v>
      </c>
      <c r="AP15" s="4">
        <v>144.30000000000001</v>
      </c>
      <c r="AQ15" s="4">
        <v>198</v>
      </c>
      <c r="AR15" s="4">
        <v>164.6</v>
      </c>
      <c r="AS15" s="4">
        <v>155.4</v>
      </c>
      <c r="AT15" s="4">
        <v>170.1</v>
      </c>
      <c r="AU15" s="4">
        <v>164.4</v>
      </c>
      <c r="AV15" s="4">
        <v>144.1</v>
      </c>
      <c r="AW15" s="4">
        <v>161.69999999999999</v>
      </c>
      <c r="AX15" s="4">
        <v>113.1</v>
      </c>
      <c r="AY15" s="4">
        <v>163.9</v>
      </c>
      <c r="AZ15" s="4">
        <v>168.9</v>
      </c>
      <c r="BA15" s="4">
        <v>158</v>
      </c>
      <c r="BF15" s="4">
        <v>2021</v>
      </c>
      <c r="BG15" s="4" t="s">
        <v>36</v>
      </c>
      <c r="BH15" s="4">
        <v>157.6</v>
      </c>
      <c r="BI15" s="4">
        <v>188.8</v>
      </c>
      <c r="BJ15" s="4">
        <v>153.19999999999999</v>
      </c>
      <c r="BK15">
        <f>SUM(BH37:BJ39)</f>
        <v>1553.1</v>
      </c>
      <c r="BM15" s="4">
        <v>2021</v>
      </c>
      <c r="BN15" s="4" t="s">
        <v>36</v>
      </c>
      <c r="BO15" s="4">
        <v>158.80000000000001</v>
      </c>
      <c r="BP15" s="4">
        <v>148.5</v>
      </c>
      <c r="BQ15" s="4">
        <v>157.30000000000001</v>
      </c>
      <c r="BR15">
        <f>SUM(BO37:BQ39)</f>
        <v>1475.2</v>
      </c>
      <c r="BT15" s="4">
        <v>2021</v>
      </c>
      <c r="BU15" s="4" t="s">
        <v>36</v>
      </c>
      <c r="BV15" s="4">
        <v>161.4</v>
      </c>
      <c r="BW15" s="4">
        <v>155.6</v>
      </c>
      <c r="BX15" s="4">
        <v>151.80000000000001</v>
      </c>
      <c r="BY15" s="4">
        <v>146.6</v>
      </c>
      <c r="BZ15" s="4">
        <v>160.30000000000001</v>
      </c>
      <c r="CA15">
        <f>SUM(BV37:BZ39)</f>
        <v>2424.5499999999997</v>
      </c>
      <c r="CC15" s="4">
        <v>2021</v>
      </c>
      <c r="CD15" s="4" t="s">
        <v>36</v>
      </c>
      <c r="CE15" s="4">
        <v>162.30000000000001</v>
      </c>
      <c r="CF15" s="4">
        <v>155.4</v>
      </c>
      <c r="CI15" s="4">
        <v>2021</v>
      </c>
      <c r="CJ15" s="4" t="s">
        <v>36</v>
      </c>
      <c r="CK15" s="4">
        <v>154.4</v>
      </c>
      <c r="CL15" s="4">
        <v>157.80000000000001</v>
      </c>
    </row>
    <row r="16" spans="1:90">
      <c r="A16" s="5" t="s">
        <v>30</v>
      </c>
      <c r="B16" s="6">
        <v>2021</v>
      </c>
      <c r="C16" s="6" t="s">
        <v>37</v>
      </c>
      <c r="D16" s="6">
        <v>145.1</v>
      </c>
      <c r="E16" s="6">
        <v>198.5</v>
      </c>
      <c r="F16" s="6">
        <v>168.6</v>
      </c>
      <c r="G16" s="6">
        <v>155.80000000000001</v>
      </c>
      <c r="H16" s="6">
        <v>184.4</v>
      </c>
      <c r="I16" s="6">
        <v>162.30000000000001</v>
      </c>
      <c r="J16" s="6">
        <v>138.4</v>
      </c>
      <c r="K16" s="6">
        <v>165.1</v>
      </c>
      <c r="L16" s="6">
        <v>114.3</v>
      </c>
      <c r="M16" s="6">
        <v>169.7</v>
      </c>
      <c r="N16" s="6">
        <v>164.6</v>
      </c>
      <c r="O16" s="6">
        <v>169.8</v>
      </c>
      <c r="P16" s="6">
        <v>158.69999999999999</v>
      </c>
      <c r="Q16" s="6">
        <v>189.6</v>
      </c>
      <c r="R16" s="6">
        <v>165.3</v>
      </c>
      <c r="S16" s="6">
        <v>160.6</v>
      </c>
      <c r="T16" s="6">
        <v>164.5</v>
      </c>
      <c r="U16" s="6">
        <v>161.5</v>
      </c>
      <c r="V16" s="6">
        <v>161.69999999999999</v>
      </c>
      <c r="W16" s="6">
        <v>158.80000000000001</v>
      </c>
      <c r="X16" s="6">
        <v>169.1</v>
      </c>
      <c r="Y16" s="6">
        <v>153.19999999999999</v>
      </c>
      <c r="Z16" s="6">
        <v>160</v>
      </c>
      <c r="AA16" s="6">
        <v>167.6</v>
      </c>
      <c r="AB16" s="6">
        <v>159.30000000000001</v>
      </c>
      <c r="AC16" s="6">
        <v>161.1</v>
      </c>
      <c r="AD16" s="6">
        <v>161.1</v>
      </c>
      <c r="AE16" s="22"/>
      <c r="AN16" s="6">
        <v>2021</v>
      </c>
      <c r="AO16" s="6" t="s">
        <v>37</v>
      </c>
      <c r="AP16" s="6">
        <v>145.1</v>
      </c>
      <c r="AQ16" s="6">
        <v>198.5</v>
      </c>
      <c r="AR16" s="6">
        <v>168.6</v>
      </c>
      <c r="AS16" s="6">
        <v>155.80000000000001</v>
      </c>
      <c r="AT16" s="6">
        <v>184.4</v>
      </c>
      <c r="AU16" s="6">
        <v>162.30000000000001</v>
      </c>
      <c r="AV16" s="6">
        <v>138.4</v>
      </c>
      <c r="AW16" s="6">
        <v>165.1</v>
      </c>
      <c r="AX16" s="6">
        <v>114.3</v>
      </c>
      <c r="AY16" s="6">
        <v>169.7</v>
      </c>
      <c r="AZ16" s="6">
        <v>169.8</v>
      </c>
      <c r="BA16" s="6">
        <v>158.69999999999999</v>
      </c>
      <c r="BF16" s="6">
        <v>2021</v>
      </c>
      <c r="BG16" s="6" t="s">
        <v>37</v>
      </c>
      <c r="BH16" s="6">
        <v>164.6</v>
      </c>
      <c r="BI16" s="6">
        <v>189.6</v>
      </c>
      <c r="BJ16" s="6">
        <v>160</v>
      </c>
      <c r="BM16" s="6">
        <v>2021</v>
      </c>
      <c r="BN16" s="6" t="s">
        <v>37</v>
      </c>
      <c r="BO16" s="6">
        <v>165.3</v>
      </c>
      <c r="BP16" s="6">
        <v>160.6</v>
      </c>
      <c r="BQ16" s="6">
        <v>164.5</v>
      </c>
      <c r="BT16" s="6">
        <v>2021</v>
      </c>
      <c r="BU16" s="6" t="s">
        <v>37</v>
      </c>
      <c r="BV16" s="6">
        <v>161.5</v>
      </c>
      <c r="BW16" s="6">
        <v>161.69999999999999</v>
      </c>
      <c r="BX16" s="6">
        <v>158.80000000000001</v>
      </c>
      <c r="BY16" s="6">
        <v>153.19999999999999</v>
      </c>
      <c r="BZ16" s="6">
        <v>167.6</v>
      </c>
      <c r="CC16" s="6">
        <v>2021</v>
      </c>
      <c r="CD16" s="6" t="s">
        <v>37</v>
      </c>
      <c r="CE16" s="6">
        <v>169.1</v>
      </c>
      <c r="CF16" s="6">
        <v>159.30000000000001</v>
      </c>
      <c r="CI16" s="6">
        <v>2021</v>
      </c>
      <c r="CJ16" s="6" t="s">
        <v>37</v>
      </c>
      <c r="CK16" s="6">
        <v>161.1</v>
      </c>
      <c r="CL16" s="6">
        <v>161.1</v>
      </c>
    </row>
    <row r="17" spans="1:90">
      <c r="A17" s="3" t="s">
        <v>32</v>
      </c>
      <c r="B17" s="4">
        <v>2021</v>
      </c>
      <c r="C17" s="4" t="s">
        <v>37</v>
      </c>
      <c r="D17" s="4">
        <v>148.80000000000001</v>
      </c>
      <c r="E17" s="4">
        <v>204.3</v>
      </c>
      <c r="F17" s="4">
        <v>173</v>
      </c>
      <c r="G17" s="4">
        <v>156.5</v>
      </c>
      <c r="H17" s="4">
        <v>168.8</v>
      </c>
      <c r="I17" s="4">
        <v>172.5</v>
      </c>
      <c r="J17" s="4">
        <v>166.5</v>
      </c>
      <c r="K17" s="4">
        <v>165.9</v>
      </c>
      <c r="L17" s="4">
        <v>115.9</v>
      </c>
      <c r="M17" s="4">
        <v>165.2</v>
      </c>
      <c r="N17" s="4">
        <v>152</v>
      </c>
      <c r="O17" s="4">
        <v>171.1</v>
      </c>
      <c r="P17" s="4">
        <v>164.2</v>
      </c>
      <c r="Q17" s="4">
        <v>198.2</v>
      </c>
      <c r="R17" s="4">
        <v>156.5</v>
      </c>
      <c r="S17" s="4">
        <v>140.19999999999999</v>
      </c>
      <c r="T17" s="4">
        <v>154.1</v>
      </c>
      <c r="U17" s="4">
        <v>161.6</v>
      </c>
      <c r="V17" s="4">
        <v>155.5</v>
      </c>
      <c r="W17" s="4">
        <v>150.1</v>
      </c>
      <c r="X17" s="4">
        <v>160.4</v>
      </c>
      <c r="Y17" s="4">
        <v>145</v>
      </c>
      <c r="Z17" s="4">
        <v>152.6</v>
      </c>
      <c r="AA17" s="4">
        <v>156.6</v>
      </c>
      <c r="AB17" s="4">
        <v>157.5</v>
      </c>
      <c r="AC17" s="4">
        <v>152.30000000000001</v>
      </c>
      <c r="AD17" s="4">
        <v>159.5</v>
      </c>
      <c r="AE17" s="23"/>
      <c r="AN17" s="4">
        <v>2021</v>
      </c>
      <c r="AO17" s="4" t="s">
        <v>37</v>
      </c>
      <c r="AP17" s="4">
        <v>148.80000000000001</v>
      </c>
      <c r="AQ17" s="4">
        <v>204.3</v>
      </c>
      <c r="AR17" s="4">
        <v>173</v>
      </c>
      <c r="AS17" s="4">
        <v>156.5</v>
      </c>
      <c r="AT17" s="4">
        <v>168.8</v>
      </c>
      <c r="AU17" s="4">
        <v>172.5</v>
      </c>
      <c r="AV17" s="4">
        <v>166.5</v>
      </c>
      <c r="AW17" s="4">
        <v>165.9</v>
      </c>
      <c r="AX17" s="4">
        <v>115.9</v>
      </c>
      <c r="AY17" s="4">
        <v>165.2</v>
      </c>
      <c r="AZ17" s="4">
        <v>171.1</v>
      </c>
      <c r="BA17" s="4">
        <v>164.2</v>
      </c>
      <c r="BF17" s="4">
        <v>2021</v>
      </c>
      <c r="BG17" s="4" t="s">
        <v>37</v>
      </c>
      <c r="BH17" s="4">
        <v>152</v>
      </c>
      <c r="BI17" s="4">
        <v>198.2</v>
      </c>
      <c r="BJ17" s="4">
        <v>152.6</v>
      </c>
      <c r="BM17" s="4">
        <v>2021</v>
      </c>
      <c r="BN17" s="4" t="s">
        <v>37</v>
      </c>
      <c r="BO17" s="4">
        <v>156.5</v>
      </c>
      <c r="BP17" s="4">
        <v>140.19999999999999</v>
      </c>
      <c r="BQ17" s="4">
        <v>154.1</v>
      </c>
      <c r="BT17" s="4">
        <v>2021</v>
      </c>
      <c r="BU17" s="4" t="s">
        <v>37</v>
      </c>
      <c r="BV17" s="4">
        <v>161.6</v>
      </c>
      <c r="BW17" s="4">
        <v>155.5</v>
      </c>
      <c r="BX17" s="4">
        <v>150.1</v>
      </c>
      <c r="BY17" s="4">
        <v>145</v>
      </c>
      <c r="BZ17" s="4">
        <v>156.6</v>
      </c>
      <c r="CC17" s="4">
        <v>2021</v>
      </c>
      <c r="CD17" s="4" t="s">
        <v>37</v>
      </c>
      <c r="CE17" s="4">
        <v>160.4</v>
      </c>
      <c r="CF17" s="4">
        <v>157.5</v>
      </c>
      <c r="CI17" s="4">
        <v>2021</v>
      </c>
      <c r="CJ17" s="4" t="s">
        <v>37</v>
      </c>
      <c r="CK17" s="4">
        <v>152.30000000000001</v>
      </c>
      <c r="CL17" s="4">
        <v>159.5</v>
      </c>
    </row>
    <row r="18" spans="1:90">
      <c r="A18" s="5" t="s">
        <v>33</v>
      </c>
      <c r="B18" s="6">
        <v>2021</v>
      </c>
      <c r="C18" s="6" t="s">
        <v>37</v>
      </c>
      <c r="D18" s="6">
        <v>146.30000000000001</v>
      </c>
      <c r="E18" s="6">
        <v>200.5</v>
      </c>
      <c r="F18" s="6">
        <v>170.3</v>
      </c>
      <c r="G18" s="6">
        <v>156.1</v>
      </c>
      <c r="H18" s="6">
        <v>178.7</v>
      </c>
      <c r="I18" s="6">
        <v>167.1</v>
      </c>
      <c r="J18" s="6">
        <v>147.9</v>
      </c>
      <c r="K18" s="6">
        <v>165.4</v>
      </c>
      <c r="L18" s="6">
        <v>114.8</v>
      </c>
      <c r="M18" s="6">
        <v>168.2</v>
      </c>
      <c r="N18" s="6">
        <v>159.30000000000001</v>
      </c>
      <c r="O18" s="6">
        <v>170.4</v>
      </c>
      <c r="P18" s="6">
        <v>160.69999999999999</v>
      </c>
      <c r="Q18" s="6">
        <v>191.9</v>
      </c>
      <c r="R18" s="6">
        <v>161.80000000000001</v>
      </c>
      <c r="S18" s="6">
        <v>152.1</v>
      </c>
      <c r="T18" s="6">
        <v>160.4</v>
      </c>
      <c r="U18" s="6">
        <v>161.6</v>
      </c>
      <c r="V18" s="6">
        <v>159.4</v>
      </c>
      <c r="W18" s="6">
        <v>154.69999999999999</v>
      </c>
      <c r="X18" s="6">
        <v>165.8</v>
      </c>
      <c r="Y18" s="6">
        <v>148.9</v>
      </c>
      <c r="Z18" s="6">
        <v>155.80000000000001</v>
      </c>
      <c r="AA18" s="6">
        <v>161.19999999999999</v>
      </c>
      <c r="AB18" s="6">
        <v>158.6</v>
      </c>
      <c r="AC18" s="6">
        <v>156.80000000000001</v>
      </c>
      <c r="AD18" s="6">
        <v>160.4</v>
      </c>
      <c r="AE18" s="22"/>
      <c r="AN18" s="6">
        <v>2021</v>
      </c>
      <c r="AO18" s="6" t="s">
        <v>37</v>
      </c>
      <c r="AP18" s="6">
        <v>146.30000000000001</v>
      </c>
      <c r="AQ18" s="6">
        <v>200.5</v>
      </c>
      <c r="AR18" s="6">
        <v>170.3</v>
      </c>
      <c r="AS18" s="6">
        <v>156.1</v>
      </c>
      <c r="AT18" s="6">
        <v>178.7</v>
      </c>
      <c r="AU18" s="6">
        <v>167.1</v>
      </c>
      <c r="AV18" s="6">
        <v>147.9</v>
      </c>
      <c r="AW18" s="6">
        <v>165.4</v>
      </c>
      <c r="AX18" s="6">
        <v>114.8</v>
      </c>
      <c r="AY18" s="6">
        <v>168.2</v>
      </c>
      <c r="AZ18" s="6">
        <v>170.4</v>
      </c>
      <c r="BA18" s="6">
        <v>160.69999999999999</v>
      </c>
      <c r="BF18" s="6">
        <v>2021</v>
      </c>
      <c r="BG18" s="6" t="s">
        <v>37</v>
      </c>
      <c r="BH18" s="6">
        <v>159.30000000000001</v>
      </c>
      <c r="BI18" s="6">
        <v>191.9</v>
      </c>
      <c r="BJ18" s="6">
        <v>155.80000000000001</v>
      </c>
      <c r="BM18" s="6">
        <v>2021</v>
      </c>
      <c r="BN18" s="6" t="s">
        <v>37</v>
      </c>
      <c r="BO18" s="6">
        <v>161.80000000000001</v>
      </c>
      <c r="BP18" s="6">
        <v>152.1</v>
      </c>
      <c r="BQ18" s="6">
        <v>160.4</v>
      </c>
      <c r="BT18" s="6">
        <v>2021</v>
      </c>
      <c r="BU18" s="6" t="s">
        <v>37</v>
      </c>
      <c r="BV18" s="6">
        <v>161.6</v>
      </c>
      <c r="BW18" s="6">
        <v>159.4</v>
      </c>
      <c r="BX18" s="6">
        <v>154.69999999999999</v>
      </c>
      <c r="BY18" s="6">
        <v>148.9</v>
      </c>
      <c r="BZ18" s="6">
        <v>161.19999999999999</v>
      </c>
      <c r="CC18" s="6">
        <v>2021</v>
      </c>
      <c r="CD18" s="6" t="s">
        <v>37</v>
      </c>
      <c r="CE18" s="6">
        <v>165.8</v>
      </c>
      <c r="CF18" s="6">
        <v>158.6</v>
      </c>
      <c r="CI18" s="6">
        <v>2021</v>
      </c>
      <c r="CJ18" s="6" t="s">
        <v>37</v>
      </c>
      <c r="CK18" s="6">
        <v>156.80000000000001</v>
      </c>
      <c r="CL18" s="6">
        <v>160.4</v>
      </c>
    </row>
    <row r="19" spans="1:90">
      <c r="A19" s="3" t="s">
        <v>30</v>
      </c>
      <c r="B19" s="4">
        <v>2021</v>
      </c>
      <c r="C19" s="4" t="s">
        <v>38</v>
      </c>
      <c r="D19" s="4">
        <v>145.6</v>
      </c>
      <c r="E19" s="4">
        <v>200.1</v>
      </c>
      <c r="F19" s="4">
        <v>179.3</v>
      </c>
      <c r="G19" s="4">
        <v>156.1</v>
      </c>
      <c r="H19" s="4">
        <v>190.4</v>
      </c>
      <c r="I19" s="4">
        <v>158.6</v>
      </c>
      <c r="J19" s="4">
        <v>144.69999999999999</v>
      </c>
      <c r="K19" s="4">
        <v>165.5</v>
      </c>
      <c r="L19" s="4">
        <v>114.6</v>
      </c>
      <c r="M19" s="4">
        <v>170</v>
      </c>
      <c r="N19" s="4">
        <v>165.5</v>
      </c>
      <c r="O19" s="4">
        <v>171.7</v>
      </c>
      <c r="P19" s="4">
        <v>160.5</v>
      </c>
      <c r="Q19" s="4">
        <v>189.1</v>
      </c>
      <c r="R19" s="4">
        <v>165.3</v>
      </c>
      <c r="S19" s="4">
        <v>159.9</v>
      </c>
      <c r="T19" s="4">
        <v>164.6</v>
      </c>
      <c r="U19" s="4">
        <v>161</v>
      </c>
      <c r="V19" s="4">
        <v>162.1</v>
      </c>
      <c r="W19" s="4">
        <v>159.19999999999999</v>
      </c>
      <c r="X19" s="4">
        <v>169.7</v>
      </c>
      <c r="Y19" s="4">
        <v>154.19999999999999</v>
      </c>
      <c r="Z19" s="4">
        <v>160.4</v>
      </c>
      <c r="AA19" s="4">
        <v>166.8</v>
      </c>
      <c r="AB19" s="4">
        <v>159.4</v>
      </c>
      <c r="AC19" s="4">
        <v>161.5</v>
      </c>
      <c r="AD19" s="4">
        <v>162.1</v>
      </c>
      <c r="AE19" s="23"/>
      <c r="AN19" s="4">
        <v>2021</v>
      </c>
      <c r="AO19" s="4" t="s">
        <v>38</v>
      </c>
      <c r="AP19" s="4">
        <v>145.6</v>
      </c>
      <c r="AQ19" s="4">
        <v>200.1</v>
      </c>
      <c r="AR19" s="4">
        <v>179.3</v>
      </c>
      <c r="AS19" s="4">
        <v>156.1</v>
      </c>
      <c r="AT19" s="4">
        <v>190.4</v>
      </c>
      <c r="AU19" s="4">
        <v>158.6</v>
      </c>
      <c r="AV19" s="4">
        <v>144.69999999999999</v>
      </c>
      <c r="AW19" s="4">
        <v>165.5</v>
      </c>
      <c r="AX19" s="4">
        <v>114.6</v>
      </c>
      <c r="AY19" s="4">
        <v>170</v>
      </c>
      <c r="AZ19" s="4">
        <v>171.7</v>
      </c>
      <c r="BA19" s="4">
        <v>160.5</v>
      </c>
      <c r="BF19" s="4">
        <v>2021</v>
      </c>
      <c r="BG19" s="4" t="s">
        <v>38</v>
      </c>
      <c r="BH19" s="4">
        <v>165.5</v>
      </c>
      <c r="BI19" s="4">
        <v>189.1</v>
      </c>
      <c r="BJ19" s="4">
        <v>160.4</v>
      </c>
      <c r="BM19" s="4">
        <v>2021</v>
      </c>
      <c r="BN19" s="4" t="s">
        <v>38</v>
      </c>
      <c r="BO19" s="4">
        <v>165.3</v>
      </c>
      <c r="BP19" s="4">
        <v>159.9</v>
      </c>
      <c r="BQ19" s="4">
        <v>164.6</v>
      </c>
      <c r="BT19" s="4">
        <v>2021</v>
      </c>
      <c r="BU19" s="4" t="s">
        <v>38</v>
      </c>
      <c r="BV19" s="4">
        <v>161</v>
      </c>
      <c r="BW19" s="4">
        <v>162.1</v>
      </c>
      <c r="BX19" s="4">
        <v>159.19999999999999</v>
      </c>
      <c r="BY19" s="4">
        <v>154.19999999999999</v>
      </c>
      <c r="BZ19" s="4">
        <v>166.8</v>
      </c>
      <c r="CC19" s="4">
        <v>2021</v>
      </c>
      <c r="CD19" s="4" t="s">
        <v>38</v>
      </c>
      <c r="CE19" s="4">
        <v>169.7</v>
      </c>
      <c r="CF19" s="4">
        <v>159.4</v>
      </c>
      <c r="CI19" s="4">
        <v>2021</v>
      </c>
      <c r="CJ19" s="4" t="s">
        <v>38</v>
      </c>
      <c r="CK19" s="4">
        <v>161.5</v>
      </c>
      <c r="CL19" s="4">
        <v>162.1</v>
      </c>
    </row>
    <row r="20" spans="1:90">
      <c r="A20" s="5" t="s">
        <v>32</v>
      </c>
      <c r="B20" s="6">
        <v>2021</v>
      </c>
      <c r="C20" s="6" t="s">
        <v>38</v>
      </c>
      <c r="D20" s="6">
        <v>149.19999999999999</v>
      </c>
      <c r="E20" s="6">
        <v>205.5</v>
      </c>
      <c r="F20" s="6">
        <v>182.8</v>
      </c>
      <c r="G20" s="6">
        <v>156.5</v>
      </c>
      <c r="H20" s="6">
        <v>172.2</v>
      </c>
      <c r="I20" s="6">
        <v>171.5</v>
      </c>
      <c r="J20" s="6">
        <v>176.2</v>
      </c>
      <c r="K20" s="6">
        <v>166.9</v>
      </c>
      <c r="L20" s="6">
        <v>116.1</v>
      </c>
      <c r="M20" s="6">
        <v>165.5</v>
      </c>
      <c r="N20" s="6">
        <v>152.30000000000001</v>
      </c>
      <c r="O20" s="6">
        <v>173.3</v>
      </c>
      <c r="P20" s="6">
        <v>166.2</v>
      </c>
      <c r="Q20" s="6">
        <v>195.6</v>
      </c>
      <c r="R20" s="6">
        <v>157.30000000000001</v>
      </c>
      <c r="S20" s="6">
        <v>140.5</v>
      </c>
      <c r="T20" s="6">
        <v>154.80000000000001</v>
      </c>
      <c r="U20" s="6">
        <v>160.5</v>
      </c>
      <c r="V20" s="6">
        <v>156.1</v>
      </c>
      <c r="W20" s="6">
        <v>149.80000000000001</v>
      </c>
      <c r="X20" s="6">
        <v>160.80000000000001</v>
      </c>
      <c r="Y20" s="6">
        <v>147.5</v>
      </c>
      <c r="Z20" s="6">
        <v>150.69999999999999</v>
      </c>
      <c r="AA20" s="6">
        <v>158.1</v>
      </c>
      <c r="AB20" s="6">
        <v>158</v>
      </c>
      <c r="AC20" s="6">
        <v>153.4</v>
      </c>
      <c r="AD20" s="6">
        <v>160.4</v>
      </c>
      <c r="AE20" s="22"/>
      <c r="AN20" s="6">
        <v>2021</v>
      </c>
      <c r="AO20" s="6" t="s">
        <v>38</v>
      </c>
      <c r="AP20" s="6">
        <v>149.19999999999999</v>
      </c>
      <c r="AQ20" s="6">
        <v>205.5</v>
      </c>
      <c r="AR20" s="6">
        <v>182.8</v>
      </c>
      <c r="AS20" s="6">
        <v>156.5</v>
      </c>
      <c r="AT20" s="6">
        <v>172.2</v>
      </c>
      <c r="AU20" s="6">
        <v>171.5</v>
      </c>
      <c r="AV20" s="6">
        <v>176.2</v>
      </c>
      <c r="AW20" s="6">
        <v>166.9</v>
      </c>
      <c r="AX20" s="6">
        <v>116.1</v>
      </c>
      <c r="AY20" s="6">
        <v>165.5</v>
      </c>
      <c r="AZ20" s="6">
        <v>173.3</v>
      </c>
      <c r="BA20" s="6">
        <v>166.2</v>
      </c>
      <c r="BF20" s="6">
        <v>2021</v>
      </c>
      <c r="BG20" s="6" t="s">
        <v>38</v>
      </c>
      <c r="BH20" s="6">
        <v>152.30000000000001</v>
      </c>
      <c r="BI20" s="6">
        <v>195.6</v>
      </c>
      <c r="BJ20" s="6">
        <v>150.69999999999999</v>
      </c>
      <c r="BM20" s="6">
        <v>2021</v>
      </c>
      <c r="BN20" s="6" t="s">
        <v>38</v>
      </c>
      <c r="BO20" s="6">
        <v>157.30000000000001</v>
      </c>
      <c r="BP20" s="6">
        <v>140.5</v>
      </c>
      <c r="BQ20" s="6">
        <v>154.80000000000001</v>
      </c>
      <c r="BT20" s="6">
        <v>2021</v>
      </c>
      <c r="BU20" s="6" t="s">
        <v>38</v>
      </c>
      <c r="BV20" s="6">
        <v>160.5</v>
      </c>
      <c r="BW20" s="6">
        <v>156.1</v>
      </c>
      <c r="BX20" s="6">
        <v>149.80000000000001</v>
      </c>
      <c r="BY20" s="6">
        <v>147.5</v>
      </c>
      <c r="BZ20" s="6">
        <v>158.1</v>
      </c>
      <c r="CC20" s="6">
        <v>2021</v>
      </c>
      <c r="CD20" s="6" t="s">
        <v>38</v>
      </c>
      <c r="CE20" s="6">
        <v>160.80000000000001</v>
      </c>
      <c r="CF20" s="6">
        <v>158</v>
      </c>
      <c r="CI20" s="6">
        <v>2021</v>
      </c>
      <c r="CJ20" s="6" t="s">
        <v>38</v>
      </c>
      <c r="CK20" s="6">
        <v>153.4</v>
      </c>
      <c r="CL20" s="6">
        <v>160.4</v>
      </c>
    </row>
    <row r="21" spans="1:90">
      <c r="A21" s="3" t="s">
        <v>33</v>
      </c>
      <c r="B21" s="4">
        <v>2021</v>
      </c>
      <c r="C21" s="4" t="s">
        <v>38</v>
      </c>
      <c r="D21" s="4">
        <v>146.69999999999999</v>
      </c>
      <c r="E21" s="4">
        <v>202</v>
      </c>
      <c r="F21" s="4">
        <v>180.7</v>
      </c>
      <c r="G21" s="4">
        <v>156.19999999999999</v>
      </c>
      <c r="H21" s="4">
        <v>183.7</v>
      </c>
      <c r="I21" s="4">
        <v>164.6</v>
      </c>
      <c r="J21" s="4">
        <v>155.4</v>
      </c>
      <c r="K21" s="4">
        <v>166</v>
      </c>
      <c r="L21" s="4">
        <v>115.1</v>
      </c>
      <c r="M21" s="4">
        <v>168.5</v>
      </c>
      <c r="N21" s="4">
        <v>160</v>
      </c>
      <c r="O21" s="4">
        <v>172.4</v>
      </c>
      <c r="P21" s="4">
        <v>162.6</v>
      </c>
      <c r="Q21" s="4">
        <v>190.8</v>
      </c>
      <c r="R21" s="4">
        <v>162.19999999999999</v>
      </c>
      <c r="S21" s="4">
        <v>151.80000000000001</v>
      </c>
      <c r="T21" s="4">
        <v>160.69999999999999</v>
      </c>
      <c r="U21" s="4">
        <v>160.5</v>
      </c>
      <c r="V21" s="4">
        <v>159.80000000000001</v>
      </c>
      <c r="W21" s="4">
        <v>154.80000000000001</v>
      </c>
      <c r="X21" s="4">
        <v>166.3</v>
      </c>
      <c r="Y21" s="4">
        <v>150.69999999999999</v>
      </c>
      <c r="Z21" s="4">
        <v>154.9</v>
      </c>
      <c r="AA21" s="4">
        <v>161.69999999999999</v>
      </c>
      <c r="AB21" s="4">
        <v>158.80000000000001</v>
      </c>
      <c r="AC21" s="4">
        <v>157.6</v>
      </c>
      <c r="AD21" s="4">
        <v>161.30000000000001</v>
      </c>
      <c r="AE21" s="23"/>
      <c r="AN21" s="4">
        <v>2021</v>
      </c>
      <c r="AO21" s="4" t="s">
        <v>38</v>
      </c>
      <c r="AP21" s="4">
        <v>146.69999999999999</v>
      </c>
      <c r="AQ21" s="4">
        <v>202</v>
      </c>
      <c r="AR21" s="4">
        <v>180.7</v>
      </c>
      <c r="AS21" s="4">
        <v>156.19999999999999</v>
      </c>
      <c r="AT21" s="4">
        <v>183.7</v>
      </c>
      <c r="AU21" s="4">
        <v>164.6</v>
      </c>
      <c r="AV21" s="4">
        <v>155.4</v>
      </c>
      <c r="AW21" s="4">
        <v>166</v>
      </c>
      <c r="AX21" s="4">
        <v>115.1</v>
      </c>
      <c r="AY21" s="4">
        <v>168.5</v>
      </c>
      <c r="AZ21" s="4">
        <v>172.4</v>
      </c>
      <c r="BA21" s="4">
        <v>162.6</v>
      </c>
      <c r="BF21" s="4">
        <v>2021</v>
      </c>
      <c r="BG21" s="4" t="s">
        <v>38</v>
      </c>
      <c r="BH21" s="4">
        <v>160</v>
      </c>
      <c r="BI21" s="4">
        <v>190.8</v>
      </c>
      <c r="BJ21" s="4">
        <v>154.9</v>
      </c>
      <c r="BM21" s="4">
        <v>2021</v>
      </c>
      <c r="BN21" s="4" t="s">
        <v>38</v>
      </c>
      <c r="BO21" s="4">
        <v>162.19999999999999</v>
      </c>
      <c r="BP21" s="4">
        <v>151.80000000000001</v>
      </c>
      <c r="BQ21" s="4">
        <v>160.69999999999999</v>
      </c>
      <c r="BT21" s="4">
        <v>2021</v>
      </c>
      <c r="BU21" s="4" t="s">
        <v>38</v>
      </c>
      <c r="BV21" s="4">
        <v>160.5</v>
      </c>
      <c r="BW21" s="4">
        <v>159.80000000000001</v>
      </c>
      <c r="BX21" s="4">
        <v>154.80000000000001</v>
      </c>
      <c r="BY21" s="4">
        <v>150.69999999999999</v>
      </c>
      <c r="BZ21" s="4">
        <v>161.69999999999999</v>
      </c>
      <c r="CC21" s="4">
        <v>2021</v>
      </c>
      <c r="CD21" s="4" t="s">
        <v>38</v>
      </c>
      <c r="CE21" s="4">
        <v>166.3</v>
      </c>
      <c r="CF21" s="4">
        <v>158.80000000000001</v>
      </c>
      <c r="CI21" s="4">
        <v>2021</v>
      </c>
      <c r="CJ21" s="4" t="s">
        <v>38</v>
      </c>
      <c r="CK21" s="4">
        <v>157.6</v>
      </c>
      <c r="CL21" s="4">
        <v>161.30000000000001</v>
      </c>
    </row>
    <row r="22" spans="1:90">
      <c r="A22" s="5" t="s">
        <v>30</v>
      </c>
      <c r="B22" s="6">
        <v>2021</v>
      </c>
      <c r="C22" s="6" t="s">
        <v>39</v>
      </c>
      <c r="D22" s="6">
        <v>145.1</v>
      </c>
      <c r="E22" s="6">
        <v>204.5</v>
      </c>
      <c r="F22" s="6">
        <v>180.4</v>
      </c>
      <c r="G22" s="6">
        <v>157.1</v>
      </c>
      <c r="H22" s="6">
        <v>188.7</v>
      </c>
      <c r="I22" s="6">
        <v>157.69999999999999</v>
      </c>
      <c r="J22" s="6">
        <v>152.80000000000001</v>
      </c>
      <c r="K22" s="6">
        <v>163.6</v>
      </c>
      <c r="L22" s="6">
        <v>113.9</v>
      </c>
      <c r="M22" s="6">
        <v>169.7</v>
      </c>
      <c r="N22" s="6">
        <v>166.2</v>
      </c>
      <c r="O22" s="6">
        <v>171</v>
      </c>
      <c r="P22" s="6">
        <v>161.69999999999999</v>
      </c>
      <c r="Q22" s="6">
        <v>189.7</v>
      </c>
      <c r="R22" s="6">
        <v>166</v>
      </c>
      <c r="S22" s="6">
        <v>161.1</v>
      </c>
      <c r="T22" s="6">
        <v>165.3</v>
      </c>
      <c r="U22" s="6">
        <v>161</v>
      </c>
      <c r="V22" s="6">
        <v>162.5</v>
      </c>
      <c r="W22" s="6">
        <v>160.30000000000001</v>
      </c>
      <c r="X22" s="6">
        <v>170.4</v>
      </c>
      <c r="Y22" s="6">
        <v>157.1</v>
      </c>
      <c r="Z22" s="6">
        <v>160.69999999999999</v>
      </c>
      <c r="AA22" s="6">
        <v>167.2</v>
      </c>
      <c r="AB22" s="6">
        <v>160.4</v>
      </c>
      <c r="AC22" s="6">
        <v>162.80000000000001</v>
      </c>
      <c r="AD22" s="6">
        <v>163.19999999999999</v>
      </c>
      <c r="AE22" s="22"/>
      <c r="AN22" s="6">
        <v>2021</v>
      </c>
      <c r="AO22" s="6" t="s">
        <v>39</v>
      </c>
      <c r="AP22" s="6">
        <v>145.1</v>
      </c>
      <c r="AQ22" s="6">
        <v>204.5</v>
      </c>
      <c r="AR22" s="6">
        <v>180.4</v>
      </c>
      <c r="AS22" s="6">
        <v>157.1</v>
      </c>
      <c r="AT22" s="6">
        <v>188.7</v>
      </c>
      <c r="AU22" s="6">
        <v>157.69999999999999</v>
      </c>
      <c r="AV22" s="6">
        <v>152.80000000000001</v>
      </c>
      <c r="AW22" s="6">
        <v>163.6</v>
      </c>
      <c r="AX22" s="6">
        <v>113.9</v>
      </c>
      <c r="AY22" s="6">
        <v>169.7</v>
      </c>
      <c r="AZ22" s="6">
        <v>171</v>
      </c>
      <c r="BA22" s="6">
        <v>161.69999999999999</v>
      </c>
      <c r="BF22" s="6">
        <v>2021</v>
      </c>
      <c r="BG22" s="6" t="s">
        <v>39</v>
      </c>
      <c r="BH22" s="6">
        <v>166.2</v>
      </c>
      <c r="BI22" s="6">
        <v>189.7</v>
      </c>
      <c r="BJ22" s="6">
        <v>160.69999999999999</v>
      </c>
      <c r="BM22" s="6">
        <v>2021</v>
      </c>
      <c r="BN22" s="6" t="s">
        <v>39</v>
      </c>
      <c r="BO22" s="6">
        <v>166</v>
      </c>
      <c r="BP22" s="6">
        <v>161.1</v>
      </c>
      <c r="BQ22" s="6">
        <v>165.3</v>
      </c>
      <c r="BT22" s="6">
        <v>2021</v>
      </c>
      <c r="BU22" s="6" t="s">
        <v>39</v>
      </c>
      <c r="BV22" s="6">
        <v>161</v>
      </c>
      <c r="BW22" s="6">
        <v>162.5</v>
      </c>
      <c r="BX22" s="6">
        <v>160.30000000000001</v>
      </c>
      <c r="BY22" s="6">
        <v>157.1</v>
      </c>
      <c r="BZ22" s="6">
        <v>167.2</v>
      </c>
      <c r="CC22" s="6">
        <v>2021</v>
      </c>
      <c r="CD22" s="6" t="s">
        <v>39</v>
      </c>
      <c r="CE22" s="6">
        <v>170.4</v>
      </c>
      <c r="CF22" s="6">
        <v>160.4</v>
      </c>
      <c r="CI22" s="6">
        <v>2021</v>
      </c>
      <c r="CJ22" s="6" t="s">
        <v>39</v>
      </c>
      <c r="CK22" s="6">
        <v>162.80000000000001</v>
      </c>
      <c r="CL22" s="6">
        <v>163.19999999999999</v>
      </c>
    </row>
    <row r="23" spans="1:90">
      <c r="A23" s="3" t="s">
        <v>32</v>
      </c>
      <c r="B23" s="4">
        <v>2021</v>
      </c>
      <c r="C23" s="4" t="s">
        <v>39</v>
      </c>
      <c r="D23" s="4">
        <v>149.1</v>
      </c>
      <c r="E23" s="4">
        <v>210.9</v>
      </c>
      <c r="F23" s="4">
        <v>185</v>
      </c>
      <c r="G23" s="4">
        <v>158.19999999999999</v>
      </c>
      <c r="H23" s="4">
        <v>170.6</v>
      </c>
      <c r="I23" s="4">
        <v>170.9</v>
      </c>
      <c r="J23" s="4">
        <v>186.4</v>
      </c>
      <c r="K23" s="4">
        <v>164.7</v>
      </c>
      <c r="L23" s="4">
        <v>115.7</v>
      </c>
      <c r="M23" s="4">
        <v>165.5</v>
      </c>
      <c r="N23" s="4">
        <v>153.4</v>
      </c>
      <c r="O23" s="4">
        <v>173.5</v>
      </c>
      <c r="P23" s="4">
        <v>167.9</v>
      </c>
      <c r="Q23" s="4">
        <v>195.5</v>
      </c>
      <c r="R23" s="4">
        <v>157.9</v>
      </c>
      <c r="S23" s="4">
        <v>141.9</v>
      </c>
      <c r="T23" s="4">
        <v>155.5</v>
      </c>
      <c r="U23" s="4">
        <v>161.5</v>
      </c>
      <c r="V23" s="4">
        <v>157.69999999999999</v>
      </c>
      <c r="W23" s="4">
        <v>150.69999999999999</v>
      </c>
      <c r="X23" s="4">
        <v>161.5</v>
      </c>
      <c r="Y23" s="4">
        <v>149.5</v>
      </c>
      <c r="Z23" s="4">
        <v>151.19999999999999</v>
      </c>
      <c r="AA23" s="4">
        <v>160.30000000000001</v>
      </c>
      <c r="AB23" s="4">
        <v>159.6</v>
      </c>
      <c r="AC23" s="4">
        <v>155</v>
      </c>
      <c r="AD23" s="4">
        <v>161.80000000000001</v>
      </c>
      <c r="AE23" s="23"/>
      <c r="AN23" s="4">
        <v>2021</v>
      </c>
      <c r="AO23" s="4" t="s">
        <v>39</v>
      </c>
      <c r="AP23" s="4">
        <v>149.1</v>
      </c>
      <c r="AQ23" s="4">
        <v>210.9</v>
      </c>
      <c r="AR23" s="4">
        <v>185</v>
      </c>
      <c r="AS23" s="4">
        <v>158.19999999999999</v>
      </c>
      <c r="AT23" s="4">
        <v>170.6</v>
      </c>
      <c r="AU23" s="4">
        <v>170.9</v>
      </c>
      <c r="AV23" s="4">
        <v>186.4</v>
      </c>
      <c r="AW23" s="4">
        <v>164.7</v>
      </c>
      <c r="AX23" s="4">
        <v>115.7</v>
      </c>
      <c r="AY23" s="4">
        <v>165.5</v>
      </c>
      <c r="AZ23" s="4">
        <v>173.5</v>
      </c>
      <c r="BA23" s="4">
        <v>167.9</v>
      </c>
      <c r="BF23" s="4">
        <v>2021</v>
      </c>
      <c r="BG23" s="4" t="s">
        <v>39</v>
      </c>
      <c r="BH23" s="4">
        <v>153.4</v>
      </c>
      <c r="BI23" s="4">
        <v>195.5</v>
      </c>
      <c r="BJ23" s="4">
        <v>151.19999999999999</v>
      </c>
      <c r="BM23" s="4">
        <v>2021</v>
      </c>
      <c r="BN23" s="4" t="s">
        <v>39</v>
      </c>
      <c r="BO23" s="4">
        <v>157.9</v>
      </c>
      <c r="BP23" s="4">
        <v>141.9</v>
      </c>
      <c r="BQ23" s="4">
        <v>155.5</v>
      </c>
      <c r="BT23" s="4">
        <v>2021</v>
      </c>
      <c r="BU23" s="4" t="s">
        <v>39</v>
      </c>
      <c r="BV23" s="4">
        <v>161.5</v>
      </c>
      <c r="BW23" s="4">
        <v>157.69999999999999</v>
      </c>
      <c r="BX23" s="4">
        <v>150.69999999999999</v>
      </c>
      <c r="BY23" s="4">
        <v>149.5</v>
      </c>
      <c r="BZ23" s="4">
        <v>160.30000000000001</v>
      </c>
      <c r="CC23" s="4">
        <v>2021</v>
      </c>
      <c r="CD23" s="4" t="s">
        <v>39</v>
      </c>
      <c r="CE23" s="4">
        <v>161.5</v>
      </c>
      <c r="CF23" s="4">
        <v>159.6</v>
      </c>
      <c r="CI23" s="4">
        <v>2021</v>
      </c>
      <c r="CJ23" s="4" t="s">
        <v>39</v>
      </c>
      <c r="CK23" s="4">
        <v>155</v>
      </c>
      <c r="CL23" s="4">
        <v>161.80000000000001</v>
      </c>
    </row>
    <row r="24" spans="1:90">
      <c r="A24" s="5" t="s">
        <v>33</v>
      </c>
      <c r="B24" s="6">
        <v>2021</v>
      </c>
      <c r="C24" s="6" t="s">
        <v>39</v>
      </c>
      <c r="D24" s="6">
        <v>146.4</v>
      </c>
      <c r="E24" s="6">
        <v>206.8</v>
      </c>
      <c r="F24" s="6">
        <v>182.2</v>
      </c>
      <c r="G24" s="6">
        <v>157.5</v>
      </c>
      <c r="H24" s="6">
        <v>182.1</v>
      </c>
      <c r="I24" s="6">
        <v>163.9</v>
      </c>
      <c r="J24" s="6">
        <v>164.2</v>
      </c>
      <c r="K24" s="6">
        <v>164</v>
      </c>
      <c r="L24" s="6">
        <v>114.5</v>
      </c>
      <c r="M24" s="6">
        <v>168.3</v>
      </c>
      <c r="N24" s="6">
        <v>160.9</v>
      </c>
      <c r="O24" s="6">
        <v>172.2</v>
      </c>
      <c r="P24" s="6">
        <v>164</v>
      </c>
      <c r="Q24" s="6">
        <v>191.2</v>
      </c>
      <c r="R24" s="6">
        <v>162.80000000000001</v>
      </c>
      <c r="S24" s="6">
        <v>153.1</v>
      </c>
      <c r="T24" s="6">
        <v>161.4</v>
      </c>
      <c r="U24" s="6">
        <v>161.5</v>
      </c>
      <c r="V24" s="6">
        <v>160.69999999999999</v>
      </c>
      <c r="W24" s="6">
        <v>155.80000000000001</v>
      </c>
      <c r="X24" s="6">
        <v>167</v>
      </c>
      <c r="Y24" s="6">
        <v>153.1</v>
      </c>
      <c r="Z24" s="6">
        <v>155.30000000000001</v>
      </c>
      <c r="AA24" s="6">
        <v>163.19999999999999</v>
      </c>
      <c r="AB24" s="6">
        <v>160.1</v>
      </c>
      <c r="AC24" s="6">
        <v>159</v>
      </c>
      <c r="AD24" s="6">
        <v>162.5</v>
      </c>
      <c r="AE24" s="22"/>
      <c r="AN24" s="6">
        <v>2021</v>
      </c>
      <c r="AO24" s="6" t="s">
        <v>39</v>
      </c>
      <c r="AP24" s="6">
        <v>146.4</v>
      </c>
      <c r="AQ24" s="6">
        <v>206.8</v>
      </c>
      <c r="AR24" s="6">
        <v>182.2</v>
      </c>
      <c r="AS24" s="6">
        <v>157.5</v>
      </c>
      <c r="AT24" s="6">
        <v>182.1</v>
      </c>
      <c r="AU24" s="6">
        <v>163.9</v>
      </c>
      <c r="AV24" s="6">
        <v>164.2</v>
      </c>
      <c r="AW24" s="6">
        <v>164</v>
      </c>
      <c r="AX24" s="6">
        <v>114.5</v>
      </c>
      <c r="AY24" s="6">
        <v>168.3</v>
      </c>
      <c r="AZ24" s="6">
        <v>172.2</v>
      </c>
      <c r="BA24" s="6">
        <v>164</v>
      </c>
      <c r="BF24" s="6">
        <v>2021</v>
      </c>
      <c r="BG24" s="6" t="s">
        <v>39</v>
      </c>
      <c r="BH24" s="6">
        <v>160.9</v>
      </c>
      <c r="BI24" s="6">
        <v>191.2</v>
      </c>
      <c r="BJ24" s="6">
        <v>155.30000000000001</v>
      </c>
      <c r="BM24" s="6">
        <v>2021</v>
      </c>
      <c r="BN24" s="6" t="s">
        <v>39</v>
      </c>
      <c r="BO24" s="6">
        <v>162.80000000000001</v>
      </c>
      <c r="BP24" s="6">
        <v>153.1</v>
      </c>
      <c r="BQ24" s="6">
        <v>161.4</v>
      </c>
      <c r="BT24" s="6">
        <v>2021</v>
      </c>
      <c r="BU24" s="6" t="s">
        <v>39</v>
      </c>
      <c r="BV24" s="6">
        <v>161.5</v>
      </c>
      <c r="BW24" s="6">
        <v>160.69999999999999</v>
      </c>
      <c r="BX24" s="6">
        <v>155.80000000000001</v>
      </c>
      <c r="BY24" s="6">
        <v>153.1</v>
      </c>
      <c r="BZ24" s="6">
        <v>163.19999999999999</v>
      </c>
      <c r="CC24" s="6">
        <v>2021</v>
      </c>
      <c r="CD24" s="6" t="s">
        <v>39</v>
      </c>
      <c r="CE24" s="6">
        <v>167</v>
      </c>
      <c r="CF24" s="6">
        <v>160.1</v>
      </c>
      <c r="CI24" s="6">
        <v>2021</v>
      </c>
      <c r="CJ24" s="6" t="s">
        <v>39</v>
      </c>
      <c r="CK24" s="6">
        <v>159</v>
      </c>
      <c r="CL24" s="6">
        <v>162.5</v>
      </c>
    </row>
    <row r="25" spans="1:90">
      <c r="A25" s="3" t="s">
        <v>30</v>
      </c>
      <c r="B25" s="4">
        <v>2021</v>
      </c>
      <c r="C25" s="4" t="s">
        <v>40</v>
      </c>
      <c r="D25" s="4">
        <v>144.9</v>
      </c>
      <c r="E25" s="4">
        <v>202.3</v>
      </c>
      <c r="F25" s="4">
        <v>176.5</v>
      </c>
      <c r="G25" s="4">
        <v>157.5</v>
      </c>
      <c r="H25" s="4">
        <v>190.9</v>
      </c>
      <c r="I25" s="4">
        <v>155.69999999999999</v>
      </c>
      <c r="J25" s="4">
        <v>153.9</v>
      </c>
      <c r="K25" s="4">
        <v>162.80000000000001</v>
      </c>
      <c r="L25" s="4">
        <v>115.2</v>
      </c>
      <c r="M25" s="4">
        <v>169.8</v>
      </c>
      <c r="N25" s="4">
        <v>167.6</v>
      </c>
      <c r="O25" s="4">
        <v>171.9</v>
      </c>
      <c r="P25" s="4">
        <v>161.80000000000001</v>
      </c>
      <c r="Q25" s="4">
        <v>190.2</v>
      </c>
      <c r="R25" s="4">
        <v>167</v>
      </c>
      <c r="S25" s="4">
        <v>162.6</v>
      </c>
      <c r="T25" s="4">
        <v>166.3</v>
      </c>
      <c r="U25" s="4">
        <v>162.1</v>
      </c>
      <c r="V25" s="4">
        <v>163.1</v>
      </c>
      <c r="W25" s="4">
        <v>160.9</v>
      </c>
      <c r="X25" s="4">
        <v>171.1</v>
      </c>
      <c r="Y25" s="4">
        <v>157.69999999999999</v>
      </c>
      <c r="Z25" s="4">
        <v>161.1</v>
      </c>
      <c r="AA25" s="4">
        <v>167.5</v>
      </c>
      <c r="AB25" s="4">
        <v>160.30000000000001</v>
      </c>
      <c r="AC25" s="4">
        <v>163.30000000000001</v>
      </c>
      <c r="AD25" s="4">
        <v>163.6</v>
      </c>
      <c r="AE25" s="23"/>
      <c r="AN25" s="4">
        <v>2021</v>
      </c>
      <c r="AO25" s="4" t="s">
        <v>40</v>
      </c>
      <c r="AP25" s="4">
        <v>144.9</v>
      </c>
      <c r="AQ25" s="4">
        <v>202.3</v>
      </c>
      <c r="AR25" s="4">
        <v>176.5</v>
      </c>
      <c r="AS25" s="4">
        <v>157.5</v>
      </c>
      <c r="AT25" s="4">
        <v>190.9</v>
      </c>
      <c r="AU25" s="4">
        <v>155.69999999999999</v>
      </c>
      <c r="AV25" s="4">
        <v>153.9</v>
      </c>
      <c r="AW25" s="4">
        <v>162.80000000000001</v>
      </c>
      <c r="AX25" s="4">
        <v>115.2</v>
      </c>
      <c r="AY25" s="4">
        <v>169.8</v>
      </c>
      <c r="AZ25" s="4">
        <v>171.9</v>
      </c>
      <c r="BA25" s="4">
        <v>161.80000000000001</v>
      </c>
      <c r="BF25" s="4">
        <v>2021</v>
      </c>
      <c r="BG25" s="4" t="s">
        <v>40</v>
      </c>
      <c r="BH25" s="4">
        <v>167.6</v>
      </c>
      <c r="BI25" s="4">
        <v>190.2</v>
      </c>
      <c r="BJ25" s="4">
        <v>161.1</v>
      </c>
      <c r="BM25" s="4">
        <v>2021</v>
      </c>
      <c r="BN25" s="4" t="s">
        <v>40</v>
      </c>
      <c r="BO25" s="4">
        <v>167</v>
      </c>
      <c r="BP25" s="4">
        <v>162.6</v>
      </c>
      <c r="BQ25" s="4">
        <v>166.3</v>
      </c>
      <c r="BT25" s="4">
        <v>2021</v>
      </c>
      <c r="BU25" s="4" t="s">
        <v>40</v>
      </c>
      <c r="BV25" s="4">
        <v>162.1</v>
      </c>
      <c r="BW25" s="4">
        <v>163.1</v>
      </c>
      <c r="BX25" s="4">
        <v>160.9</v>
      </c>
      <c r="BY25" s="4">
        <v>157.69999999999999</v>
      </c>
      <c r="BZ25" s="4">
        <v>167.5</v>
      </c>
      <c r="CC25" s="4">
        <v>2021</v>
      </c>
      <c r="CD25" s="4" t="s">
        <v>40</v>
      </c>
      <c r="CE25" s="4">
        <v>171.1</v>
      </c>
      <c r="CF25" s="4">
        <v>160.30000000000001</v>
      </c>
      <c r="CI25" s="4">
        <v>2021</v>
      </c>
      <c r="CJ25" s="4" t="s">
        <v>40</v>
      </c>
      <c r="CK25" s="4">
        <v>163.30000000000001</v>
      </c>
      <c r="CL25" s="4">
        <v>163.6</v>
      </c>
    </row>
    <row r="26" spans="1:90">
      <c r="A26" s="5" t="s">
        <v>32</v>
      </c>
      <c r="B26" s="6">
        <v>2021</v>
      </c>
      <c r="C26" s="6" t="s">
        <v>40</v>
      </c>
      <c r="D26" s="6">
        <v>149.30000000000001</v>
      </c>
      <c r="E26" s="6">
        <v>207.4</v>
      </c>
      <c r="F26" s="6">
        <v>174.1</v>
      </c>
      <c r="G26" s="6">
        <v>159.19999999999999</v>
      </c>
      <c r="H26" s="6">
        <v>175</v>
      </c>
      <c r="I26" s="6">
        <v>161.30000000000001</v>
      </c>
      <c r="J26" s="6">
        <v>183.3</v>
      </c>
      <c r="K26" s="6">
        <v>164.5</v>
      </c>
      <c r="L26" s="6">
        <v>120.4</v>
      </c>
      <c r="M26" s="6">
        <v>166.2</v>
      </c>
      <c r="N26" s="6">
        <v>154.80000000000001</v>
      </c>
      <c r="O26" s="6">
        <v>175.1</v>
      </c>
      <c r="P26" s="6">
        <v>167.3</v>
      </c>
      <c r="Q26" s="6">
        <v>196.5</v>
      </c>
      <c r="R26" s="6">
        <v>159.80000000000001</v>
      </c>
      <c r="S26" s="6">
        <v>143.6</v>
      </c>
      <c r="T26" s="6">
        <v>157.30000000000001</v>
      </c>
      <c r="U26" s="6">
        <v>162.1</v>
      </c>
      <c r="V26" s="6">
        <v>160.69999999999999</v>
      </c>
      <c r="W26" s="6">
        <v>153.19999999999999</v>
      </c>
      <c r="X26" s="6">
        <v>162.80000000000001</v>
      </c>
      <c r="Y26" s="6">
        <v>150.4</v>
      </c>
      <c r="Z26" s="6">
        <v>153.69999999999999</v>
      </c>
      <c r="AA26" s="6">
        <v>160.4</v>
      </c>
      <c r="AB26" s="6">
        <v>159.6</v>
      </c>
      <c r="AC26" s="6">
        <v>156</v>
      </c>
      <c r="AD26" s="6">
        <v>162.30000000000001</v>
      </c>
      <c r="AE26" s="22"/>
      <c r="AN26" s="6">
        <v>2021</v>
      </c>
      <c r="AO26" s="6" t="s">
        <v>40</v>
      </c>
      <c r="AP26" s="6">
        <v>149.30000000000001</v>
      </c>
      <c r="AQ26" s="6">
        <v>207.4</v>
      </c>
      <c r="AR26" s="6">
        <v>174.1</v>
      </c>
      <c r="AS26" s="6">
        <v>159.19999999999999</v>
      </c>
      <c r="AT26" s="6">
        <v>175</v>
      </c>
      <c r="AU26" s="6">
        <v>161.30000000000001</v>
      </c>
      <c r="AV26" s="6">
        <v>183.3</v>
      </c>
      <c r="AW26" s="6">
        <v>164.5</v>
      </c>
      <c r="AX26" s="6">
        <v>120.4</v>
      </c>
      <c r="AY26" s="6">
        <v>166.2</v>
      </c>
      <c r="AZ26" s="6">
        <v>175.1</v>
      </c>
      <c r="BA26" s="6">
        <v>167.3</v>
      </c>
      <c r="BF26" s="6">
        <v>2021</v>
      </c>
      <c r="BG26" s="6" t="s">
        <v>40</v>
      </c>
      <c r="BH26" s="6">
        <v>154.80000000000001</v>
      </c>
      <c r="BI26" s="6">
        <v>196.5</v>
      </c>
      <c r="BJ26" s="6">
        <v>153.69999999999999</v>
      </c>
      <c r="BM26" s="6">
        <v>2021</v>
      </c>
      <c r="BN26" s="6" t="s">
        <v>40</v>
      </c>
      <c r="BO26" s="6">
        <v>159.80000000000001</v>
      </c>
      <c r="BP26" s="6">
        <v>143.6</v>
      </c>
      <c r="BQ26" s="6">
        <v>157.30000000000001</v>
      </c>
      <c r="BT26" s="6">
        <v>2021</v>
      </c>
      <c r="BU26" s="6" t="s">
        <v>40</v>
      </c>
      <c r="BV26" s="6">
        <v>162.1</v>
      </c>
      <c r="BW26" s="6">
        <v>160.69999999999999</v>
      </c>
      <c r="BX26" s="6">
        <v>153.19999999999999</v>
      </c>
      <c r="BY26" s="6">
        <v>150.4</v>
      </c>
      <c r="BZ26" s="6">
        <v>160.4</v>
      </c>
      <c r="CC26" s="6">
        <v>2021</v>
      </c>
      <c r="CD26" s="6" t="s">
        <v>40</v>
      </c>
      <c r="CE26" s="6">
        <v>162.80000000000001</v>
      </c>
      <c r="CF26" s="6">
        <v>159.6</v>
      </c>
      <c r="CI26" s="6">
        <v>2021</v>
      </c>
      <c r="CJ26" s="6" t="s">
        <v>40</v>
      </c>
      <c r="CK26" s="6">
        <v>156</v>
      </c>
      <c r="CL26" s="6">
        <v>162.30000000000001</v>
      </c>
    </row>
    <row r="27" spans="1:90">
      <c r="A27" s="3" t="s">
        <v>33</v>
      </c>
      <c r="B27" s="4">
        <v>2021</v>
      </c>
      <c r="C27" s="4" t="s">
        <v>40</v>
      </c>
      <c r="D27" s="4">
        <v>146.6</v>
      </c>
      <c r="E27" s="4">
        <v>204</v>
      </c>
      <c r="F27" s="4">
        <v>172.8</v>
      </c>
      <c r="G27" s="4">
        <v>158.4</v>
      </c>
      <c r="H27" s="4">
        <v>188</v>
      </c>
      <c r="I27" s="4">
        <v>156.80000000000001</v>
      </c>
      <c r="J27" s="4">
        <v>162.19999999999999</v>
      </c>
      <c r="K27" s="4">
        <v>164.1</v>
      </c>
      <c r="L27" s="4">
        <v>119.7</v>
      </c>
      <c r="M27" s="4">
        <v>168.8</v>
      </c>
      <c r="N27" s="4">
        <v>162.69999999999999</v>
      </c>
      <c r="O27" s="4">
        <v>173.9</v>
      </c>
      <c r="P27" s="4">
        <v>164</v>
      </c>
      <c r="Q27" s="4">
        <v>192.1</v>
      </c>
      <c r="R27" s="4">
        <v>164.5</v>
      </c>
      <c r="S27" s="4">
        <v>155.30000000000001</v>
      </c>
      <c r="T27" s="4">
        <v>163.19999999999999</v>
      </c>
      <c r="U27" s="4">
        <v>162.1</v>
      </c>
      <c r="V27" s="4">
        <v>162.6</v>
      </c>
      <c r="W27" s="4">
        <v>157.5</v>
      </c>
      <c r="X27" s="4">
        <v>168.4</v>
      </c>
      <c r="Y27" s="4">
        <v>154</v>
      </c>
      <c r="Z27" s="4">
        <v>157.6</v>
      </c>
      <c r="AA27" s="4">
        <v>163.80000000000001</v>
      </c>
      <c r="AB27" s="4">
        <v>160</v>
      </c>
      <c r="AC27" s="4">
        <v>160</v>
      </c>
      <c r="AD27" s="4">
        <v>163.19999999999999</v>
      </c>
      <c r="AE27" s="23"/>
      <c r="AN27" s="4">
        <v>2021</v>
      </c>
      <c r="AO27" s="4" t="s">
        <v>40</v>
      </c>
      <c r="AP27" s="4">
        <v>146.6</v>
      </c>
      <c r="AQ27" s="4">
        <v>204</v>
      </c>
      <c r="AR27" s="4">
        <v>172.8</v>
      </c>
      <c r="AS27" s="4">
        <v>158.4</v>
      </c>
      <c r="AT27" s="4">
        <v>188</v>
      </c>
      <c r="AU27" s="4">
        <v>156.80000000000001</v>
      </c>
      <c r="AV27" s="4">
        <v>162.19999999999999</v>
      </c>
      <c r="AW27" s="4">
        <v>164.1</v>
      </c>
      <c r="AX27" s="4">
        <v>119.7</v>
      </c>
      <c r="AY27" s="4">
        <v>168.8</v>
      </c>
      <c r="AZ27" s="4">
        <v>173.9</v>
      </c>
      <c r="BA27" s="4">
        <v>164</v>
      </c>
      <c r="BF27" s="4">
        <v>2021</v>
      </c>
      <c r="BG27" s="4" t="s">
        <v>40</v>
      </c>
      <c r="BH27" s="4">
        <v>162.69999999999999</v>
      </c>
      <c r="BI27" s="4">
        <v>192.1</v>
      </c>
      <c r="BJ27" s="4">
        <v>157.6</v>
      </c>
      <c r="BM27" s="4">
        <v>2021</v>
      </c>
      <c r="BN27" s="4" t="s">
        <v>40</v>
      </c>
      <c r="BO27" s="4">
        <v>164.5</v>
      </c>
      <c r="BP27" s="4">
        <v>155.30000000000001</v>
      </c>
      <c r="BQ27" s="4">
        <v>163.19999999999999</v>
      </c>
      <c r="BT27" s="4">
        <v>2021</v>
      </c>
      <c r="BU27" s="4" t="s">
        <v>40</v>
      </c>
      <c r="BV27" s="4">
        <v>162.1</v>
      </c>
      <c r="BW27" s="4">
        <v>162.6</v>
      </c>
      <c r="BX27" s="4">
        <v>157.5</v>
      </c>
      <c r="BY27" s="4">
        <v>154</v>
      </c>
      <c r="BZ27" s="4">
        <v>163.80000000000001</v>
      </c>
      <c r="CC27" s="4">
        <v>2021</v>
      </c>
      <c r="CD27" s="4" t="s">
        <v>40</v>
      </c>
      <c r="CE27" s="4">
        <v>168.4</v>
      </c>
      <c r="CF27" s="4">
        <v>160</v>
      </c>
      <c r="CI27" s="4">
        <v>2021</v>
      </c>
      <c r="CJ27" s="4" t="s">
        <v>40</v>
      </c>
      <c r="CK27" s="4">
        <v>160</v>
      </c>
      <c r="CL27" s="4">
        <v>163.19999999999999</v>
      </c>
    </row>
    <row r="28" spans="1:90">
      <c r="A28" s="5" t="s">
        <v>30</v>
      </c>
      <c r="B28" s="6">
        <v>2021</v>
      </c>
      <c r="C28" s="6" t="s">
        <v>41</v>
      </c>
      <c r="D28" s="6">
        <v>145.4</v>
      </c>
      <c r="E28" s="6">
        <v>202.1</v>
      </c>
      <c r="F28" s="6">
        <v>172</v>
      </c>
      <c r="G28" s="6">
        <v>158</v>
      </c>
      <c r="H28" s="6">
        <v>195.5</v>
      </c>
      <c r="I28" s="6">
        <v>152.69999999999999</v>
      </c>
      <c r="J28" s="6">
        <v>151.4</v>
      </c>
      <c r="K28" s="6">
        <v>163.9</v>
      </c>
      <c r="L28" s="6">
        <v>119.3</v>
      </c>
      <c r="M28" s="6">
        <v>170.1</v>
      </c>
      <c r="N28" s="6">
        <v>168.3</v>
      </c>
      <c r="O28" s="6">
        <v>172.8</v>
      </c>
      <c r="P28" s="6">
        <v>162.1</v>
      </c>
      <c r="Q28" s="6">
        <v>190.5</v>
      </c>
      <c r="R28" s="6">
        <v>167.7</v>
      </c>
      <c r="S28" s="6">
        <v>163.6</v>
      </c>
      <c r="T28" s="6">
        <v>167.1</v>
      </c>
      <c r="U28" s="6">
        <v>162.1</v>
      </c>
      <c r="V28" s="6">
        <v>163.69999999999999</v>
      </c>
      <c r="W28" s="6">
        <v>161.30000000000001</v>
      </c>
      <c r="X28" s="6">
        <v>171.9</v>
      </c>
      <c r="Y28" s="6">
        <v>157.80000000000001</v>
      </c>
      <c r="Z28" s="6">
        <v>162.69999999999999</v>
      </c>
      <c r="AA28" s="6">
        <v>168.5</v>
      </c>
      <c r="AB28" s="6">
        <v>160.19999999999999</v>
      </c>
      <c r="AC28" s="6">
        <v>163.80000000000001</v>
      </c>
      <c r="AD28" s="6">
        <v>164</v>
      </c>
      <c r="AE28" s="22"/>
      <c r="AN28" s="6">
        <v>2021</v>
      </c>
      <c r="AO28" s="6" t="s">
        <v>41</v>
      </c>
      <c r="AP28" s="6">
        <v>145.4</v>
      </c>
      <c r="AQ28" s="6">
        <v>202.1</v>
      </c>
      <c r="AR28" s="6">
        <v>172</v>
      </c>
      <c r="AS28" s="6">
        <v>158</v>
      </c>
      <c r="AT28" s="6">
        <v>195.5</v>
      </c>
      <c r="AU28" s="6">
        <v>152.69999999999999</v>
      </c>
      <c r="AV28" s="6">
        <v>151.4</v>
      </c>
      <c r="AW28" s="6">
        <v>163.9</v>
      </c>
      <c r="AX28" s="6">
        <v>119.3</v>
      </c>
      <c r="AY28" s="6">
        <v>170.1</v>
      </c>
      <c r="AZ28" s="6">
        <v>172.8</v>
      </c>
      <c r="BA28" s="6">
        <v>162.1</v>
      </c>
      <c r="BF28" s="6">
        <v>2021</v>
      </c>
      <c r="BG28" s="6" t="s">
        <v>41</v>
      </c>
      <c r="BH28" s="6">
        <v>168.3</v>
      </c>
      <c r="BI28" s="6">
        <v>190.5</v>
      </c>
      <c r="BJ28" s="6">
        <v>162.69999999999999</v>
      </c>
      <c r="BM28" s="6">
        <v>2021</v>
      </c>
      <c r="BN28" s="6" t="s">
        <v>41</v>
      </c>
      <c r="BO28" s="6">
        <v>167.7</v>
      </c>
      <c r="BP28" s="6">
        <v>163.6</v>
      </c>
      <c r="BQ28" s="6">
        <v>167.1</v>
      </c>
      <c r="BT28" s="6">
        <v>2021</v>
      </c>
      <c r="BU28" s="6" t="s">
        <v>41</v>
      </c>
      <c r="BV28" s="6">
        <v>162.1</v>
      </c>
      <c r="BW28" s="6">
        <v>163.69999999999999</v>
      </c>
      <c r="BX28" s="6">
        <v>161.30000000000001</v>
      </c>
      <c r="BY28" s="6">
        <v>157.80000000000001</v>
      </c>
      <c r="BZ28" s="6">
        <v>168.5</v>
      </c>
      <c r="CC28" s="6">
        <v>2021</v>
      </c>
      <c r="CD28" s="6" t="s">
        <v>41</v>
      </c>
      <c r="CE28" s="6">
        <v>171.9</v>
      </c>
      <c r="CF28" s="6">
        <v>160.19999999999999</v>
      </c>
      <c r="CI28" s="6">
        <v>2021</v>
      </c>
      <c r="CJ28" s="6" t="s">
        <v>41</v>
      </c>
      <c r="CK28" s="6">
        <v>163.80000000000001</v>
      </c>
      <c r="CL28" s="6">
        <v>164</v>
      </c>
    </row>
    <row r="29" spans="1:90">
      <c r="A29" s="3" t="s">
        <v>32</v>
      </c>
      <c r="B29" s="4">
        <v>2021</v>
      </c>
      <c r="C29" s="4" t="s">
        <v>41</v>
      </c>
      <c r="D29" s="4">
        <v>149.30000000000001</v>
      </c>
      <c r="E29" s="4">
        <v>207.4</v>
      </c>
      <c r="F29" s="4">
        <v>174.1</v>
      </c>
      <c r="G29" s="4">
        <v>159.1</v>
      </c>
      <c r="H29" s="4">
        <v>175</v>
      </c>
      <c r="I29" s="4">
        <v>161.19999999999999</v>
      </c>
      <c r="J29" s="4">
        <v>183.5</v>
      </c>
      <c r="K29" s="4">
        <v>164.5</v>
      </c>
      <c r="L29" s="4">
        <v>120.4</v>
      </c>
      <c r="M29" s="4">
        <v>166.2</v>
      </c>
      <c r="N29" s="4">
        <v>154.80000000000001</v>
      </c>
      <c r="O29" s="4">
        <v>175.1</v>
      </c>
      <c r="P29" s="4">
        <v>167.3</v>
      </c>
      <c r="Q29" s="4">
        <v>196.5</v>
      </c>
      <c r="R29" s="4">
        <v>159.80000000000001</v>
      </c>
      <c r="S29" s="4">
        <v>143.6</v>
      </c>
      <c r="T29" s="4">
        <v>157.4</v>
      </c>
      <c r="U29" s="4">
        <v>162.1</v>
      </c>
      <c r="V29" s="4">
        <v>160.80000000000001</v>
      </c>
      <c r="W29" s="4">
        <v>153.30000000000001</v>
      </c>
      <c r="X29" s="4">
        <v>162.80000000000001</v>
      </c>
      <c r="Y29" s="4">
        <v>150.5</v>
      </c>
      <c r="Z29" s="4">
        <v>153.9</v>
      </c>
      <c r="AA29" s="4">
        <v>160.30000000000001</v>
      </c>
      <c r="AB29" s="4">
        <v>159.6</v>
      </c>
      <c r="AC29" s="4">
        <v>156</v>
      </c>
      <c r="AD29" s="4">
        <v>162.30000000000001</v>
      </c>
      <c r="AE29" s="23"/>
      <c r="AN29" s="4">
        <v>2021</v>
      </c>
      <c r="AO29" s="4" t="s">
        <v>41</v>
      </c>
      <c r="AP29" s="4">
        <v>149.30000000000001</v>
      </c>
      <c r="AQ29" s="4">
        <v>207.4</v>
      </c>
      <c r="AR29" s="4">
        <v>174.1</v>
      </c>
      <c r="AS29" s="4">
        <v>159.1</v>
      </c>
      <c r="AT29" s="4">
        <v>175</v>
      </c>
      <c r="AU29" s="4">
        <v>161.19999999999999</v>
      </c>
      <c r="AV29" s="4">
        <v>183.5</v>
      </c>
      <c r="AW29" s="4">
        <v>164.5</v>
      </c>
      <c r="AX29" s="4">
        <v>120.4</v>
      </c>
      <c r="AY29" s="4">
        <v>166.2</v>
      </c>
      <c r="AZ29" s="4">
        <v>175.1</v>
      </c>
      <c r="BA29" s="4">
        <v>167.3</v>
      </c>
      <c r="BF29" s="4">
        <v>2021</v>
      </c>
      <c r="BG29" s="4" t="s">
        <v>41</v>
      </c>
      <c r="BH29" s="4">
        <v>154.80000000000001</v>
      </c>
      <c r="BI29" s="4">
        <v>196.5</v>
      </c>
      <c r="BJ29" s="4">
        <v>153.9</v>
      </c>
      <c r="BM29" s="4">
        <v>2021</v>
      </c>
      <c r="BN29" s="4" t="s">
        <v>41</v>
      </c>
      <c r="BO29" s="4">
        <v>159.80000000000001</v>
      </c>
      <c r="BP29" s="4">
        <v>143.6</v>
      </c>
      <c r="BQ29" s="4">
        <v>157.4</v>
      </c>
      <c r="BT29" s="4">
        <v>2021</v>
      </c>
      <c r="BU29" s="4" t="s">
        <v>41</v>
      </c>
      <c r="BV29" s="4">
        <v>162.1</v>
      </c>
      <c r="BW29" s="4">
        <v>160.80000000000001</v>
      </c>
      <c r="BX29" s="4">
        <v>153.30000000000001</v>
      </c>
      <c r="BY29" s="4">
        <v>150.5</v>
      </c>
      <c r="BZ29" s="4">
        <v>160.30000000000001</v>
      </c>
      <c r="CC29" s="4">
        <v>2021</v>
      </c>
      <c r="CD29" s="4" t="s">
        <v>41</v>
      </c>
      <c r="CE29" s="4">
        <v>162.80000000000001</v>
      </c>
      <c r="CF29" s="4">
        <v>159.6</v>
      </c>
      <c r="CI29" s="4">
        <v>2021</v>
      </c>
      <c r="CJ29" s="4" t="s">
        <v>41</v>
      </c>
      <c r="CK29" s="4">
        <v>156</v>
      </c>
      <c r="CL29" s="4">
        <v>162.30000000000001</v>
      </c>
    </row>
    <row r="30" spans="1:90">
      <c r="A30" s="5" t="s">
        <v>33</v>
      </c>
      <c r="B30" s="6">
        <v>2021</v>
      </c>
      <c r="C30" s="6" t="s">
        <v>41</v>
      </c>
      <c r="D30" s="6">
        <v>146.6</v>
      </c>
      <c r="E30" s="6">
        <v>204</v>
      </c>
      <c r="F30" s="6">
        <v>172.8</v>
      </c>
      <c r="G30" s="6">
        <v>158.4</v>
      </c>
      <c r="H30" s="6">
        <v>188</v>
      </c>
      <c r="I30" s="6">
        <v>156.69999999999999</v>
      </c>
      <c r="J30" s="6">
        <v>162.30000000000001</v>
      </c>
      <c r="K30" s="6">
        <v>164.1</v>
      </c>
      <c r="L30" s="6">
        <v>119.7</v>
      </c>
      <c r="M30" s="6">
        <v>168.8</v>
      </c>
      <c r="N30" s="6">
        <v>162.69999999999999</v>
      </c>
      <c r="O30" s="6">
        <v>173.9</v>
      </c>
      <c r="P30" s="6">
        <v>164</v>
      </c>
      <c r="Q30" s="6">
        <v>192.1</v>
      </c>
      <c r="R30" s="6">
        <v>164.6</v>
      </c>
      <c r="S30" s="6">
        <v>155.30000000000001</v>
      </c>
      <c r="T30" s="6">
        <v>163.30000000000001</v>
      </c>
      <c r="U30" s="6">
        <v>162.1</v>
      </c>
      <c r="V30" s="6">
        <v>162.6</v>
      </c>
      <c r="W30" s="6">
        <v>157.5</v>
      </c>
      <c r="X30" s="6">
        <v>168.4</v>
      </c>
      <c r="Y30" s="6">
        <v>154</v>
      </c>
      <c r="Z30" s="6">
        <v>157.69999999999999</v>
      </c>
      <c r="AA30" s="6">
        <v>163.69999999999999</v>
      </c>
      <c r="AB30" s="6">
        <v>160</v>
      </c>
      <c r="AC30" s="6">
        <v>160</v>
      </c>
      <c r="AD30" s="6">
        <v>163.19999999999999</v>
      </c>
      <c r="AE30" s="22"/>
      <c r="AN30" s="6">
        <v>2021</v>
      </c>
      <c r="AO30" s="6" t="s">
        <v>41</v>
      </c>
      <c r="AP30" s="6">
        <v>146.6</v>
      </c>
      <c r="AQ30" s="6">
        <v>204</v>
      </c>
      <c r="AR30" s="6">
        <v>172.8</v>
      </c>
      <c r="AS30" s="6">
        <v>158.4</v>
      </c>
      <c r="AT30" s="6">
        <v>188</v>
      </c>
      <c r="AU30" s="6">
        <v>156.69999999999999</v>
      </c>
      <c r="AV30" s="6">
        <v>162.30000000000001</v>
      </c>
      <c r="AW30" s="6">
        <v>164.1</v>
      </c>
      <c r="AX30" s="6">
        <v>119.7</v>
      </c>
      <c r="AY30" s="6">
        <v>168.8</v>
      </c>
      <c r="AZ30" s="6">
        <v>173.9</v>
      </c>
      <c r="BA30" s="6">
        <v>164</v>
      </c>
      <c r="BF30" s="6">
        <v>2021</v>
      </c>
      <c r="BG30" s="6" t="s">
        <v>41</v>
      </c>
      <c r="BH30" s="6">
        <v>162.69999999999999</v>
      </c>
      <c r="BI30" s="6">
        <v>192.1</v>
      </c>
      <c r="BJ30" s="6">
        <v>157.69999999999999</v>
      </c>
      <c r="BM30" s="6">
        <v>2021</v>
      </c>
      <c r="BN30" s="6" t="s">
        <v>41</v>
      </c>
      <c r="BO30" s="6">
        <v>164.6</v>
      </c>
      <c r="BP30" s="6">
        <v>155.30000000000001</v>
      </c>
      <c r="BQ30" s="6">
        <v>163.30000000000001</v>
      </c>
      <c r="BT30" s="6">
        <v>2021</v>
      </c>
      <c r="BU30" s="6" t="s">
        <v>41</v>
      </c>
      <c r="BV30" s="6">
        <v>162.1</v>
      </c>
      <c r="BW30" s="6">
        <v>162.6</v>
      </c>
      <c r="BX30" s="6">
        <v>157.5</v>
      </c>
      <c r="BY30" s="6">
        <v>154</v>
      </c>
      <c r="BZ30" s="6">
        <v>163.69999999999999</v>
      </c>
      <c r="CC30" s="6">
        <v>2021</v>
      </c>
      <c r="CD30" s="6" t="s">
        <v>41</v>
      </c>
      <c r="CE30" s="6">
        <v>168.4</v>
      </c>
      <c r="CF30" s="6">
        <v>160</v>
      </c>
      <c r="CI30" s="6">
        <v>2021</v>
      </c>
      <c r="CJ30" s="6" t="s">
        <v>41</v>
      </c>
      <c r="CK30" s="6">
        <v>160</v>
      </c>
      <c r="CL30" s="6">
        <v>163.19999999999999</v>
      </c>
    </row>
    <row r="31" spans="1:90">
      <c r="A31" s="3" t="s">
        <v>30</v>
      </c>
      <c r="B31" s="4">
        <v>2021</v>
      </c>
      <c r="C31" s="4" t="s">
        <v>42</v>
      </c>
      <c r="D31" s="4">
        <v>146.1</v>
      </c>
      <c r="E31" s="4">
        <v>202.5</v>
      </c>
      <c r="F31" s="4">
        <v>170.1</v>
      </c>
      <c r="G31" s="4">
        <v>158.4</v>
      </c>
      <c r="H31" s="4">
        <v>198.8</v>
      </c>
      <c r="I31" s="4">
        <v>152.6</v>
      </c>
      <c r="J31" s="4">
        <v>170.4</v>
      </c>
      <c r="K31" s="4">
        <v>165.2</v>
      </c>
      <c r="L31" s="4">
        <v>121.6</v>
      </c>
      <c r="M31" s="4">
        <v>170.6</v>
      </c>
      <c r="N31" s="4">
        <v>168.8</v>
      </c>
      <c r="O31" s="4">
        <v>173.6</v>
      </c>
      <c r="P31" s="4">
        <v>165.5</v>
      </c>
      <c r="Q31" s="4">
        <v>191.2</v>
      </c>
      <c r="R31" s="4">
        <v>168.9</v>
      </c>
      <c r="S31" s="4">
        <v>164.8</v>
      </c>
      <c r="T31" s="4">
        <v>168.3</v>
      </c>
      <c r="U31" s="4">
        <v>163.89999999999998</v>
      </c>
      <c r="V31" s="4">
        <v>165.5</v>
      </c>
      <c r="W31" s="4">
        <v>162</v>
      </c>
      <c r="X31" s="4">
        <v>172.5</v>
      </c>
      <c r="Y31" s="4">
        <v>159.5</v>
      </c>
      <c r="Z31" s="4">
        <v>163.19999999999999</v>
      </c>
      <c r="AA31" s="4">
        <v>169</v>
      </c>
      <c r="AB31" s="4">
        <v>161.1</v>
      </c>
      <c r="AC31" s="4">
        <v>164.7</v>
      </c>
      <c r="AD31" s="4">
        <v>166.3</v>
      </c>
      <c r="AE31" s="23"/>
      <c r="AN31" s="4">
        <v>2021</v>
      </c>
      <c r="AO31" s="4" t="s">
        <v>42</v>
      </c>
      <c r="AP31" s="4">
        <v>146.1</v>
      </c>
      <c r="AQ31" s="4">
        <v>202.5</v>
      </c>
      <c r="AR31" s="4">
        <v>170.1</v>
      </c>
      <c r="AS31" s="4">
        <v>158.4</v>
      </c>
      <c r="AT31" s="4">
        <v>198.8</v>
      </c>
      <c r="AU31" s="4">
        <v>152.6</v>
      </c>
      <c r="AV31" s="4">
        <v>170.4</v>
      </c>
      <c r="AW31" s="4">
        <v>165.2</v>
      </c>
      <c r="AX31" s="4">
        <v>121.6</v>
      </c>
      <c r="AY31" s="4">
        <v>170.6</v>
      </c>
      <c r="AZ31" s="4">
        <v>173.6</v>
      </c>
      <c r="BA31" s="4">
        <v>165.5</v>
      </c>
      <c r="BF31" s="4">
        <v>2021</v>
      </c>
      <c r="BG31" s="4" t="s">
        <v>42</v>
      </c>
      <c r="BH31" s="4">
        <v>168.8</v>
      </c>
      <c r="BI31" s="4">
        <v>191.2</v>
      </c>
      <c r="BJ31" s="4">
        <v>163.19999999999999</v>
      </c>
      <c r="BM31" s="4">
        <v>2021</v>
      </c>
      <c r="BN31" s="4" t="s">
        <v>42</v>
      </c>
      <c r="BO31" s="4">
        <v>168.9</v>
      </c>
      <c r="BP31" s="4">
        <v>164.8</v>
      </c>
      <c r="BQ31" s="4">
        <v>168.3</v>
      </c>
      <c r="BT31" s="4">
        <v>2021</v>
      </c>
      <c r="BU31" s="4" t="s">
        <v>42</v>
      </c>
      <c r="BV31" s="4">
        <v>163.89999999999998</v>
      </c>
      <c r="BW31" s="4">
        <v>165.5</v>
      </c>
      <c r="BX31" s="4">
        <v>162</v>
      </c>
      <c r="BY31" s="4">
        <v>159.5</v>
      </c>
      <c r="BZ31" s="4">
        <v>169</v>
      </c>
      <c r="CC31" s="4">
        <v>2021</v>
      </c>
      <c r="CD31" s="4" t="s">
        <v>42</v>
      </c>
      <c r="CE31" s="4">
        <v>172.5</v>
      </c>
      <c r="CF31" s="4">
        <v>161.1</v>
      </c>
      <c r="CI31" s="4">
        <v>2021</v>
      </c>
      <c r="CJ31" s="4" t="s">
        <v>42</v>
      </c>
      <c r="CK31" s="4">
        <v>164.7</v>
      </c>
      <c r="CL31" s="4">
        <v>166.3</v>
      </c>
    </row>
    <row r="32" spans="1:90">
      <c r="A32" s="5" t="s">
        <v>32</v>
      </c>
      <c r="B32" s="6">
        <v>2021</v>
      </c>
      <c r="C32" s="6" t="s">
        <v>42</v>
      </c>
      <c r="D32" s="6">
        <v>150.1</v>
      </c>
      <c r="E32" s="6">
        <v>208.4</v>
      </c>
      <c r="F32" s="6">
        <v>173</v>
      </c>
      <c r="G32" s="6">
        <v>159.19999999999999</v>
      </c>
      <c r="H32" s="6">
        <v>176.6</v>
      </c>
      <c r="I32" s="6">
        <v>159.30000000000001</v>
      </c>
      <c r="J32" s="6">
        <v>214.4</v>
      </c>
      <c r="K32" s="6">
        <v>165.3</v>
      </c>
      <c r="L32" s="6">
        <v>122.5</v>
      </c>
      <c r="M32" s="6">
        <v>166.8</v>
      </c>
      <c r="N32" s="6">
        <v>155.4</v>
      </c>
      <c r="O32" s="6">
        <v>175.9</v>
      </c>
      <c r="P32" s="6">
        <v>171.5</v>
      </c>
      <c r="Q32" s="6">
        <v>197</v>
      </c>
      <c r="R32" s="6">
        <v>160.80000000000001</v>
      </c>
      <c r="S32" s="6">
        <v>144.4</v>
      </c>
      <c r="T32" s="6">
        <v>158.30000000000001</v>
      </c>
      <c r="U32" s="6">
        <v>163.6</v>
      </c>
      <c r="V32" s="6">
        <v>162.19999999999999</v>
      </c>
      <c r="W32" s="6">
        <v>154.30000000000001</v>
      </c>
      <c r="X32" s="6">
        <v>163.5</v>
      </c>
      <c r="Y32" s="6">
        <v>152.19999999999999</v>
      </c>
      <c r="Z32" s="6">
        <v>155.1</v>
      </c>
      <c r="AA32" s="6">
        <v>160.30000000000001</v>
      </c>
      <c r="AB32" s="6">
        <v>160.30000000000001</v>
      </c>
      <c r="AC32" s="6">
        <v>157</v>
      </c>
      <c r="AD32" s="6">
        <v>164.6</v>
      </c>
      <c r="AE32" s="22"/>
      <c r="AN32" s="6">
        <v>2021</v>
      </c>
      <c r="AO32" s="6" t="s">
        <v>42</v>
      </c>
      <c r="AP32" s="6">
        <v>150.1</v>
      </c>
      <c r="AQ32" s="6">
        <v>208.4</v>
      </c>
      <c r="AR32" s="6">
        <v>173</v>
      </c>
      <c r="AS32" s="6">
        <v>159.19999999999999</v>
      </c>
      <c r="AT32" s="6">
        <v>176.6</v>
      </c>
      <c r="AU32" s="6">
        <v>159.30000000000001</v>
      </c>
      <c r="AV32" s="6">
        <v>214.4</v>
      </c>
      <c r="AW32" s="6">
        <v>165.3</v>
      </c>
      <c r="AX32" s="6">
        <v>122.5</v>
      </c>
      <c r="AY32" s="6">
        <v>166.8</v>
      </c>
      <c r="AZ32" s="6">
        <v>175.9</v>
      </c>
      <c r="BA32" s="6">
        <v>171.5</v>
      </c>
      <c r="BF32" s="6">
        <v>2021</v>
      </c>
      <c r="BG32" s="6" t="s">
        <v>42</v>
      </c>
      <c r="BH32" s="6">
        <v>155.4</v>
      </c>
      <c r="BI32" s="6">
        <v>197</v>
      </c>
      <c r="BJ32" s="6">
        <v>155.1</v>
      </c>
      <c r="BM32" s="6">
        <v>2021</v>
      </c>
      <c r="BN32" s="6" t="s">
        <v>42</v>
      </c>
      <c r="BO32" s="6">
        <v>160.80000000000001</v>
      </c>
      <c r="BP32" s="6">
        <v>144.4</v>
      </c>
      <c r="BQ32" s="6">
        <v>158.30000000000001</v>
      </c>
      <c r="BT32" s="6">
        <v>2021</v>
      </c>
      <c r="BU32" s="6" t="s">
        <v>42</v>
      </c>
      <c r="BV32" s="6">
        <v>163.6</v>
      </c>
      <c r="BW32" s="6">
        <v>162.19999999999999</v>
      </c>
      <c r="BX32" s="6">
        <v>154.30000000000001</v>
      </c>
      <c r="BY32" s="6">
        <v>152.19999999999999</v>
      </c>
      <c r="BZ32" s="6">
        <v>160.30000000000001</v>
      </c>
      <c r="CC32" s="6">
        <v>2021</v>
      </c>
      <c r="CD32" s="6" t="s">
        <v>42</v>
      </c>
      <c r="CE32" s="6">
        <v>163.5</v>
      </c>
      <c r="CF32" s="6">
        <v>160.30000000000001</v>
      </c>
      <c r="CI32" s="6">
        <v>2021</v>
      </c>
      <c r="CJ32" s="6" t="s">
        <v>42</v>
      </c>
      <c r="CK32" s="6">
        <v>157</v>
      </c>
      <c r="CL32" s="6">
        <v>164.6</v>
      </c>
    </row>
    <row r="33" spans="1:90">
      <c r="A33" s="3" t="s">
        <v>33</v>
      </c>
      <c r="B33" s="4">
        <v>2021</v>
      </c>
      <c r="C33" s="4" t="s">
        <v>42</v>
      </c>
      <c r="D33" s="4">
        <v>147.4</v>
      </c>
      <c r="E33" s="4">
        <v>204.6</v>
      </c>
      <c r="F33" s="4">
        <v>171.2</v>
      </c>
      <c r="G33" s="4">
        <v>158.69999999999999</v>
      </c>
      <c r="H33" s="4">
        <v>190.6</v>
      </c>
      <c r="I33" s="4">
        <v>155.69999999999999</v>
      </c>
      <c r="J33" s="4">
        <v>185.3</v>
      </c>
      <c r="K33" s="4">
        <v>165.2</v>
      </c>
      <c r="L33" s="4">
        <v>121.9</v>
      </c>
      <c r="M33" s="4">
        <v>169.3</v>
      </c>
      <c r="N33" s="4">
        <v>163.19999999999999</v>
      </c>
      <c r="O33" s="4">
        <v>174.7</v>
      </c>
      <c r="P33" s="4">
        <v>167.7</v>
      </c>
      <c r="Q33" s="4">
        <v>192.7</v>
      </c>
      <c r="R33" s="4">
        <v>165.7</v>
      </c>
      <c r="S33" s="4">
        <v>156.30000000000001</v>
      </c>
      <c r="T33" s="4">
        <v>164.3</v>
      </c>
      <c r="U33" s="4">
        <v>163.6</v>
      </c>
      <c r="V33" s="4">
        <v>164.2</v>
      </c>
      <c r="W33" s="4">
        <v>158.4</v>
      </c>
      <c r="X33" s="4">
        <v>169.1</v>
      </c>
      <c r="Y33" s="4">
        <v>155.69999999999999</v>
      </c>
      <c r="Z33" s="4">
        <v>158.6</v>
      </c>
      <c r="AA33" s="4">
        <v>163.9</v>
      </c>
      <c r="AB33" s="4">
        <v>160.80000000000001</v>
      </c>
      <c r="AC33" s="4">
        <v>161</v>
      </c>
      <c r="AD33" s="4">
        <v>165.5</v>
      </c>
      <c r="AE33" s="23"/>
      <c r="AN33" s="4">
        <v>2021</v>
      </c>
      <c r="AO33" s="4" t="s">
        <v>42</v>
      </c>
      <c r="AP33" s="4">
        <v>147.4</v>
      </c>
      <c r="AQ33" s="4">
        <v>204.6</v>
      </c>
      <c r="AR33" s="4">
        <v>171.2</v>
      </c>
      <c r="AS33" s="4">
        <v>158.69999999999999</v>
      </c>
      <c r="AT33" s="4">
        <v>190.6</v>
      </c>
      <c r="AU33" s="4">
        <v>155.69999999999999</v>
      </c>
      <c r="AV33" s="4">
        <v>185.3</v>
      </c>
      <c r="AW33" s="4">
        <v>165.2</v>
      </c>
      <c r="AX33" s="4">
        <v>121.9</v>
      </c>
      <c r="AY33" s="4">
        <v>169.3</v>
      </c>
      <c r="AZ33" s="4">
        <v>174.7</v>
      </c>
      <c r="BA33" s="4">
        <v>167.7</v>
      </c>
      <c r="BF33" s="4">
        <v>2021</v>
      </c>
      <c r="BG33" s="4" t="s">
        <v>42</v>
      </c>
      <c r="BH33" s="4">
        <v>163.19999999999999</v>
      </c>
      <c r="BI33" s="4">
        <v>192.7</v>
      </c>
      <c r="BJ33" s="4">
        <v>158.6</v>
      </c>
      <c r="BM33" s="4">
        <v>2021</v>
      </c>
      <c r="BN33" s="4" t="s">
        <v>42</v>
      </c>
      <c r="BO33" s="4">
        <v>165.7</v>
      </c>
      <c r="BP33" s="4">
        <v>156.30000000000001</v>
      </c>
      <c r="BQ33" s="4">
        <v>164.3</v>
      </c>
      <c r="BT33" s="4">
        <v>2021</v>
      </c>
      <c r="BU33" s="4" t="s">
        <v>42</v>
      </c>
      <c r="BV33" s="4">
        <v>163.6</v>
      </c>
      <c r="BW33" s="4">
        <v>164.2</v>
      </c>
      <c r="BX33" s="4">
        <v>158.4</v>
      </c>
      <c r="BY33" s="4">
        <v>155.69999999999999</v>
      </c>
      <c r="BZ33" s="4">
        <v>163.9</v>
      </c>
      <c r="CC33" s="4">
        <v>2021</v>
      </c>
      <c r="CD33" s="4" t="s">
        <v>42</v>
      </c>
      <c r="CE33" s="4">
        <v>169.1</v>
      </c>
      <c r="CF33" s="4">
        <v>160.80000000000001</v>
      </c>
      <c r="CI33" s="4">
        <v>2021</v>
      </c>
      <c r="CJ33" s="4" t="s">
        <v>42</v>
      </c>
      <c r="CK33" s="4">
        <v>161</v>
      </c>
      <c r="CL33" s="4">
        <v>165.5</v>
      </c>
    </row>
    <row r="34" spans="1:90">
      <c r="A34" s="5" t="s">
        <v>30</v>
      </c>
      <c r="B34" s="6">
        <v>2021</v>
      </c>
      <c r="C34" s="6" t="s">
        <v>43</v>
      </c>
      <c r="D34" s="6">
        <v>146.9</v>
      </c>
      <c r="E34" s="6">
        <v>199.8</v>
      </c>
      <c r="F34" s="6">
        <v>171.5</v>
      </c>
      <c r="G34" s="6">
        <v>159.1</v>
      </c>
      <c r="H34" s="6">
        <v>198.4</v>
      </c>
      <c r="I34" s="6">
        <v>153.19999999999999</v>
      </c>
      <c r="J34" s="6">
        <v>183.9</v>
      </c>
      <c r="K34" s="6">
        <v>165.4</v>
      </c>
      <c r="L34" s="6">
        <v>122.1</v>
      </c>
      <c r="M34" s="6">
        <v>170.8</v>
      </c>
      <c r="N34" s="6">
        <v>169.1</v>
      </c>
      <c r="O34" s="6">
        <v>174.3</v>
      </c>
      <c r="P34" s="6">
        <v>167.5</v>
      </c>
      <c r="Q34" s="6">
        <v>191.4</v>
      </c>
      <c r="R34" s="6">
        <v>170.4</v>
      </c>
      <c r="S34" s="6">
        <v>166</v>
      </c>
      <c r="T34" s="6">
        <v>169.8</v>
      </c>
      <c r="U34" s="6">
        <v>163.9</v>
      </c>
      <c r="V34" s="6">
        <v>165.3</v>
      </c>
      <c r="W34" s="6">
        <v>162.9</v>
      </c>
      <c r="X34" s="6">
        <v>173.4</v>
      </c>
      <c r="Y34" s="6">
        <v>158.9</v>
      </c>
      <c r="Z34" s="6">
        <v>163.80000000000001</v>
      </c>
      <c r="AA34" s="6">
        <v>169.3</v>
      </c>
      <c r="AB34" s="6">
        <v>162.4</v>
      </c>
      <c r="AC34" s="6">
        <v>165.2</v>
      </c>
      <c r="AD34" s="6">
        <v>167.6</v>
      </c>
      <c r="AE34" s="22"/>
      <c r="AN34" s="6">
        <v>2021</v>
      </c>
      <c r="AO34" s="6" t="s">
        <v>43</v>
      </c>
      <c r="AP34" s="6">
        <v>146.9</v>
      </c>
      <c r="AQ34" s="6">
        <v>199.8</v>
      </c>
      <c r="AR34" s="6">
        <v>171.5</v>
      </c>
      <c r="AS34" s="6">
        <v>159.1</v>
      </c>
      <c r="AT34" s="6">
        <v>198.4</v>
      </c>
      <c r="AU34" s="6">
        <v>153.19999999999999</v>
      </c>
      <c r="AV34" s="6">
        <v>183.9</v>
      </c>
      <c r="AW34" s="6">
        <v>165.4</v>
      </c>
      <c r="AX34" s="6">
        <v>122.1</v>
      </c>
      <c r="AY34" s="6">
        <v>170.8</v>
      </c>
      <c r="AZ34" s="6">
        <v>174.3</v>
      </c>
      <c r="BA34" s="6">
        <v>167.5</v>
      </c>
      <c r="BF34" s="6">
        <v>2021</v>
      </c>
      <c r="BG34" s="6" t="s">
        <v>43</v>
      </c>
      <c r="BH34" s="6">
        <v>169.1</v>
      </c>
      <c r="BI34" s="6">
        <v>191.4</v>
      </c>
      <c r="BJ34" s="6">
        <v>163.80000000000001</v>
      </c>
      <c r="BM34" s="6">
        <v>2021</v>
      </c>
      <c r="BN34" s="6" t="s">
        <v>43</v>
      </c>
      <c r="BO34" s="6">
        <v>170.4</v>
      </c>
      <c r="BP34" s="6">
        <v>166</v>
      </c>
      <c r="BQ34" s="6">
        <v>169.8</v>
      </c>
      <c r="BT34" s="6">
        <v>2021</v>
      </c>
      <c r="BU34" s="6" t="s">
        <v>43</v>
      </c>
      <c r="BV34" s="6">
        <v>163.9</v>
      </c>
      <c r="BW34" s="6">
        <v>165.3</v>
      </c>
      <c r="BX34" s="6">
        <v>162.9</v>
      </c>
      <c r="BY34" s="6">
        <v>158.9</v>
      </c>
      <c r="BZ34" s="6">
        <v>169.3</v>
      </c>
      <c r="CC34" s="6">
        <v>2021</v>
      </c>
      <c r="CD34" s="6" t="s">
        <v>43</v>
      </c>
      <c r="CE34" s="6">
        <v>173.4</v>
      </c>
      <c r="CF34" s="6">
        <v>162.4</v>
      </c>
      <c r="CI34" s="6">
        <v>2021</v>
      </c>
      <c r="CJ34" s="6" t="s">
        <v>43</v>
      </c>
      <c r="CK34" s="6">
        <v>165.2</v>
      </c>
      <c r="CL34" s="6">
        <v>167.6</v>
      </c>
    </row>
    <row r="35" spans="1:90">
      <c r="A35" s="3" t="s">
        <v>32</v>
      </c>
      <c r="B35" s="4">
        <v>2021</v>
      </c>
      <c r="C35" s="4" t="s">
        <v>43</v>
      </c>
      <c r="D35" s="4">
        <v>151</v>
      </c>
      <c r="E35" s="4">
        <v>204.9</v>
      </c>
      <c r="F35" s="4">
        <v>175.4</v>
      </c>
      <c r="G35" s="4">
        <v>159.6</v>
      </c>
      <c r="H35" s="4">
        <v>175.8</v>
      </c>
      <c r="I35" s="4">
        <v>160.30000000000001</v>
      </c>
      <c r="J35" s="4">
        <v>229.1</v>
      </c>
      <c r="K35" s="4">
        <v>165.1</v>
      </c>
      <c r="L35" s="4">
        <v>123.1</v>
      </c>
      <c r="M35" s="4">
        <v>167.2</v>
      </c>
      <c r="N35" s="4">
        <v>156.1</v>
      </c>
      <c r="O35" s="4">
        <v>176.8</v>
      </c>
      <c r="P35" s="4">
        <v>173.5</v>
      </c>
      <c r="Q35" s="4">
        <v>197</v>
      </c>
      <c r="R35" s="4">
        <v>162.30000000000001</v>
      </c>
      <c r="S35" s="4">
        <v>145.30000000000001</v>
      </c>
      <c r="T35" s="4">
        <v>159.69999999999999</v>
      </c>
      <c r="U35" s="4">
        <v>164.2</v>
      </c>
      <c r="V35" s="4">
        <v>161.6</v>
      </c>
      <c r="W35" s="4">
        <v>155.19999999999999</v>
      </c>
      <c r="X35" s="4">
        <v>164.2</v>
      </c>
      <c r="Y35" s="4">
        <v>151.19999999999999</v>
      </c>
      <c r="Z35" s="4">
        <v>156.69999999999999</v>
      </c>
      <c r="AA35" s="4">
        <v>160.80000000000001</v>
      </c>
      <c r="AB35" s="4">
        <v>161.80000000000001</v>
      </c>
      <c r="AC35" s="4">
        <v>157.30000000000001</v>
      </c>
      <c r="AD35" s="4">
        <v>165.6</v>
      </c>
      <c r="AE35" s="23"/>
      <c r="AN35" s="4">
        <v>2021</v>
      </c>
      <c r="AO35" s="4" t="s">
        <v>43</v>
      </c>
      <c r="AP35" s="4">
        <v>151</v>
      </c>
      <c r="AQ35" s="4">
        <v>204.9</v>
      </c>
      <c r="AR35" s="4">
        <v>175.4</v>
      </c>
      <c r="AS35" s="4">
        <v>159.6</v>
      </c>
      <c r="AT35" s="4">
        <v>175.8</v>
      </c>
      <c r="AU35" s="4">
        <v>160.30000000000001</v>
      </c>
      <c r="AV35" s="4">
        <v>229.1</v>
      </c>
      <c r="AW35" s="4">
        <v>165.1</v>
      </c>
      <c r="AX35" s="4">
        <v>123.1</v>
      </c>
      <c r="AY35" s="4">
        <v>167.2</v>
      </c>
      <c r="AZ35" s="4">
        <v>176.8</v>
      </c>
      <c r="BA35" s="4">
        <v>173.5</v>
      </c>
      <c r="BF35" s="4">
        <v>2021</v>
      </c>
      <c r="BG35" s="4" t="s">
        <v>43</v>
      </c>
      <c r="BH35" s="4">
        <v>156.1</v>
      </c>
      <c r="BI35" s="4">
        <v>197</v>
      </c>
      <c r="BJ35" s="4">
        <v>156.69999999999999</v>
      </c>
      <c r="BM35" s="4">
        <v>2021</v>
      </c>
      <c r="BN35" s="4" t="s">
        <v>43</v>
      </c>
      <c r="BO35" s="4">
        <v>162.30000000000001</v>
      </c>
      <c r="BP35" s="4">
        <v>145.30000000000001</v>
      </c>
      <c r="BQ35" s="4">
        <v>159.69999999999999</v>
      </c>
      <c r="BT35" s="4">
        <v>2021</v>
      </c>
      <c r="BU35" s="4" t="s">
        <v>43</v>
      </c>
      <c r="BV35" s="4">
        <v>164.2</v>
      </c>
      <c r="BW35" s="4">
        <v>161.6</v>
      </c>
      <c r="BX35" s="4">
        <v>155.19999999999999</v>
      </c>
      <c r="BY35" s="4">
        <v>151.19999999999999</v>
      </c>
      <c r="BZ35" s="4">
        <v>160.80000000000001</v>
      </c>
      <c r="CC35" s="4">
        <v>2021</v>
      </c>
      <c r="CD35" s="4" t="s">
        <v>43</v>
      </c>
      <c r="CE35" s="4">
        <v>164.2</v>
      </c>
      <c r="CF35" s="4">
        <v>161.80000000000001</v>
      </c>
      <c r="CI35" s="4">
        <v>2021</v>
      </c>
      <c r="CJ35" s="4" t="s">
        <v>43</v>
      </c>
      <c r="CK35" s="4">
        <v>157.30000000000001</v>
      </c>
      <c r="CL35" s="4">
        <v>165.6</v>
      </c>
    </row>
    <row r="36" spans="1:90">
      <c r="A36" s="5" t="s">
        <v>33</v>
      </c>
      <c r="B36" s="6">
        <v>2021</v>
      </c>
      <c r="C36" s="6" t="s">
        <v>43</v>
      </c>
      <c r="D36" s="6">
        <v>148.19999999999999</v>
      </c>
      <c r="E36" s="6">
        <v>201.6</v>
      </c>
      <c r="F36" s="6">
        <v>173</v>
      </c>
      <c r="G36" s="6">
        <v>159.30000000000001</v>
      </c>
      <c r="H36" s="6">
        <v>190.1</v>
      </c>
      <c r="I36" s="6">
        <v>156.5</v>
      </c>
      <c r="J36" s="6">
        <v>199.2</v>
      </c>
      <c r="K36" s="6">
        <v>165.3</v>
      </c>
      <c r="L36" s="6">
        <v>122.4</v>
      </c>
      <c r="M36" s="6">
        <v>169.6</v>
      </c>
      <c r="N36" s="6">
        <v>163.69999999999999</v>
      </c>
      <c r="O36" s="6">
        <v>175.5</v>
      </c>
      <c r="P36" s="6">
        <v>169.7</v>
      </c>
      <c r="Q36" s="6">
        <v>192.9</v>
      </c>
      <c r="R36" s="6">
        <v>167.2</v>
      </c>
      <c r="S36" s="6">
        <v>157.4</v>
      </c>
      <c r="T36" s="6">
        <v>165.8</v>
      </c>
      <c r="U36" s="6">
        <v>164.2</v>
      </c>
      <c r="V36" s="6">
        <v>163.9</v>
      </c>
      <c r="W36" s="6">
        <v>159.30000000000001</v>
      </c>
      <c r="X36" s="6">
        <v>169.9</v>
      </c>
      <c r="Y36" s="6">
        <v>154.80000000000001</v>
      </c>
      <c r="Z36" s="6">
        <v>159.80000000000001</v>
      </c>
      <c r="AA36" s="6">
        <v>164.3</v>
      </c>
      <c r="AB36" s="6">
        <v>162.19999999999999</v>
      </c>
      <c r="AC36" s="6">
        <v>161.4</v>
      </c>
      <c r="AD36" s="6">
        <v>166.7</v>
      </c>
      <c r="AE36" s="22"/>
      <c r="AN36" s="6">
        <v>2021</v>
      </c>
      <c r="AO36" s="6" t="s">
        <v>43</v>
      </c>
      <c r="AP36" s="6">
        <v>148.19999999999999</v>
      </c>
      <c r="AQ36" s="6">
        <v>201.6</v>
      </c>
      <c r="AR36" s="6">
        <v>173</v>
      </c>
      <c r="AS36" s="6">
        <v>159.30000000000001</v>
      </c>
      <c r="AT36" s="6">
        <v>190.1</v>
      </c>
      <c r="AU36" s="6">
        <v>156.5</v>
      </c>
      <c r="AV36" s="6">
        <v>199.2</v>
      </c>
      <c r="AW36" s="6">
        <v>165.3</v>
      </c>
      <c r="AX36" s="6">
        <v>122.4</v>
      </c>
      <c r="AY36" s="6">
        <v>169.6</v>
      </c>
      <c r="AZ36" s="6">
        <v>175.5</v>
      </c>
      <c r="BA36" s="6">
        <v>169.7</v>
      </c>
      <c r="BF36" s="6">
        <v>2021</v>
      </c>
      <c r="BG36" s="6" t="s">
        <v>43</v>
      </c>
      <c r="BH36" s="6">
        <v>163.69999999999999</v>
      </c>
      <c r="BI36" s="6">
        <v>192.9</v>
      </c>
      <c r="BJ36" s="6">
        <v>159.80000000000001</v>
      </c>
      <c r="BM36" s="6">
        <v>2021</v>
      </c>
      <c r="BN36" s="6" t="s">
        <v>43</v>
      </c>
      <c r="BO36" s="6">
        <v>167.2</v>
      </c>
      <c r="BP36" s="6">
        <v>157.4</v>
      </c>
      <c r="BQ36" s="6">
        <v>165.8</v>
      </c>
      <c r="BT36" s="6">
        <v>2021</v>
      </c>
      <c r="BU36" s="6" t="s">
        <v>43</v>
      </c>
      <c r="BV36" s="6">
        <v>164.2</v>
      </c>
      <c r="BW36" s="6">
        <v>163.9</v>
      </c>
      <c r="BX36" s="6">
        <v>159.30000000000001</v>
      </c>
      <c r="BY36" s="6">
        <v>154.80000000000001</v>
      </c>
      <c r="BZ36" s="6">
        <v>164.3</v>
      </c>
      <c r="CC36" s="6">
        <v>2021</v>
      </c>
      <c r="CD36" s="6" t="s">
        <v>43</v>
      </c>
      <c r="CE36" s="6">
        <v>169.9</v>
      </c>
      <c r="CF36" s="6">
        <v>162.19999999999999</v>
      </c>
      <c r="CI36" s="6">
        <v>2021</v>
      </c>
      <c r="CJ36" s="6" t="s">
        <v>43</v>
      </c>
      <c r="CK36" s="6">
        <v>161.4</v>
      </c>
      <c r="CL36" s="6">
        <v>166.7</v>
      </c>
    </row>
    <row r="37" spans="1:90">
      <c r="A37" s="3" t="s">
        <v>30</v>
      </c>
      <c r="B37" s="4">
        <v>2021</v>
      </c>
      <c r="C37" s="4" t="s">
        <v>44</v>
      </c>
      <c r="D37" s="4">
        <v>147.4</v>
      </c>
      <c r="E37" s="4">
        <v>197</v>
      </c>
      <c r="F37" s="4">
        <v>176.5</v>
      </c>
      <c r="G37" s="4">
        <v>159.80000000000001</v>
      </c>
      <c r="H37" s="4">
        <v>195.8</v>
      </c>
      <c r="I37" s="4">
        <v>152</v>
      </c>
      <c r="J37" s="4">
        <v>172.3</v>
      </c>
      <c r="K37" s="4">
        <v>164.5</v>
      </c>
      <c r="L37" s="4">
        <v>120.6</v>
      </c>
      <c r="M37" s="4">
        <v>171.7</v>
      </c>
      <c r="N37" s="4">
        <v>169.7</v>
      </c>
      <c r="O37" s="4">
        <v>175.1</v>
      </c>
      <c r="P37" s="4">
        <v>165.8</v>
      </c>
      <c r="Q37" s="4">
        <v>190.8</v>
      </c>
      <c r="R37" s="4">
        <v>171.8</v>
      </c>
      <c r="S37" s="4">
        <v>167.3</v>
      </c>
      <c r="T37" s="4">
        <v>171.2</v>
      </c>
      <c r="U37" s="4">
        <v>163.95</v>
      </c>
      <c r="V37" s="4">
        <v>165.6</v>
      </c>
      <c r="W37" s="4">
        <v>163.9</v>
      </c>
      <c r="X37" s="4">
        <v>174</v>
      </c>
      <c r="Y37" s="4">
        <v>160.1</v>
      </c>
      <c r="Z37" s="4">
        <v>164.5</v>
      </c>
      <c r="AA37" s="4">
        <v>169.7</v>
      </c>
      <c r="AB37" s="4">
        <v>162.80000000000001</v>
      </c>
      <c r="AC37" s="4">
        <v>166</v>
      </c>
      <c r="AD37" s="4">
        <v>167</v>
      </c>
      <c r="AE37" s="23"/>
      <c r="AN37" s="4">
        <v>2021</v>
      </c>
      <c r="AO37" s="4" t="s">
        <v>44</v>
      </c>
      <c r="AP37" s="4">
        <v>147.4</v>
      </c>
      <c r="AQ37" s="4">
        <v>197</v>
      </c>
      <c r="AR37" s="4">
        <v>176.5</v>
      </c>
      <c r="AS37" s="4">
        <v>159.80000000000001</v>
      </c>
      <c r="AT37" s="4">
        <v>195.8</v>
      </c>
      <c r="AU37" s="4">
        <v>152</v>
      </c>
      <c r="AV37" s="4">
        <v>172.3</v>
      </c>
      <c r="AW37" s="4">
        <v>164.5</v>
      </c>
      <c r="AX37" s="4">
        <v>120.6</v>
      </c>
      <c r="AY37" s="4">
        <v>171.7</v>
      </c>
      <c r="AZ37" s="4">
        <v>175.1</v>
      </c>
      <c r="BA37" s="4">
        <v>165.8</v>
      </c>
      <c r="BF37" s="4">
        <v>2021</v>
      </c>
      <c r="BG37" s="4" t="s">
        <v>44</v>
      </c>
      <c r="BH37" s="4">
        <v>169.7</v>
      </c>
      <c r="BI37" s="4">
        <v>190.8</v>
      </c>
      <c r="BJ37" s="4">
        <v>164.5</v>
      </c>
      <c r="BM37" s="4">
        <v>2021</v>
      </c>
      <c r="BN37" s="4" t="s">
        <v>44</v>
      </c>
      <c r="BO37" s="4">
        <v>171.8</v>
      </c>
      <c r="BP37" s="4">
        <v>167.3</v>
      </c>
      <c r="BQ37" s="4">
        <v>171.2</v>
      </c>
      <c r="BT37" s="4">
        <v>2021</v>
      </c>
      <c r="BU37" s="4" t="s">
        <v>44</v>
      </c>
      <c r="BV37" s="4">
        <v>163.95</v>
      </c>
      <c r="BW37" s="4">
        <v>165.6</v>
      </c>
      <c r="BX37" s="4">
        <v>163.9</v>
      </c>
      <c r="BY37" s="4">
        <v>160.1</v>
      </c>
      <c r="BZ37" s="4">
        <v>169.7</v>
      </c>
      <c r="CC37" s="4">
        <v>2021</v>
      </c>
      <c r="CD37" s="4" t="s">
        <v>44</v>
      </c>
      <c r="CE37" s="4">
        <v>174</v>
      </c>
      <c r="CF37" s="4">
        <v>162.80000000000001</v>
      </c>
      <c r="CI37" s="4">
        <v>2021</v>
      </c>
      <c r="CJ37" s="4" t="s">
        <v>44</v>
      </c>
      <c r="CK37" s="4">
        <v>166</v>
      </c>
      <c r="CL37" s="4">
        <v>167</v>
      </c>
    </row>
    <row r="38" spans="1:90">
      <c r="A38" s="5" t="s">
        <v>32</v>
      </c>
      <c r="B38" s="6">
        <v>2021</v>
      </c>
      <c r="C38" s="6" t="s">
        <v>44</v>
      </c>
      <c r="D38" s="6">
        <v>151.6</v>
      </c>
      <c r="E38" s="6">
        <v>202.2</v>
      </c>
      <c r="F38" s="6">
        <v>180</v>
      </c>
      <c r="G38" s="6">
        <v>160</v>
      </c>
      <c r="H38" s="6">
        <v>173.5</v>
      </c>
      <c r="I38" s="6">
        <v>158.30000000000001</v>
      </c>
      <c r="J38" s="6">
        <v>219.5</v>
      </c>
      <c r="K38" s="6">
        <v>164.2</v>
      </c>
      <c r="L38" s="6">
        <v>121.9</v>
      </c>
      <c r="M38" s="6">
        <v>168.2</v>
      </c>
      <c r="N38" s="6">
        <v>156.5</v>
      </c>
      <c r="O38" s="6">
        <v>178.2</v>
      </c>
      <c r="P38" s="6">
        <v>172.2</v>
      </c>
      <c r="Q38" s="6">
        <v>196.8</v>
      </c>
      <c r="R38" s="6">
        <v>163.30000000000001</v>
      </c>
      <c r="S38" s="6">
        <v>146.69999999999999</v>
      </c>
      <c r="T38" s="6">
        <v>160.69999999999999</v>
      </c>
      <c r="U38" s="6">
        <v>163.4</v>
      </c>
      <c r="V38" s="6">
        <v>161.69999999999999</v>
      </c>
      <c r="W38" s="6">
        <v>156</v>
      </c>
      <c r="X38" s="6">
        <v>165.1</v>
      </c>
      <c r="Y38" s="6">
        <v>151.80000000000001</v>
      </c>
      <c r="Z38" s="6">
        <v>157.6</v>
      </c>
      <c r="AA38" s="6">
        <v>160.6</v>
      </c>
      <c r="AB38" s="6">
        <v>162.4</v>
      </c>
      <c r="AC38" s="6">
        <v>157.80000000000001</v>
      </c>
      <c r="AD38" s="6">
        <v>165.2</v>
      </c>
      <c r="AE38" s="22"/>
      <c r="AN38" s="6">
        <v>2021</v>
      </c>
      <c r="AO38" s="6" t="s">
        <v>44</v>
      </c>
      <c r="AP38" s="6">
        <v>151.6</v>
      </c>
      <c r="AQ38" s="6">
        <v>202.2</v>
      </c>
      <c r="AR38" s="6">
        <v>180</v>
      </c>
      <c r="AS38" s="6">
        <v>160</v>
      </c>
      <c r="AT38" s="6">
        <v>173.5</v>
      </c>
      <c r="AU38" s="6">
        <v>158.30000000000001</v>
      </c>
      <c r="AV38" s="6">
        <v>219.5</v>
      </c>
      <c r="AW38" s="6">
        <v>164.2</v>
      </c>
      <c r="AX38" s="6">
        <v>121.9</v>
      </c>
      <c r="AY38" s="6">
        <v>168.2</v>
      </c>
      <c r="AZ38" s="6">
        <v>178.2</v>
      </c>
      <c r="BA38" s="6">
        <v>172.2</v>
      </c>
      <c r="BF38" s="6">
        <v>2021</v>
      </c>
      <c r="BG38" s="6" t="s">
        <v>44</v>
      </c>
      <c r="BH38" s="6">
        <v>156.5</v>
      </c>
      <c r="BI38" s="6">
        <v>196.8</v>
      </c>
      <c r="BJ38" s="6">
        <v>157.6</v>
      </c>
      <c r="BM38" s="6">
        <v>2021</v>
      </c>
      <c r="BN38" s="6" t="s">
        <v>44</v>
      </c>
      <c r="BO38" s="6">
        <v>163.30000000000001</v>
      </c>
      <c r="BP38" s="6">
        <v>146.69999999999999</v>
      </c>
      <c r="BQ38" s="6">
        <v>160.69999999999999</v>
      </c>
      <c r="BT38" s="6">
        <v>2021</v>
      </c>
      <c r="BU38" s="6" t="s">
        <v>44</v>
      </c>
      <c r="BV38" s="6">
        <v>163.4</v>
      </c>
      <c r="BW38" s="6">
        <v>161.69999999999999</v>
      </c>
      <c r="BX38" s="6">
        <v>156</v>
      </c>
      <c r="BY38" s="6">
        <v>151.80000000000001</v>
      </c>
      <c r="BZ38" s="6">
        <v>160.6</v>
      </c>
      <c r="CC38" s="6">
        <v>2021</v>
      </c>
      <c r="CD38" s="6" t="s">
        <v>44</v>
      </c>
      <c r="CE38" s="6">
        <v>165.1</v>
      </c>
      <c r="CF38" s="6">
        <v>162.4</v>
      </c>
      <c r="CI38" s="6">
        <v>2021</v>
      </c>
      <c r="CJ38" s="6" t="s">
        <v>44</v>
      </c>
      <c r="CK38" s="6">
        <v>157.80000000000001</v>
      </c>
      <c r="CL38" s="6">
        <v>165.2</v>
      </c>
    </row>
    <row r="39" spans="1:90">
      <c r="A39" s="3" t="s">
        <v>33</v>
      </c>
      <c r="B39" s="4">
        <v>2021</v>
      </c>
      <c r="C39" s="4" t="s">
        <v>44</v>
      </c>
      <c r="D39" s="4">
        <v>148.69999999999999</v>
      </c>
      <c r="E39" s="4">
        <v>198.8</v>
      </c>
      <c r="F39" s="4">
        <v>177.9</v>
      </c>
      <c r="G39" s="4">
        <v>159.9</v>
      </c>
      <c r="H39" s="4">
        <v>187.6</v>
      </c>
      <c r="I39" s="4">
        <v>154.9</v>
      </c>
      <c r="J39" s="4">
        <v>188.3</v>
      </c>
      <c r="K39" s="4">
        <v>164.4</v>
      </c>
      <c r="L39" s="4">
        <v>121</v>
      </c>
      <c r="M39" s="4">
        <v>170.5</v>
      </c>
      <c r="N39" s="4">
        <v>164.2</v>
      </c>
      <c r="O39" s="4">
        <v>176.5</v>
      </c>
      <c r="P39" s="4">
        <v>168.2</v>
      </c>
      <c r="Q39" s="4">
        <v>192.4</v>
      </c>
      <c r="R39" s="4">
        <v>168.5</v>
      </c>
      <c r="S39" s="4">
        <v>158.69999999999999</v>
      </c>
      <c r="T39" s="4">
        <v>167</v>
      </c>
      <c r="U39" s="4">
        <v>163.4</v>
      </c>
      <c r="V39" s="4">
        <v>164.1</v>
      </c>
      <c r="W39" s="4">
        <v>160.19999999999999</v>
      </c>
      <c r="X39" s="4">
        <v>170.6</v>
      </c>
      <c r="Y39" s="4">
        <v>155.69999999999999</v>
      </c>
      <c r="Z39" s="4">
        <v>160.6</v>
      </c>
      <c r="AA39" s="4">
        <v>164.4</v>
      </c>
      <c r="AB39" s="4">
        <v>162.6</v>
      </c>
      <c r="AC39" s="4">
        <v>162</v>
      </c>
      <c r="AD39" s="4">
        <v>166.2</v>
      </c>
      <c r="AE39" s="23"/>
      <c r="AN39" s="4">
        <v>2021</v>
      </c>
      <c r="AO39" s="4" t="s">
        <v>44</v>
      </c>
      <c r="AP39" s="4">
        <v>148.69999999999999</v>
      </c>
      <c r="AQ39" s="4">
        <v>198.8</v>
      </c>
      <c r="AR39" s="4">
        <v>177.9</v>
      </c>
      <c r="AS39" s="4">
        <v>159.9</v>
      </c>
      <c r="AT39" s="4">
        <v>187.6</v>
      </c>
      <c r="AU39" s="4">
        <v>154.9</v>
      </c>
      <c r="AV39" s="4">
        <v>188.3</v>
      </c>
      <c r="AW39" s="4">
        <v>164.4</v>
      </c>
      <c r="AX39" s="4">
        <v>121</v>
      </c>
      <c r="AY39" s="4">
        <v>170.5</v>
      </c>
      <c r="AZ39" s="4">
        <v>176.5</v>
      </c>
      <c r="BA39" s="4">
        <v>168.2</v>
      </c>
      <c r="BF39" s="4">
        <v>2021</v>
      </c>
      <c r="BG39" s="4" t="s">
        <v>44</v>
      </c>
      <c r="BH39" s="4">
        <v>164.2</v>
      </c>
      <c r="BI39" s="4">
        <v>192.4</v>
      </c>
      <c r="BJ39" s="4">
        <v>160.6</v>
      </c>
      <c r="BM39" s="4">
        <v>2021</v>
      </c>
      <c r="BN39" s="4" t="s">
        <v>44</v>
      </c>
      <c r="BO39" s="4">
        <v>168.5</v>
      </c>
      <c r="BP39" s="4">
        <v>158.69999999999999</v>
      </c>
      <c r="BQ39" s="4">
        <v>167</v>
      </c>
      <c r="BT39" s="4">
        <v>2021</v>
      </c>
      <c r="BU39" s="4" t="s">
        <v>44</v>
      </c>
      <c r="BV39" s="4">
        <v>163.4</v>
      </c>
      <c r="BW39" s="4">
        <v>164.1</v>
      </c>
      <c r="BX39" s="4">
        <v>160.19999999999999</v>
      </c>
      <c r="BY39" s="4">
        <v>155.69999999999999</v>
      </c>
      <c r="BZ39" s="4">
        <v>164.4</v>
      </c>
      <c r="CC39" s="4">
        <v>2021</v>
      </c>
      <c r="CD39" s="4" t="s">
        <v>44</v>
      </c>
      <c r="CE39" s="4">
        <v>170.6</v>
      </c>
      <c r="CF39" s="4">
        <v>162.6</v>
      </c>
      <c r="CI39" s="4">
        <v>2021</v>
      </c>
      <c r="CJ39" s="4" t="s">
        <v>44</v>
      </c>
      <c r="CK39" s="4">
        <v>162</v>
      </c>
      <c r="CL39" s="4">
        <v>166.2</v>
      </c>
    </row>
  </sheetData>
  <mergeCells count="7">
    <mergeCell ref="CC1:CF2"/>
    <mergeCell ref="CI1:CL2"/>
    <mergeCell ref="AN1:BA2"/>
    <mergeCell ref="A1:AD2"/>
    <mergeCell ref="BF1:BJ2"/>
    <mergeCell ref="BM1:BQ2"/>
    <mergeCell ref="BT1:BZ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78B00-F9D7-489B-8678-C18BA75160FF}">
  <dimension ref="A1:CL39"/>
  <sheetViews>
    <sheetView topLeftCell="BQ1" zoomScale="135" workbookViewId="0">
      <selection activeCell="CA4" sqref="CA4:CA15"/>
    </sheetView>
  </sheetViews>
  <sheetFormatPr defaultRowHeight="14.4"/>
  <cols>
    <col min="1" max="1" width="10.6640625" customWidth="1"/>
    <col min="2" max="2" width="5" customWidth="1"/>
    <col min="3" max="3" width="9.44140625" customWidth="1"/>
    <col min="4" max="4" width="17.44140625" customWidth="1"/>
    <col min="5" max="5" width="11.6640625" customWidth="1"/>
    <col min="6" max="6" width="6" customWidth="1"/>
    <col min="7" max="7" width="15.109375" customWidth="1"/>
    <col min="8" max="8" width="10.33203125" customWidth="1"/>
    <col min="9" max="9" width="6" customWidth="1"/>
    <col min="10" max="10" width="9.5546875" customWidth="1"/>
    <col min="11" max="11" width="16.77734375" customWidth="1"/>
    <col min="12" max="12" width="20" customWidth="1"/>
    <col min="13" max="13" width="6" customWidth="1"/>
    <col min="14" max="14" width="20.109375" customWidth="1"/>
    <col min="15" max="15" width="29.88671875" customWidth="1"/>
    <col min="16" max="16" width="16.5546875" customWidth="1"/>
    <col min="17" max="17" width="23.5546875" customWidth="1"/>
    <col min="18" max="18" width="7.21875" customWidth="1"/>
    <col min="19" max="19" width="8.21875" customWidth="1"/>
    <col min="20" max="20" width="18.44140625" customWidth="1"/>
    <col min="21" max="21" width="7.109375" customWidth="1"/>
    <col min="22" max="22" width="11.21875" customWidth="1"/>
    <col min="23" max="23" width="24.77734375" customWidth="1"/>
    <col min="24" max="24" width="6" customWidth="1"/>
    <col min="25" max="25" width="24.5546875" customWidth="1"/>
    <col min="26" max="26" width="22.6640625" customWidth="1"/>
    <col min="27" max="27" width="8.77734375" customWidth="1"/>
    <col min="28" max="28" width="20.88671875" customWidth="1"/>
    <col min="29" max="29" width="12.109375" customWidth="1"/>
    <col min="30" max="30" width="11.6640625" customWidth="1"/>
    <col min="31" max="31" width="13.109375" customWidth="1"/>
    <col min="32" max="32" width="8.33203125" customWidth="1"/>
    <col min="40" max="40" width="5" customWidth="1"/>
    <col min="41" max="41" width="9.44140625" customWidth="1"/>
    <col min="42" max="42" width="17.44140625" customWidth="1"/>
    <col min="43" max="43" width="11.6640625" customWidth="1"/>
    <col min="44" max="44" width="6" customWidth="1"/>
    <col min="45" max="45" width="15.109375" customWidth="1"/>
    <col min="46" max="46" width="10.33203125" customWidth="1"/>
    <col min="47" max="47" width="6" customWidth="1"/>
    <col min="48" max="48" width="9.5546875" customWidth="1"/>
    <col min="49" max="49" width="16.77734375" customWidth="1"/>
    <col min="50" max="50" width="20" customWidth="1"/>
    <col min="51" max="51" width="6" customWidth="1"/>
    <col min="52" max="52" width="29.88671875" customWidth="1"/>
    <col min="53" max="53" width="16.5546875" customWidth="1"/>
    <col min="58" max="58" width="5" customWidth="1"/>
    <col min="59" max="59" width="9.44140625" customWidth="1"/>
    <col min="60" max="60" width="20.109375" customWidth="1"/>
    <col min="61" max="61" width="23.5546875" customWidth="1"/>
    <col min="62" max="62" width="22.6640625" customWidth="1"/>
    <col min="65" max="65" width="5" customWidth="1"/>
    <col min="66" max="66" width="9.44140625" customWidth="1"/>
    <col min="67" max="67" width="7.21875" customWidth="1"/>
    <col min="68" max="68" width="8.21875" customWidth="1"/>
    <col min="69" max="69" width="18.44140625" customWidth="1"/>
    <col min="72" max="72" width="5" customWidth="1"/>
    <col min="73" max="73" width="9.44140625" customWidth="1"/>
    <col min="74" max="74" width="7.109375" customWidth="1"/>
    <col min="75" max="75" width="11.21875" customWidth="1"/>
    <col min="76" max="76" width="24.77734375" customWidth="1"/>
    <col min="77" max="77" width="24.5546875" customWidth="1"/>
    <col min="78" max="78" width="8.77734375" customWidth="1"/>
    <col min="81" max="81" width="5" customWidth="1"/>
    <col min="82" max="82" width="9.44140625" customWidth="1"/>
    <col min="83" max="83" width="6" customWidth="1"/>
    <col min="84" max="84" width="20.88671875" customWidth="1"/>
    <col min="87" max="87" width="5" customWidth="1"/>
    <col min="88" max="88" width="9.44140625" customWidth="1"/>
    <col min="89" max="89" width="12.109375" customWidth="1"/>
    <col min="90" max="90" width="11.6640625" customWidth="1"/>
  </cols>
  <sheetData>
    <row r="1" spans="1:90" ht="21">
      <c r="A1" s="147">
        <v>2022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N1" s="141" t="s">
        <v>175</v>
      </c>
      <c r="AO1" s="141"/>
      <c r="AP1" s="141"/>
      <c r="AQ1" s="141"/>
      <c r="AR1" s="141"/>
      <c r="AS1" s="141"/>
      <c r="AT1" s="141"/>
      <c r="AU1" s="141"/>
      <c r="AV1" s="141"/>
      <c r="AW1" s="141"/>
      <c r="AX1" s="141"/>
      <c r="AY1" s="141"/>
      <c r="AZ1" s="141"/>
      <c r="BF1" s="145" t="s">
        <v>176</v>
      </c>
      <c r="BG1" s="145"/>
      <c r="BH1" s="145"/>
      <c r="BI1" s="145"/>
      <c r="BJ1" s="145"/>
      <c r="BM1" s="141" t="s">
        <v>177</v>
      </c>
      <c r="BN1" s="141"/>
      <c r="BO1" s="141"/>
      <c r="BP1" s="141"/>
      <c r="BQ1" s="141"/>
      <c r="BR1" s="48"/>
      <c r="BS1" s="48"/>
      <c r="BT1" s="139" t="s">
        <v>178</v>
      </c>
      <c r="BU1" s="139"/>
      <c r="BV1" s="139"/>
      <c r="BW1" s="139"/>
      <c r="BX1" s="139"/>
      <c r="BY1" s="139"/>
      <c r="CC1" s="139" t="s">
        <v>179</v>
      </c>
      <c r="CD1" s="139"/>
      <c r="CE1" s="139"/>
      <c r="CF1" s="139"/>
      <c r="CI1" s="139" t="s">
        <v>180</v>
      </c>
      <c r="CJ1" s="139"/>
      <c r="CK1" s="139"/>
      <c r="CL1" s="139"/>
    </row>
    <row r="2" spans="1:90" ht="21">
      <c r="A2" s="148"/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N2" s="142"/>
      <c r="AO2" s="142"/>
      <c r="AP2" s="142"/>
      <c r="AQ2" s="142"/>
      <c r="AR2" s="142"/>
      <c r="AS2" s="142"/>
      <c r="AT2" s="142"/>
      <c r="AU2" s="142"/>
      <c r="AV2" s="142"/>
      <c r="AW2" s="142"/>
      <c r="AX2" s="142"/>
      <c r="AY2" s="142"/>
      <c r="AZ2" s="142"/>
      <c r="BF2" s="146"/>
      <c r="BG2" s="146"/>
      <c r="BH2" s="146"/>
      <c r="BI2" s="146"/>
      <c r="BJ2" s="146"/>
      <c r="BM2" s="142"/>
      <c r="BN2" s="142"/>
      <c r="BO2" s="142"/>
      <c r="BP2" s="142"/>
      <c r="BQ2" s="142"/>
      <c r="BR2" s="48"/>
      <c r="BS2" s="48"/>
      <c r="BT2" s="140"/>
      <c r="BU2" s="140"/>
      <c r="BV2" s="140"/>
      <c r="BW2" s="140"/>
      <c r="BX2" s="140"/>
      <c r="BY2" s="140"/>
      <c r="CC2" s="140"/>
      <c r="CD2" s="140"/>
      <c r="CE2" s="140"/>
      <c r="CF2" s="140"/>
      <c r="CI2" s="140"/>
      <c r="CJ2" s="140"/>
      <c r="CK2" s="140"/>
      <c r="CL2" s="140"/>
    </row>
    <row r="3" spans="1:90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14" t="s">
        <v>17</v>
      </c>
      <c r="S3" s="2" t="s">
        <v>18</v>
      </c>
      <c r="T3" s="2" t="s">
        <v>19</v>
      </c>
      <c r="U3" s="2" t="s">
        <v>20</v>
      </c>
      <c r="V3" s="2" t="s">
        <v>21</v>
      </c>
      <c r="W3" s="2" t="s">
        <v>22</v>
      </c>
      <c r="X3" s="2" t="s">
        <v>23</v>
      </c>
      <c r="Y3" s="2" t="s">
        <v>24</v>
      </c>
      <c r="Z3" s="2" t="s">
        <v>25</v>
      </c>
      <c r="AA3" s="2" t="s">
        <v>26</v>
      </c>
      <c r="AB3" s="2" t="s">
        <v>27</v>
      </c>
      <c r="AC3" s="2" t="s">
        <v>28</v>
      </c>
      <c r="AD3" s="2" t="s">
        <v>29</v>
      </c>
      <c r="AE3" s="13" t="s">
        <v>55</v>
      </c>
      <c r="AF3" s="47" t="s">
        <v>54</v>
      </c>
      <c r="AN3" s="2" t="s">
        <v>1</v>
      </c>
      <c r="AO3" s="2" t="s">
        <v>2</v>
      </c>
      <c r="AP3" s="2" t="s">
        <v>3</v>
      </c>
      <c r="AQ3" s="2" t="s">
        <v>4</v>
      </c>
      <c r="AR3" s="2" t="s">
        <v>5</v>
      </c>
      <c r="AS3" s="2" t="s">
        <v>6</v>
      </c>
      <c r="AT3" s="2" t="s">
        <v>7</v>
      </c>
      <c r="AU3" s="2" t="s">
        <v>8</v>
      </c>
      <c r="AV3" s="2" t="s">
        <v>9</v>
      </c>
      <c r="AW3" s="2" t="s">
        <v>10</v>
      </c>
      <c r="AX3" s="2" t="s">
        <v>11</v>
      </c>
      <c r="AY3" s="2" t="s">
        <v>12</v>
      </c>
      <c r="AZ3" s="2" t="s">
        <v>14</v>
      </c>
      <c r="BA3" s="2" t="s">
        <v>15</v>
      </c>
      <c r="BF3" s="2" t="s">
        <v>1</v>
      </c>
      <c r="BG3" s="2" t="s">
        <v>2</v>
      </c>
      <c r="BH3" s="2" t="s">
        <v>13</v>
      </c>
      <c r="BI3" s="2" t="s">
        <v>16</v>
      </c>
      <c r="BJ3" s="2" t="s">
        <v>25</v>
      </c>
      <c r="BM3" s="2" t="s">
        <v>1</v>
      </c>
      <c r="BN3" s="2" t="s">
        <v>2</v>
      </c>
      <c r="BO3" s="14" t="s">
        <v>17</v>
      </c>
      <c r="BP3" s="2" t="s">
        <v>18</v>
      </c>
      <c r="BQ3" s="2" t="s">
        <v>19</v>
      </c>
      <c r="BT3" s="2" t="s">
        <v>1</v>
      </c>
      <c r="BU3" s="2" t="s">
        <v>2</v>
      </c>
      <c r="BV3" s="2" t="s">
        <v>20</v>
      </c>
      <c r="BW3" s="2" t="s">
        <v>21</v>
      </c>
      <c r="BX3" s="2" t="s">
        <v>22</v>
      </c>
      <c r="BY3" s="2" t="s">
        <v>24</v>
      </c>
      <c r="BZ3" s="2" t="s">
        <v>26</v>
      </c>
      <c r="CC3" s="2" t="s">
        <v>1</v>
      </c>
      <c r="CD3" s="2" t="s">
        <v>2</v>
      </c>
      <c r="CE3" s="2" t="s">
        <v>23</v>
      </c>
      <c r="CF3" s="2" t="s">
        <v>27</v>
      </c>
      <c r="CI3" s="2" t="s">
        <v>1</v>
      </c>
      <c r="CJ3" s="2" t="s">
        <v>2</v>
      </c>
      <c r="CK3" s="2" t="s">
        <v>28</v>
      </c>
      <c r="CL3" s="2" t="s">
        <v>29</v>
      </c>
    </row>
    <row r="4" spans="1:90">
      <c r="A4" s="5" t="s">
        <v>30</v>
      </c>
      <c r="B4" s="6">
        <v>2022</v>
      </c>
      <c r="C4" s="6" t="s">
        <v>31</v>
      </c>
      <c r="D4" s="6">
        <v>148.30000000000001</v>
      </c>
      <c r="E4" s="6">
        <v>196.9</v>
      </c>
      <c r="F4" s="6">
        <v>178</v>
      </c>
      <c r="G4" s="6">
        <v>160.5</v>
      </c>
      <c r="H4" s="6">
        <v>192.6</v>
      </c>
      <c r="I4" s="6">
        <v>151.19999999999999</v>
      </c>
      <c r="J4" s="6">
        <v>159.19999999999999</v>
      </c>
      <c r="K4" s="6">
        <v>164</v>
      </c>
      <c r="L4" s="6">
        <v>119.3</v>
      </c>
      <c r="M4" s="6">
        <v>173.3</v>
      </c>
      <c r="N4" s="6">
        <v>169.8</v>
      </c>
      <c r="O4" s="6">
        <v>175.8</v>
      </c>
      <c r="P4" s="6">
        <v>164.1</v>
      </c>
      <c r="Q4" s="6">
        <v>190.7</v>
      </c>
      <c r="R4" s="6">
        <v>173.2</v>
      </c>
      <c r="S4" s="6">
        <v>169.3</v>
      </c>
      <c r="T4" s="6">
        <v>172.7</v>
      </c>
      <c r="U4" s="6">
        <v>163.95</v>
      </c>
      <c r="V4" s="6">
        <v>165.8</v>
      </c>
      <c r="W4" s="6">
        <v>164.9</v>
      </c>
      <c r="X4" s="6">
        <v>174.7</v>
      </c>
      <c r="Y4" s="6">
        <v>160.80000000000001</v>
      </c>
      <c r="Z4" s="6">
        <v>164.9</v>
      </c>
      <c r="AA4" s="6">
        <v>169.9</v>
      </c>
      <c r="AB4" s="6">
        <v>163.19999999999999</v>
      </c>
      <c r="AC4" s="6">
        <v>166.6</v>
      </c>
      <c r="AD4" s="6">
        <v>166.4</v>
      </c>
      <c r="AE4" s="22"/>
      <c r="AN4" s="6">
        <v>2022</v>
      </c>
      <c r="AO4" s="6" t="s">
        <v>31</v>
      </c>
      <c r="AP4" s="6">
        <v>148.30000000000001</v>
      </c>
      <c r="AQ4" s="6">
        <v>196.9</v>
      </c>
      <c r="AR4" s="6">
        <v>178</v>
      </c>
      <c r="AS4" s="6">
        <v>160.5</v>
      </c>
      <c r="AT4" s="6">
        <v>192.6</v>
      </c>
      <c r="AU4" s="6">
        <v>151.19999999999999</v>
      </c>
      <c r="AV4" s="6">
        <v>159.19999999999999</v>
      </c>
      <c r="AW4" s="6">
        <v>164</v>
      </c>
      <c r="AX4" s="6">
        <v>119.3</v>
      </c>
      <c r="AY4" s="6">
        <v>173.3</v>
      </c>
      <c r="AZ4" s="6">
        <v>175.8</v>
      </c>
      <c r="BA4" s="6">
        <v>164.1</v>
      </c>
      <c r="BF4" s="6">
        <v>2022</v>
      </c>
      <c r="BG4" s="6" t="s">
        <v>31</v>
      </c>
      <c r="BH4" s="6">
        <v>169.8</v>
      </c>
      <c r="BI4" s="6">
        <v>190.7</v>
      </c>
      <c r="BJ4" s="6">
        <v>164.9</v>
      </c>
      <c r="BM4" s="6">
        <v>2022</v>
      </c>
      <c r="BN4" s="6" t="s">
        <v>31</v>
      </c>
      <c r="BO4" s="6">
        <v>173.2</v>
      </c>
      <c r="BP4" s="6">
        <v>169.3</v>
      </c>
      <c r="BQ4" s="6">
        <v>172.7</v>
      </c>
      <c r="BR4">
        <f>SUM(BO4:BQ6)</f>
        <v>1489.7000000000003</v>
      </c>
      <c r="BT4" s="6">
        <v>2022</v>
      </c>
      <c r="BU4" s="6" t="s">
        <v>31</v>
      </c>
      <c r="BV4" s="6">
        <v>163.95</v>
      </c>
      <c r="BW4" s="6">
        <v>165.8</v>
      </c>
      <c r="BX4" s="6">
        <v>164.9</v>
      </c>
      <c r="BY4" s="6">
        <v>160.80000000000001</v>
      </c>
      <c r="BZ4" s="6">
        <v>169.9</v>
      </c>
      <c r="CA4">
        <f>SUM(BV4:BZ6)</f>
        <v>2432.9499999999998</v>
      </c>
      <c r="CC4" s="6">
        <v>2022</v>
      </c>
      <c r="CD4" s="6" t="s">
        <v>31</v>
      </c>
      <c r="CE4" s="6">
        <v>174.7</v>
      </c>
      <c r="CF4" s="6">
        <v>163.19999999999999</v>
      </c>
      <c r="CI4" s="6">
        <v>2022</v>
      </c>
      <c r="CJ4" s="6" t="s">
        <v>31</v>
      </c>
      <c r="CK4" s="6">
        <v>166.6</v>
      </c>
      <c r="CL4" s="6">
        <v>166.4</v>
      </c>
    </row>
    <row r="5" spans="1:90">
      <c r="A5" s="3" t="s">
        <v>32</v>
      </c>
      <c r="B5" s="4">
        <v>2022</v>
      </c>
      <c r="C5" s="4" t="s">
        <v>31</v>
      </c>
      <c r="D5" s="4">
        <v>152.19999999999999</v>
      </c>
      <c r="E5" s="4">
        <v>202.1</v>
      </c>
      <c r="F5" s="4">
        <v>180.1</v>
      </c>
      <c r="G5" s="4">
        <v>160.4</v>
      </c>
      <c r="H5" s="4">
        <v>171</v>
      </c>
      <c r="I5" s="4">
        <v>156.5</v>
      </c>
      <c r="J5" s="4">
        <v>203.6</v>
      </c>
      <c r="K5" s="4">
        <v>163.80000000000001</v>
      </c>
      <c r="L5" s="4">
        <v>121.3</v>
      </c>
      <c r="M5" s="4">
        <v>169.8</v>
      </c>
      <c r="N5" s="4">
        <v>156.6</v>
      </c>
      <c r="O5" s="4">
        <v>179</v>
      </c>
      <c r="P5" s="4">
        <v>170.3</v>
      </c>
      <c r="Q5" s="4">
        <v>196.4</v>
      </c>
      <c r="R5" s="4">
        <v>164.7</v>
      </c>
      <c r="S5" s="4">
        <v>148.5</v>
      </c>
      <c r="T5" s="4">
        <v>162.19999999999999</v>
      </c>
      <c r="U5" s="4">
        <v>164.5</v>
      </c>
      <c r="V5" s="4">
        <v>161.6</v>
      </c>
      <c r="W5" s="4">
        <v>156.80000000000001</v>
      </c>
      <c r="X5" s="4">
        <v>166.1</v>
      </c>
      <c r="Y5" s="4">
        <v>152.69999999999999</v>
      </c>
      <c r="Z5" s="4">
        <v>158.4</v>
      </c>
      <c r="AA5" s="4">
        <v>161</v>
      </c>
      <c r="AB5" s="4">
        <v>162.80000000000001</v>
      </c>
      <c r="AC5" s="4">
        <v>158.6</v>
      </c>
      <c r="AD5" s="4">
        <v>165</v>
      </c>
      <c r="AE5" s="23"/>
      <c r="AN5" s="4">
        <v>2022</v>
      </c>
      <c r="AO5" s="4" t="s">
        <v>31</v>
      </c>
      <c r="AP5" s="4">
        <v>152.19999999999999</v>
      </c>
      <c r="AQ5" s="4">
        <v>202.1</v>
      </c>
      <c r="AR5" s="4">
        <v>180.1</v>
      </c>
      <c r="AS5" s="4">
        <v>160.4</v>
      </c>
      <c r="AT5" s="4">
        <v>171</v>
      </c>
      <c r="AU5" s="4">
        <v>156.5</v>
      </c>
      <c r="AV5" s="4">
        <v>203.6</v>
      </c>
      <c r="AW5" s="4">
        <v>163.80000000000001</v>
      </c>
      <c r="AX5" s="4">
        <v>121.3</v>
      </c>
      <c r="AY5" s="4">
        <v>169.8</v>
      </c>
      <c r="AZ5" s="4">
        <v>179</v>
      </c>
      <c r="BA5" s="4">
        <v>170.3</v>
      </c>
      <c r="BB5">
        <f>SUM(AP4:BA6)</f>
        <v>6013.2</v>
      </c>
      <c r="BF5" s="6">
        <v>2022</v>
      </c>
      <c r="BG5" s="4" t="s">
        <v>31</v>
      </c>
      <c r="BH5" s="4">
        <v>156.6</v>
      </c>
      <c r="BI5" s="4">
        <v>196.4</v>
      </c>
      <c r="BJ5" s="4">
        <v>158.4</v>
      </c>
      <c r="BK5">
        <f>SUM(BH4:BJ6)</f>
        <v>1554.5</v>
      </c>
      <c r="BM5" s="6">
        <v>2022</v>
      </c>
      <c r="BN5" s="4" t="s">
        <v>31</v>
      </c>
      <c r="BO5" s="4">
        <v>164.7</v>
      </c>
      <c r="BP5" s="4">
        <v>148.5</v>
      </c>
      <c r="BQ5" s="4">
        <v>162.19999999999999</v>
      </c>
      <c r="BR5">
        <f>SUM(BO7:BQ9)</f>
        <v>1501.1</v>
      </c>
      <c r="BT5" s="6">
        <v>2022</v>
      </c>
      <c r="BU5" s="4" t="s">
        <v>31</v>
      </c>
      <c r="BV5" s="4">
        <v>164.5</v>
      </c>
      <c r="BW5" s="4">
        <v>161.6</v>
      </c>
      <c r="BX5" s="4">
        <v>156.80000000000001</v>
      </c>
      <c r="BY5" s="4">
        <v>152.69999999999999</v>
      </c>
      <c r="BZ5" s="4">
        <v>161</v>
      </c>
      <c r="CA5">
        <f>SUM(BV7:BZ9)</f>
        <v>2446.3000000000002</v>
      </c>
      <c r="CC5" s="6">
        <v>2022</v>
      </c>
      <c r="CD5" s="4" t="s">
        <v>31</v>
      </c>
      <c r="CE5" s="4">
        <v>166.1</v>
      </c>
      <c r="CF5" s="4">
        <v>162.80000000000001</v>
      </c>
      <c r="CI5" s="6">
        <v>2022</v>
      </c>
      <c r="CJ5" s="4" t="s">
        <v>31</v>
      </c>
      <c r="CK5" s="4">
        <v>158.6</v>
      </c>
      <c r="CL5" s="4">
        <v>165</v>
      </c>
    </row>
    <row r="6" spans="1:90">
      <c r="A6" s="5" t="s">
        <v>33</v>
      </c>
      <c r="B6" s="6">
        <v>2022</v>
      </c>
      <c r="C6" s="6" t="s">
        <v>31</v>
      </c>
      <c r="D6" s="6">
        <v>149.5</v>
      </c>
      <c r="E6" s="6">
        <v>198.7</v>
      </c>
      <c r="F6" s="6">
        <v>178.8</v>
      </c>
      <c r="G6" s="6">
        <v>160.5</v>
      </c>
      <c r="H6" s="6">
        <v>184.7</v>
      </c>
      <c r="I6" s="6">
        <v>153.69999999999999</v>
      </c>
      <c r="J6" s="6">
        <v>174.3</v>
      </c>
      <c r="K6" s="6">
        <v>163.9</v>
      </c>
      <c r="L6" s="6">
        <v>120</v>
      </c>
      <c r="M6" s="6">
        <v>172.1</v>
      </c>
      <c r="N6" s="6">
        <v>164.3</v>
      </c>
      <c r="O6" s="6">
        <v>177.3</v>
      </c>
      <c r="P6" s="6">
        <v>166.4</v>
      </c>
      <c r="Q6" s="6">
        <v>192.2</v>
      </c>
      <c r="R6" s="6">
        <v>169.9</v>
      </c>
      <c r="S6" s="6">
        <v>160.69999999999999</v>
      </c>
      <c r="T6" s="6">
        <v>168.5</v>
      </c>
      <c r="U6" s="6">
        <v>164.5</v>
      </c>
      <c r="V6" s="6">
        <v>164.2</v>
      </c>
      <c r="W6" s="6">
        <v>161.1</v>
      </c>
      <c r="X6" s="6">
        <v>171.4</v>
      </c>
      <c r="Y6" s="6">
        <v>156.5</v>
      </c>
      <c r="Z6" s="6">
        <v>161.19999999999999</v>
      </c>
      <c r="AA6" s="6">
        <v>164.7</v>
      </c>
      <c r="AB6" s="6">
        <v>163</v>
      </c>
      <c r="AC6" s="6">
        <v>162.69999999999999</v>
      </c>
      <c r="AD6" s="6">
        <v>165.7</v>
      </c>
      <c r="AE6" s="22"/>
      <c r="AN6" s="6">
        <v>2022</v>
      </c>
      <c r="AO6" s="6" t="s">
        <v>31</v>
      </c>
      <c r="AP6" s="6">
        <v>149.5</v>
      </c>
      <c r="AQ6" s="6">
        <v>198.7</v>
      </c>
      <c r="AR6" s="6">
        <v>178.8</v>
      </c>
      <c r="AS6" s="6">
        <v>160.5</v>
      </c>
      <c r="AT6" s="6">
        <v>184.7</v>
      </c>
      <c r="AU6" s="6">
        <v>153.69999999999999</v>
      </c>
      <c r="AV6" s="6">
        <v>174.3</v>
      </c>
      <c r="AW6" s="6">
        <v>163.9</v>
      </c>
      <c r="AX6" s="6">
        <v>120</v>
      </c>
      <c r="AY6" s="6">
        <v>172.1</v>
      </c>
      <c r="AZ6" s="6">
        <v>177.3</v>
      </c>
      <c r="BA6" s="6">
        <v>166.4</v>
      </c>
      <c r="BB6">
        <f>SUM(AP7:BA9)</f>
        <v>6003.199999999998</v>
      </c>
      <c r="BF6" s="6">
        <v>2022</v>
      </c>
      <c r="BG6" s="6" t="s">
        <v>31</v>
      </c>
      <c r="BH6" s="6">
        <v>164.3</v>
      </c>
      <c r="BI6" s="6">
        <v>192.2</v>
      </c>
      <c r="BJ6" s="6">
        <v>161.19999999999999</v>
      </c>
      <c r="BK6">
        <f>SUM(BH7:BJ9)</f>
        <v>1559.8</v>
      </c>
      <c r="BM6" s="6">
        <v>2022</v>
      </c>
      <c r="BN6" s="6" t="s">
        <v>31</v>
      </c>
      <c r="BO6" s="6">
        <v>169.9</v>
      </c>
      <c r="BP6" s="6">
        <v>160.69999999999999</v>
      </c>
      <c r="BQ6" s="6">
        <v>168.5</v>
      </c>
      <c r="BR6">
        <f>SUM(BO10:BQ12)</f>
        <v>1516.1</v>
      </c>
      <c r="BT6" s="6">
        <v>2022</v>
      </c>
      <c r="BU6" s="6" t="s">
        <v>31</v>
      </c>
      <c r="BV6" s="6">
        <v>164.5</v>
      </c>
      <c r="BW6" s="6">
        <v>164.2</v>
      </c>
      <c r="BX6" s="6">
        <v>161.1</v>
      </c>
      <c r="BY6" s="6">
        <v>156.5</v>
      </c>
      <c r="BZ6" s="6">
        <v>164.7</v>
      </c>
      <c r="CA6">
        <f>SUM(BV10:BZ12)</f>
        <v>2457.9</v>
      </c>
      <c r="CC6" s="6">
        <v>2022</v>
      </c>
      <c r="CD6" s="6" t="s">
        <v>31</v>
      </c>
      <c r="CE6" s="6">
        <v>171.4</v>
      </c>
      <c r="CF6" s="6">
        <v>163</v>
      </c>
      <c r="CI6" s="6">
        <v>2022</v>
      </c>
      <c r="CJ6" s="6" t="s">
        <v>31</v>
      </c>
      <c r="CK6" s="6">
        <v>162.69999999999999</v>
      </c>
      <c r="CL6" s="6">
        <v>165.7</v>
      </c>
    </row>
    <row r="7" spans="1:90">
      <c r="A7" s="3" t="s">
        <v>30</v>
      </c>
      <c r="B7" s="4">
        <v>2022</v>
      </c>
      <c r="C7" s="4" t="s">
        <v>34</v>
      </c>
      <c r="D7" s="4">
        <v>148.80000000000001</v>
      </c>
      <c r="E7" s="4">
        <v>198.1</v>
      </c>
      <c r="F7" s="4">
        <v>175.5</v>
      </c>
      <c r="G7" s="4">
        <v>160.69999999999999</v>
      </c>
      <c r="H7" s="4">
        <v>192.6</v>
      </c>
      <c r="I7" s="4">
        <v>151.4</v>
      </c>
      <c r="J7" s="4">
        <v>155.19999999999999</v>
      </c>
      <c r="K7" s="4">
        <v>163.9</v>
      </c>
      <c r="L7" s="4">
        <v>118.1</v>
      </c>
      <c r="M7" s="4">
        <v>175.4</v>
      </c>
      <c r="N7" s="4">
        <v>170.5</v>
      </c>
      <c r="O7" s="4">
        <v>176.3</v>
      </c>
      <c r="P7" s="4">
        <v>163.9</v>
      </c>
      <c r="Q7" s="4">
        <v>191.5</v>
      </c>
      <c r="R7" s="4">
        <v>174.1</v>
      </c>
      <c r="S7" s="4">
        <v>171</v>
      </c>
      <c r="T7" s="4">
        <v>173.7</v>
      </c>
      <c r="U7" s="4">
        <v>165.4</v>
      </c>
      <c r="V7" s="4">
        <v>167.4</v>
      </c>
      <c r="W7" s="4">
        <v>165.7</v>
      </c>
      <c r="X7" s="4">
        <v>175.3</v>
      </c>
      <c r="Y7" s="4">
        <v>161.19999999999999</v>
      </c>
      <c r="Z7" s="4">
        <v>165.5</v>
      </c>
      <c r="AA7" s="4">
        <v>170.3</v>
      </c>
      <c r="AB7" s="4">
        <v>164.5</v>
      </c>
      <c r="AC7" s="4">
        <v>167.3</v>
      </c>
      <c r="AD7" s="4">
        <v>166.7</v>
      </c>
      <c r="AE7" s="23"/>
      <c r="AN7" s="4">
        <v>2022</v>
      </c>
      <c r="AO7" s="4" t="s">
        <v>34</v>
      </c>
      <c r="AP7" s="4">
        <v>148.80000000000001</v>
      </c>
      <c r="AQ7" s="4">
        <v>198.1</v>
      </c>
      <c r="AR7" s="4">
        <v>175.5</v>
      </c>
      <c r="AS7" s="4">
        <v>160.69999999999999</v>
      </c>
      <c r="AT7" s="4">
        <v>192.6</v>
      </c>
      <c r="AU7" s="4">
        <v>151.4</v>
      </c>
      <c r="AV7" s="4">
        <v>155.19999999999999</v>
      </c>
      <c r="AW7" s="4">
        <v>163.9</v>
      </c>
      <c r="AX7" s="4">
        <v>118.1</v>
      </c>
      <c r="AY7" s="4">
        <v>175.4</v>
      </c>
      <c r="AZ7" s="4">
        <v>176.3</v>
      </c>
      <c r="BA7" s="4">
        <v>163.9</v>
      </c>
      <c r="BB7">
        <f>SUM(AP10:BA12)</f>
        <v>6065.9999999999991</v>
      </c>
      <c r="BF7" s="6">
        <v>2022</v>
      </c>
      <c r="BG7" s="4" t="s">
        <v>34</v>
      </c>
      <c r="BH7" s="4">
        <v>170.5</v>
      </c>
      <c r="BI7" s="4">
        <v>191.5</v>
      </c>
      <c r="BJ7" s="4">
        <v>165.5</v>
      </c>
      <c r="BK7">
        <f>SUM(BH10:BJ12)</f>
        <v>1567.8</v>
      </c>
      <c r="BM7" s="6">
        <v>2022</v>
      </c>
      <c r="BN7" s="4" t="s">
        <v>34</v>
      </c>
      <c r="BO7" s="4">
        <v>174.1</v>
      </c>
      <c r="BP7" s="4">
        <v>171</v>
      </c>
      <c r="BQ7" s="4">
        <v>173.7</v>
      </c>
      <c r="BR7">
        <f>SUM(BO13:BQ15)</f>
        <v>1532.1000000000001</v>
      </c>
      <c r="BT7" s="6">
        <v>2022</v>
      </c>
      <c r="BU7" s="4" t="s">
        <v>34</v>
      </c>
      <c r="BV7" s="4">
        <v>165.4</v>
      </c>
      <c r="BW7" s="4">
        <v>167.4</v>
      </c>
      <c r="BX7" s="4">
        <v>165.7</v>
      </c>
      <c r="BY7" s="4">
        <v>161.19999999999999</v>
      </c>
      <c r="BZ7" s="4">
        <v>170.3</v>
      </c>
      <c r="CA7">
        <f>SUM(BV13:BZ15)</f>
        <v>2498.6499999999996</v>
      </c>
      <c r="CC7" s="6">
        <v>2022</v>
      </c>
      <c r="CD7" s="4" t="s">
        <v>34</v>
      </c>
      <c r="CE7" s="4">
        <v>175.3</v>
      </c>
      <c r="CF7" s="4">
        <v>164.5</v>
      </c>
      <c r="CI7" s="6">
        <v>2022</v>
      </c>
      <c r="CJ7" s="4" t="s">
        <v>34</v>
      </c>
      <c r="CK7" s="4">
        <v>167.3</v>
      </c>
      <c r="CL7" s="4">
        <v>166.7</v>
      </c>
    </row>
    <row r="8" spans="1:90">
      <c r="A8" s="5" t="s">
        <v>32</v>
      </c>
      <c r="B8" s="6">
        <v>2022</v>
      </c>
      <c r="C8" s="6" t="s">
        <v>34</v>
      </c>
      <c r="D8" s="6">
        <v>152.5</v>
      </c>
      <c r="E8" s="6">
        <v>205.2</v>
      </c>
      <c r="F8" s="6">
        <v>176.4</v>
      </c>
      <c r="G8" s="6">
        <v>160.6</v>
      </c>
      <c r="H8" s="6">
        <v>171.5</v>
      </c>
      <c r="I8" s="6">
        <v>156.4</v>
      </c>
      <c r="J8" s="6">
        <v>198</v>
      </c>
      <c r="K8" s="6">
        <v>163.19999999999999</v>
      </c>
      <c r="L8" s="6">
        <v>120.6</v>
      </c>
      <c r="M8" s="6">
        <v>172.2</v>
      </c>
      <c r="N8" s="6">
        <v>156.69999999999999</v>
      </c>
      <c r="O8" s="6">
        <v>180</v>
      </c>
      <c r="P8" s="6">
        <v>170.2</v>
      </c>
      <c r="Q8" s="6">
        <v>196.5</v>
      </c>
      <c r="R8" s="6">
        <v>165.7</v>
      </c>
      <c r="S8" s="6">
        <v>150.4</v>
      </c>
      <c r="T8" s="6">
        <v>163.4</v>
      </c>
      <c r="U8" s="6">
        <v>165.5</v>
      </c>
      <c r="V8" s="6">
        <v>163</v>
      </c>
      <c r="W8" s="6">
        <v>157.4</v>
      </c>
      <c r="X8" s="6">
        <v>167.2</v>
      </c>
      <c r="Y8" s="6">
        <v>153.1</v>
      </c>
      <c r="Z8" s="6">
        <v>159.5</v>
      </c>
      <c r="AA8" s="6">
        <v>162</v>
      </c>
      <c r="AB8" s="6">
        <v>164.2</v>
      </c>
      <c r="AC8" s="6">
        <v>159.4</v>
      </c>
      <c r="AD8" s="6">
        <v>165.5</v>
      </c>
      <c r="AE8" s="22"/>
      <c r="AN8" s="6">
        <v>2022</v>
      </c>
      <c r="AO8" s="6" t="s">
        <v>34</v>
      </c>
      <c r="AP8" s="6">
        <v>152.5</v>
      </c>
      <c r="AQ8" s="6">
        <v>205.2</v>
      </c>
      <c r="AR8" s="6">
        <v>176.4</v>
      </c>
      <c r="AS8" s="6">
        <v>160.6</v>
      </c>
      <c r="AT8" s="6">
        <v>171.5</v>
      </c>
      <c r="AU8" s="6">
        <v>156.4</v>
      </c>
      <c r="AV8" s="6">
        <v>198</v>
      </c>
      <c r="AW8" s="6">
        <v>163.19999999999999</v>
      </c>
      <c r="AX8" s="6">
        <v>120.6</v>
      </c>
      <c r="AY8" s="6">
        <v>172.2</v>
      </c>
      <c r="AZ8" s="6">
        <v>180</v>
      </c>
      <c r="BA8" s="6">
        <v>170.2</v>
      </c>
      <c r="BB8">
        <f>SUM(AP13:BA15)</f>
        <v>6155.2</v>
      </c>
      <c r="BF8" s="6">
        <v>2022</v>
      </c>
      <c r="BG8" s="6" t="s">
        <v>34</v>
      </c>
      <c r="BH8" s="6">
        <v>156.69999999999999</v>
      </c>
      <c r="BI8" s="6">
        <v>196.5</v>
      </c>
      <c r="BJ8" s="6">
        <v>159.5</v>
      </c>
      <c r="BK8">
        <f>SUM(BH13:BJ15)</f>
        <v>1573.7000000000003</v>
      </c>
      <c r="BM8" s="6">
        <v>2022</v>
      </c>
      <c r="BN8" s="6" t="s">
        <v>34</v>
      </c>
      <c r="BO8" s="6">
        <v>165.7</v>
      </c>
      <c r="BP8" s="6">
        <v>150.4</v>
      </c>
      <c r="BQ8" s="6">
        <v>163.4</v>
      </c>
      <c r="BR8">
        <f>SUM(BO16:BQ18)</f>
        <v>1547.8</v>
      </c>
      <c r="BT8" s="6">
        <v>2022</v>
      </c>
      <c r="BU8" s="6" t="s">
        <v>34</v>
      </c>
      <c r="BV8" s="6">
        <v>165.5</v>
      </c>
      <c r="BW8" s="6">
        <v>163</v>
      </c>
      <c r="BX8" s="6">
        <v>157.4</v>
      </c>
      <c r="BY8" s="6">
        <v>153.1</v>
      </c>
      <c r="BZ8" s="6">
        <v>162</v>
      </c>
      <c r="CA8">
        <f>SUM(BV16:BZ18)</f>
        <v>2515.25</v>
      </c>
      <c r="CC8" s="6">
        <v>2022</v>
      </c>
      <c r="CD8" s="6" t="s">
        <v>34</v>
      </c>
      <c r="CE8" s="6">
        <v>167.2</v>
      </c>
      <c r="CF8" s="6">
        <v>164.2</v>
      </c>
      <c r="CI8" s="6">
        <v>2022</v>
      </c>
      <c r="CJ8" s="6" t="s">
        <v>34</v>
      </c>
      <c r="CK8" s="6">
        <v>159.4</v>
      </c>
      <c r="CL8" s="6">
        <v>165.5</v>
      </c>
    </row>
    <row r="9" spans="1:90">
      <c r="A9" s="3" t="s">
        <v>33</v>
      </c>
      <c r="B9" s="4">
        <v>2022</v>
      </c>
      <c r="C9" s="4" t="s">
        <v>34</v>
      </c>
      <c r="D9" s="4">
        <v>150</v>
      </c>
      <c r="E9" s="4">
        <v>200.6</v>
      </c>
      <c r="F9" s="4">
        <v>175.8</v>
      </c>
      <c r="G9" s="4">
        <v>160.69999999999999</v>
      </c>
      <c r="H9" s="4">
        <v>184.9</v>
      </c>
      <c r="I9" s="4">
        <v>153.69999999999999</v>
      </c>
      <c r="J9" s="4">
        <v>169.7</v>
      </c>
      <c r="K9" s="4">
        <v>163.69999999999999</v>
      </c>
      <c r="L9" s="4">
        <v>118.9</v>
      </c>
      <c r="M9" s="4">
        <v>174.3</v>
      </c>
      <c r="N9" s="4">
        <v>164.7</v>
      </c>
      <c r="O9" s="4">
        <v>178</v>
      </c>
      <c r="P9" s="4">
        <v>166.2</v>
      </c>
      <c r="Q9" s="4">
        <v>192.8</v>
      </c>
      <c r="R9" s="4">
        <v>170.8</v>
      </c>
      <c r="S9" s="4">
        <v>162.4</v>
      </c>
      <c r="T9" s="4">
        <v>169.6</v>
      </c>
      <c r="U9" s="4">
        <v>165.5</v>
      </c>
      <c r="V9" s="4">
        <v>165.7</v>
      </c>
      <c r="W9" s="4">
        <v>161.80000000000001</v>
      </c>
      <c r="X9" s="4">
        <v>172.2</v>
      </c>
      <c r="Y9" s="4">
        <v>156.9</v>
      </c>
      <c r="Z9" s="4">
        <v>162.1</v>
      </c>
      <c r="AA9" s="4">
        <v>165.4</v>
      </c>
      <c r="AB9" s="4">
        <v>164.4</v>
      </c>
      <c r="AC9" s="4">
        <v>163.5</v>
      </c>
      <c r="AD9" s="4">
        <v>166.1</v>
      </c>
      <c r="AE9" s="23"/>
      <c r="AN9" s="4">
        <v>2022</v>
      </c>
      <c r="AO9" s="4" t="s">
        <v>34</v>
      </c>
      <c r="AP9" s="4">
        <v>150</v>
      </c>
      <c r="AQ9" s="4">
        <v>200.6</v>
      </c>
      <c r="AR9" s="4">
        <v>175.8</v>
      </c>
      <c r="AS9" s="4">
        <v>160.69999999999999</v>
      </c>
      <c r="AT9" s="4">
        <v>184.9</v>
      </c>
      <c r="AU9" s="4">
        <v>153.69999999999999</v>
      </c>
      <c r="AV9" s="4">
        <v>169.7</v>
      </c>
      <c r="AW9" s="4">
        <v>163.69999999999999</v>
      </c>
      <c r="AX9" s="4">
        <v>118.9</v>
      </c>
      <c r="AY9" s="4">
        <v>174.3</v>
      </c>
      <c r="AZ9" s="4">
        <v>178</v>
      </c>
      <c r="BA9" s="4">
        <v>166.2</v>
      </c>
      <c r="BB9">
        <f>SUM(AP16:BA18)</f>
        <v>6229.0999999999976</v>
      </c>
      <c r="BF9" s="6">
        <v>2022</v>
      </c>
      <c r="BG9" s="4" t="s">
        <v>34</v>
      </c>
      <c r="BH9" s="4">
        <v>164.7</v>
      </c>
      <c r="BI9" s="4">
        <v>192.8</v>
      </c>
      <c r="BJ9" s="4">
        <v>162.1</v>
      </c>
      <c r="BK9">
        <f>SUM(BH16:BJ18)</f>
        <v>1579.1999999999998</v>
      </c>
      <c r="BM9" s="6">
        <v>2022</v>
      </c>
      <c r="BN9" s="4" t="s">
        <v>34</v>
      </c>
      <c r="BO9" s="4">
        <v>170.8</v>
      </c>
      <c r="BP9" s="4">
        <v>162.4</v>
      </c>
      <c r="BQ9" s="4">
        <v>169.6</v>
      </c>
      <c r="BR9">
        <f>SUM(BO19:BQ21)</f>
        <v>1561.2</v>
      </c>
      <c r="BT9" s="6">
        <v>2022</v>
      </c>
      <c r="BU9" s="4" t="s">
        <v>34</v>
      </c>
      <c r="BV9" s="4">
        <v>165.5</v>
      </c>
      <c r="BW9" s="4">
        <v>165.7</v>
      </c>
      <c r="BX9" s="4">
        <v>161.80000000000001</v>
      </c>
      <c r="BY9" s="4">
        <v>156.9</v>
      </c>
      <c r="BZ9" s="4">
        <v>165.4</v>
      </c>
      <c r="CA9">
        <f>SUM(BV19:BZ21)</f>
        <v>2519.1999999999998</v>
      </c>
      <c r="CC9" s="6">
        <v>2022</v>
      </c>
      <c r="CD9" s="4" t="s">
        <v>34</v>
      </c>
      <c r="CE9" s="4">
        <v>172.2</v>
      </c>
      <c r="CF9" s="4">
        <v>164.4</v>
      </c>
      <c r="CI9" s="6">
        <v>2022</v>
      </c>
      <c r="CJ9" s="4" t="s">
        <v>34</v>
      </c>
      <c r="CK9" s="4">
        <v>163.5</v>
      </c>
      <c r="CL9" s="4">
        <v>166.1</v>
      </c>
    </row>
    <row r="10" spans="1:90">
      <c r="A10" s="5" t="s">
        <v>30</v>
      </c>
      <c r="B10" s="6">
        <v>2022</v>
      </c>
      <c r="C10" s="6" t="s">
        <v>35</v>
      </c>
      <c r="D10" s="6">
        <v>150.19999999999999</v>
      </c>
      <c r="E10" s="6">
        <v>208</v>
      </c>
      <c r="F10" s="6">
        <v>167.9</v>
      </c>
      <c r="G10" s="6">
        <v>162</v>
      </c>
      <c r="H10" s="6">
        <v>203.1</v>
      </c>
      <c r="I10" s="6">
        <v>155.9</v>
      </c>
      <c r="J10" s="6">
        <v>155.80000000000001</v>
      </c>
      <c r="K10" s="6">
        <v>164.2</v>
      </c>
      <c r="L10" s="6">
        <v>118.1</v>
      </c>
      <c r="M10" s="6">
        <v>178.7</v>
      </c>
      <c r="N10" s="6">
        <v>171.2</v>
      </c>
      <c r="O10" s="6">
        <v>177.4</v>
      </c>
      <c r="P10" s="6">
        <v>166.6</v>
      </c>
      <c r="Q10" s="6">
        <v>192.3</v>
      </c>
      <c r="R10" s="6">
        <v>175.4</v>
      </c>
      <c r="S10" s="6">
        <v>173.2</v>
      </c>
      <c r="T10" s="6">
        <v>175.1</v>
      </c>
      <c r="U10" s="6">
        <v>165.4</v>
      </c>
      <c r="V10" s="6">
        <v>168.9</v>
      </c>
      <c r="W10" s="6">
        <v>166.5</v>
      </c>
      <c r="X10" s="6">
        <v>176</v>
      </c>
      <c r="Y10" s="6">
        <v>162</v>
      </c>
      <c r="Z10" s="6">
        <v>166.6</v>
      </c>
      <c r="AA10" s="6">
        <v>170.6</v>
      </c>
      <c r="AB10" s="6">
        <v>167.4</v>
      </c>
      <c r="AC10" s="6">
        <v>168.3</v>
      </c>
      <c r="AD10" s="6">
        <v>168.7</v>
      </c>
      <c r="AE10" s="22"/>
      <c r="AN10" s="6">
        <v>2022</v>
      </c>
      <c r="AO10" s="6" t="s">
        <v>35</v>
      </c>
      <c r="AP10" s="6">
        <v>150.19999999999999</v>
      </c>
      <c r="AQ10" s="6">
        <v>208</v>
      </c>
      <c r="AR10" s="6">
        <v>167.9</v>
      </c>
      <c r="AS10" s="6">
        <v>162</v>
      </c>
      <c r="AT10" s="6">
        <v>203.1</v>
      </c>
      <c r="AU10" s="6">
        <v>155.9</v>
      </c>
      <c r="AV10" s="6">
        <v>155.80000000000001</v>
      </c>
      <c r="AW10" s="6">
        <v>164.2</v>
      </c>
      <c r="AX10" s="6">
        <v>118.1</v>
      </c>
      <c r="AY10" s="6">
        <v>178.7</v>
      </c>
      <c r="AZ10" s="6">
        <v>177.4</v>
      </c>
      <c r="BA10" s="6">
        <v>166.6</v>
      </c>
      <c r="BB10">
        <f>SUM(AP19:BA21)</f>
        <v>6296.4999999999991</v>
      </c>
      <c r="BF10" s="6">
        <v>2022</v>
      </c>
      <c r="BG10" s="6" t="s">
        <v>35</v>
      </c>
      <c r="BH10" s="6">
        <v>171.2</v>
      </c>
      <c r="BI10" s="6">
        <v>192.3</v>
      </c>
      <c r="BJ10" s="6">
        <v>166.6</v>
      </c>
      <c r="BK10">
        <f>SUM(BH19:BJ21)</f>
        <v>1584.6</v>
      </c>
      <c r="BM10" s="6">
        <v>2022</v>
      </c>
      <c r="BN10" s="6" t="s">
        <v>35</v>
      </c>
      <c r="BO10" s="6">
        <v>175.4</v>
      </c>
      <c r="BP10" s="6">
        <v>173.2</v>
      </c>
      <c r="BQ10" s="6">
        <v>175.1</v>
      </c>
      <c r="BR10">
        <f>SUM(BO22:BQ24)</f>
        <v>1572.8999999999999</v>
      </c>
      <c r="BT10" s="6">
        <v>2022</v>
      </c>
      <c r="BU10" s="6" t="s">
        <v>35</v>
      </c>
      <c r="BV10" s="6">
        <v>165.4</v>
      </c>
      <c r="BW10" s="6">
        <v>168.9</v>
      </c>
      <c r="BX10" s="6">
        <v>166.5</v>
      </c>
      <c r="BY10" s="6">
        <v>162</v>
      </c>
      <c r="BZ10" s="6">
        <v>170.6</v>
      </c>
      <c r="CA10">
        <f>SUM(BV22:BZ24)</f>
        <v>2543.8999999999996</v>
      </c>
      <c r="CC10" s="6">
        <v>2022</v>
      </c>
      <c r="CD10" s="6" t="s">
        <v>35</v>
      </c>
      <c r="CE10" s="6">
        <v>176</v>
      </c>
      <c r="CF10" s="6">
        <v>167.4</v>
      </c>
      <c r="CI10" s="6">
        <v>2022</v>
      </c>
      <c r="CJ10" s="6" t="s">
        <v>35</v>
      </c>
      <c r="CK10" s="6">
        <v>168.3</v>
      </c>
      <c r="CL10" s="6">
        <v>168.7</v>
      </c>
    </row>
    <row r="11" spans="1:90">
      <c r="A11" s="3" t="s">
        <v>32</v>
      </c>
      <c r="B11" s="4">
        <v>2022</v>
      </c>
      <c r="C11" s="4" t="s">
        <v>35</v>
      </c>
      <c r="D11" s="4">
        <v>153.69999999999999</v>
      </c>
      <c r="E11" s="4">
        <v>215.8</v>
      </c>
      <c r="F11" s="4">
        <v>167.7</v>
      </c>
      <c r="G11" s="4">
        <v>162.6</v>
      </c>
      <c r="H11" s="4">
        <v>180</v>
      </c>
      <c r="I11" s="4">
        <v>159.6</v>
      </c>
      <c r="J11" s="4">
        <v>188.4</v>
      </c>
      <c r="K11" s="4">
        <v>163.4</v>
      </c>
      <c r="L11" s="4">
        <v>120.3</v>
      </c>
      <c r="M11" s="4">
        <v>174.7</v>
      </c>
      <c r="N11" s="4">
        <v>157.1</v>
      </c>
      <c r="O11" s="4">
        <v>181.5</v>
      </c>
      <c r="P11" s="4">
        <v>171.5</v>
      </c>
      <c r="Q11" s="4">
        <v>197.5</v>
      </c>
      <c r="R11" s="4">
        <v>167.1</v>
      </c>
      <c r="S11" s="4">
        <v>152.6</v>
      </c>
      <c r="T11" s="4">
        <v>164.9</v>
      </c>
      <c r="U11" s="4">
        <v>165.3</v>
      </c>
      <c r="V11" s="4">
        <v>164.5</v>
      </c>
      <c r="W11" s="4">
        <v>158.6</v>
      </c>
      <c r="X11" s="4">
        <v>168.2</v>
      </c>
      <c r="Y11" s="4">
        <v>154.19999999999999</v>
      </c>
      <c r="Z11" s="4">
        <v>160.80000000000001</v>
      </c>
      <c r="AA11" s="4">
        <v>162.69999999999999</v>
      </c>
      <c r="AB11" s="4">
        <v>166.8</v>
      </c>
      <c r="AC11" s="4">
        <v>160.6</v>
      </c>
      <c r="AD11" s="4">
        <v>166.5</v>
      </c>
      <c r="AE11" s="23"/>
      <c r="AN11" s="4">
        <v>2022</v>
      </c>
      <c r="AO11" s="4" t="s">
        <v>35</v>
      </c>
      <c r="AP11" s="4">
        <v>153.69999999999999</v>
      </c>
      <c r="AQ11" s="4">
        <v>215.8</v>
      </c>
      <c r="AR11" s="4">
        <v>167.7</v>
      </c>
      <c r="AS11" s="4">
        <v>162.6</v>
      </c>
      <c r="AT11" s="4">
        <v>180</v>
      </c>
      <c r="AU11" s="4">
        <v>159.6</v>
      </c>
      <c r="AV11" s="4">
        <v>188.4</v>
      </c>
      <c r="AW11" s="4">
        <v>163.4</v>
      </c>
      <c r="AX11" s="4">
        <v>120.3</v>
      </c>
      <c r="AY11" s="4">
        <v>174.7</v>
      </c>
      <c r="AZ11" s="4">
        <v>181.5</v>
      </c>
      <c r="BA11" s="4">
        <v>171.5</v>
      </c>
      <c r="BB11">
        <f>SUM(AP22:BA24)</f>
        <v>6307.7000000000007</v>
      </c>
      <c r="BF11" s="6">
        <v>2022</v>
      </c>
      <c r="BG11" s="4" t="s">
        <v>35</v>
      </c>
      <c r="BH11" s="4">
        <v>157.1</v>
      </c>
      <c r="BI11" s="4">
        <v>197.5</v>
      </c>
      <c r="BJ11" s="4">
        <v>160.80000000000001</v>
      </c>
      <c r="BK11">
        <f>SUM(BH22:BJ24)</f>
        <v>1588.6</v>
      </c>
      <c r="BM11" s="6">
        <v>2022</v>
      </c>
      <c r="BN11" s="4" t="s">
        <v>35</v>
      </c>
      <c r="BO11" s="4">
        <v>167.1</v>
      </c>
      <c r="BP11" s="4">
        <v>152.6</v>
      </c>
      <c r="BQ11" s="4">
        <v>164.9</v>
      </c>
      <c r="BR11">
        <f>SUM(BO25:BQ27)</f>
        <v>1583.8999999999999</v>
      </c>
      <c r="BT11" s="6">
        <v>2022</v>
      </c>
      <c r="BU11" s="4" t="s">
        <v>35</v>
      </c>
      <c r="BV11" s="4">
        <v>165.3</v>
      </c>
      <c r="BW11" s="4">
        <v>164.5</v>
      </c>
      <c r="BX11" s="4">
        <v>158.6</v>
      </c>
      <c r="BY11" s="4">
        <v>154.19999999999999</v>
      </c>
      <c r="BZ11" s="4">
        <v>162.69999999999999</v>
      </c>
      <c r="CA11">
        <f>SUM(BV25:BZ27)</f>
        <v>2552.6500000000005</v>
      </c>
      <c r="CC11" s="6">
        <v>2022</v>
      </c>
      <c r="CD11" s="4" t="s">
        <v>35</v>
      </c>
      <c r="CE11" s="4">
        <v>168.2</v>
      </c>
      <c r="CF11" s="4">
        <v>166.8</v>
      </c>
      <c r="CI11" s="6">
        <v>2022</v>
      </c>
      <c r="CJ11" s="4" t="s">
        <v>35</v>
      </c>
      <c r="CK11" s="4">
        <v>160.6</v>
      </c>
      <c r="CL11" s="4">
        <v>166.5</v>
      </c>
    </row>
    <row r="12" spans="1:90">
      <c r="A12" s="5" t="s">
        <v>33</v>
      </c>
      <c r="B12" s="6">
        <v>2022</v>
      </c>
      <c r="C12" s="6" t="s">
        <v>35</v>
      </c>
      <c r="D12" s="6">
        <v>151.30000000000001</v>
      </c>
      <c r="E12" s="6">
        <v>210.7</v>
      </c>
      <c r="F12" s="6">
        <v>167.8</v>
      </c>
      <c r="G12" s="6">
        <v>162.19999999999999</v>
      </c>
      <c r="H12" s="6">
        <v>194.6</v>
      </c>
      <c r="I12" s="6">
        <v>157.6</v>
      </c>
      <c r="J12" s="6">
        <v>166.9</v>
      </c>
      <c r="K12" s="6">
        <v>163.9</v>
      </c>
      <c r="L12" s="6">
        <v>118.8</v>
      </c>
      <c r="M12" s="6">
        <v>177.4</v>
      </c>
      <c r="N12" s="6">
        <v>165.3</v>
      </c>
      <c r="O12" s="6">
        <v>179.3</v>
      </c>
      <c r="P12" s="6">
        <v>168.4</v>
      </c>
      <c r="Q12" s="6">
        <v>193.7</v>
      </c>
      <c r="R12" s="6">
        <v>172.1</v>
      </c>
      <c r="S12" s="6">
        <v>164.6</v>
      </c>
      <c r="T12" s="6">
        <v>171.1</v>
      </c>
      <c r="U12" s="6">
        <v>165.3</v>
      </c>
      <c r="V12" s="6">
        <v>167.2</v>
      </c>
      <c r="W12" s="6">
        <v>162.80000000000001</v>
      </c>
      <c r="X12" s="6">
        <v>173</v>
      </c>
      <c r="Y12" s="6">
        <v>157.9</v>
      </c>
      <c r="Z12" s="6">
        <v>163.30000000000001</v>
      </c>
      <c r="AA12" s="6">
        <v>166</v>
      </c>
      <c r="AB12" s="6">
        <v>167.2</v>
      </c>
      <c r="AC12" s="6">
        <v>164.6</v>
      </c>
      <c r="AD12" s="6">
        <v>167.7</v>
      </c>
      <c r="AE12" s="22"/>
      <c r="AN12" s="6">
        <v>2022</v>
      </c>
      <c r="AO12" s="6" t="s">
        <v>35</v>
      </c>
      <c r="AP12" s="6">
        <v>151.30000000000001</v>
      </c>
      <c r="AQ12" s="6">
        <v>210.7</v>
      </c>
      <c r="AR12" s="6">
        <v>167.8</v>
      </c>
      <c r="AS12" s="6">
        <v>162.19999999999999</v>
      </c>
      <c r="AT12" s="6">
        <v>194.6</v>
      </c>
      <c r="AU12" s="6">
        <v>157.6</v>
      </c>
      <c r="AV12" s="6">
        <v>166.9</v>
      </c>
      <c r="AW12" s="6">
        <v>163.9</v>
      </c>
      <c r="AX12" s="6">
        <v>118.8</v>
      </c>
      <c r="AY12" s="6">
        <v>177.4</v>
      </c>
      <c r="AZ12" s="6">
        <v>179.3</v>
      </c>
      <c r="BA12" s="6">
        <v>168.4</v>
      </c>
      <c r="BB12">
        <f>SUM(AP25:BA27)</f>
        <v>6314.5999999999995</v>
      </c>
      <c r="BF12" s="6">
        <v>2022</v>
      </c>
      <c r="BG12" s="6" t="s">
        <v>35</v>
      </c>
      <c r="BH12" s="6">
        <v>165.3</v>
      </c>
      <c r="BI12" s="6">
        <v>193.7</v>
      </c>
      <c r="BJ12" s="6">
        <v>163.30000000000001</v>
      </c>
      <c r="BK12">
        <f>SUM(BH25:BJ27)</f>
        <v>1592.8</v>
      </c>
      <c r="BM12" s="6">
        <v>2022</v>
      </c>
      <c r="BN12" s="6" t="s">
        <v>35</v>
      </c>
      <c r="BO12" s="6">
        <v>172.1</v>
      </c>
      <c r="BP12" s="6">
        <v>164.6</v>
      </c>
      <c r="BQ12" s="6">
        <v>171.1</v>
      </c>
      <c r="BR12">
        <f>SUM(BO28:BQ30)</f>
        <v>1597.3000000000002</v>
      </c>
      <c r="BT12" s="6">
        <v>2022</v>
      </c>
      <c r="BU12" s="6" t="s">
        <v>35</v>
      </c>
      <c r="BV12" s="6">
        <v>165.3</v>
      </c>
      <c r="BW12" s="6">
        <v>167.2</v>
      </c>
      <c r="BX12" s="6">
        <v>162.80000000000001</v>
      </c>
      <c r="BY12" s="6">
        <v>157.9</v>
      </c>
      <c r="BZ12" s="6">
        <v>166</v>
      </c>
      <c r="CA12">
        <f>SUM(BV28:BZ30)</f>
        <v>2562.35</v>
      </c>
      <c r="CC12" s="6">
        <v>2022</v>
      </c>
      <c r="CD12" s="6" t="s">
        <v>35</v>
      </c>
      <c r="CE12" s="6">
        <v>173</v>
      </c>
      <c r="CF12" s="6">
        <v>167.2</v>
      </c>
      <c r="CI12" s="6">
        <v>2022</v>
      </c>
      <c r="CJ12" s="6" t="s">
        <v>35</v>
      </c>
      <c r="CK12" s="6">
        <v>164.6</v>
      </c>
      <c r="CL12" s="6">
        <v>167.7</v>
      </c>
    </row>
    <row r="13" spans="1:90">
      <c r="A13" s="3" t="s">
        <v>30</v>
      </c>
      <c r="B13" s="4">
        <v>2022</v>
      </c>
      <c r="C13" s="4" t="s">
        <v>36</v>
      </c>
      <c r="D13" s="4">
        <v>151.80000000000001</v>
      </c>
      <c r="E13" s="4">
        <v>209.7</v>
      </c>
      <c r="F13" s="4">
        <v>164.5</v>
      </c>
      <c r="G13" s="4">
        <v>163.80000000000001</v>
      </c>
      <c r="H13" s="4">
        <v>207.4</v>
      </c>
      <c r="I13" s="4">
        <v>169.7</v>
      </c>
      <c r="J13" s="4">
        <v>153.6</v>
      </c>
      <c r="K13" s="4">
        <v>165.1</v>
      </c>
      <c r="L13" s="4">
        <v>118.2</v>
      </c>
      <c r="M13" s="4">
        <v>182.9</v>
      </c>
      <c r="N13" s="4">
        <v>172.4</v>
      </c>
      <c r="O13" s="4">
        <v>178.9</v>
      </c>
      <c r="P13" s="4">
        <v>168.6</v>
      </c>
      <c r="Q13" s="4">
        <v>192.8</v>
      </c>
      <c r="R13" s="4">
        <v>177.5</v>
      </c>
      <c r="S13" s="4">
        <v>175.1</v>
      </c>
      <c r="T13" s="4">
        <v>177.1</v>
      </c>
      <c r="U13" s="4">
        <v>167.25</v>
      </c>
      <c r="V13" s="4">
        <v>173.3</v>
      </c>
      <c r="W13" s="4">
        <v>167.7</v>
      </c>
      <c r="X13" s="4">
        <v>177</v>
      </c>
      <c r="Y13" s="4">
        <v>166.2</v>
      </c>
      <c r="Z13" s="4">
        <v>167.2</v>
      </c>
      <c r="AA13" s="4">
        <v>170.9</v>
      </c>
      <c r="AB13" s="4">
        <v>169</v>
      </c>
      <c r="AC13" s="4">
        <v>170.2</v>
      </c>
      <c r="AD13" s="4">
        <v>170.8</v>
      </c>
      <c r="AE13" s="23"/>
      <c r="AN13" s="4">
        <v>2022</v>
      </c>
      <c r="AO13" s="4" t="s">
        <v>36</v>
      </c>
      <c r="AP13" s="4">
        <v>151.80000000000001</v>
      </c>
      <c r="AQ13" s="4">
        <v>209.7</v>
      </c>
      <c r="AR13" s="4">
        <v>164.5</v>
      </c>
      <c r="AS13" s="4">
        <v>163.80000000000001</v>
      </c>
      <c r="AT13" s="4">
        <v>207.4</v>
      </c>
      <c r="AU13" s="4">
        <v>169.7</v>
      </c>
      <c r="AV13" s="4">
        <v>153.6</v>
      </c>
      <c r="AW13" s="4">
        <v>165.1</v>
      </c>
      <c r="AX13" s="4">
        <v>118.2</v>
      </c>
      <c r="AY13" s="4">
        <v>182.9</v>
      </c>
      <c r="AZ13" s="4">
        <v>178.9</v>
      </c>
      <c r="BA13" s="4">
        <v>168.6</v>
      </c>
      <c r="BB13">
        <f>SUM(AP28:BA30)</f>
        <v>6349.2</v>
      </c>
      <c r="BF13" s="6">
        <v>2022</v>
      </c>
      <c r="BG13" s="4" t="s">
        <v>36</v>
      </c>
      <c r="BH13" s="4">
        <v>172.4</v>
      </c>
      <c r="BI13" s="4">
        <v>192.8</v>
      </c>
      <c r="BJ13" s="4">
        <v>167.2</v>
      </c>
      <c r="BK13">
        <f>SUM(BH28:BJ30)</f>
        <v>1599.4</v>
      </c>
      <c r="BM13" s="6">
        <v>2022</v>
      </c>
      <c r="BN13" s="4" t="s">
        <v>36</v>
      </c>
      <c r="BO13" s="4">
        <v>177.5</v>
      </c>
      <c r="BP13" s="4">
        <v>175.1</v>
      </c>
      <c r="BQ13" s="4">
        <v>177.1</v>
      </c>
      <c r="BR13">
        <f>SUM(BO31:BQ33)</f>
        <v>1606.3</v>
      </c>
      <c r="BT13" s="6">
        <v>2022</v>
      </c>
      <c r="BU13" s="4" t="s">
        <v>36</v>
      </c>
      <c r="BV13" s="4">
        <v>167.25</v>
      </c>
      <c r="BW13" s="4">
        <v>173.3</v>
      </c>
      <c r="BX13" s="4">
        <v>167.7</v>
      </c>
      <c r="BY13" s="4">
        <v>166.2</v>
      </c>
      <c r="BZ13" s="4">
        <v>170.9</v>
      </c>
      <c r="CA13">
        <f>SUM(BV31:BZ33)</f>
        <v>2576.2000000000003</v>
      </c>
      <c r="CC13" s="6">
        <v>2022</v>
      </c>
      <c r="CD13" s="4" t="s">
        <v>36</v>
      </c>
      <c r="CE13" s="4">
        <v>177</v>
      </c>
      <c r="CF13" s="4">
        <v>169</v>
      </c>
      <c r="CI13" s="6">
        <v>2022</v>
      </c>
      <c r="CJ13" s="4" t="s">
        <v>36</v>
      </c>
      <c r="CK13" s="4">
        <v>170.2</v>
      </c>
      <c r="CL13" s="4">
        <v>170.8</v>
      </c>
    </row>
    <row r="14" spans="1:90">
      <c r="A14" s="5" t="s">
        <v>32</v>
      </c>
      <c r="B14" s="6">
        <v>2022</v>
      </c>
      <c r="C14" s="6" t="s">
        <v>36</v>
      </c>
      <c r="D14" s="6">
        <v>155.4</v>
      </c>
      <c r="E14" s="6">
        <v>215.8</v>
      </c>
      <c r="F14" s="6">
        <v>164.6</v>
      </c>
      <c r="G14" s="6">
        <v>164.2</v>
      </c>
      <c r="H14" s="6">
        <v>186</v>
      </c>
      <c r="I14" s="6">
        <v>175.9</v>
      </c>
      <c r="J14" s="6">
        <v>190.7</v>
      </c>
      <c r="K14" s="6">
        <v>164</v>
      </c>
      <c r="L14" s="6">
        <v>120.5</v>
      </c>
      <c r="M14" s="6">
        <v>178</v>
      </c>
      <c r="N14" s="6">
        <v>157.5</v>
      </c>
      <c r="O14" s="6">
        <v>183.3</v>
      </c>
      <c r="P14" s="6">
        <v>174.5</v>
      </c>
      <c r="Q14" s="6">
        <v>197.1</v>
      </c>
      <c r="R14" s="6">
        <v>168.4</v>
      </c>
      <c r="S14" s="6">
        <v>154.5</v>
      </c>
      <c r="T14" s="6">
        <v>166.3</v>
      </c>
      <c r="U14" s="6">
        <v>167</v>
      </c>
      <c r="V14" s="6">
        <v>170.5</v>
      </c>
      <c r="W14" s="6">
        <v>159.80000000000001</v>
      </c>
      <c r="X14" s="6">
        <v>169</v>
      </c>
      <c r="Y14" s="6">
        <v>159.30000000000001</v>
      </c>
      <c r="Z14" s="6">
        <v>162.19999999999999</v>
      </c>
      <c r="AA14" s="6">
        <v>164</v>
      </c>
      <c r="AB14" s="6">
        <v>168.4</v>
      </c>
      <c r="AC14" s="6">
        <v>163.1</v>
      </c>
      <c r="AD14" s="6">
        <v>169.2</v>
      </c>
      <c r="AE14" s="22"/>
      <c r="AN14" s="6">
        <v>2022</v>
      </c>
      <c r="AO14" s="6" t="s">
        <v>36</v>
      </c>
      <c r="AP14" s="6">
        <v>155.4</v>
      </c>
      <c r="AQ14" s="6">
        <v>215.8</v>
      </c>
      <c r="AR14" s="6">
        <v>164.6</v>
      </c>
      <c r="AS14" s="6">
        <v>164.2</v>
      </c>
      <c r="AT14" s="6">
        <v>186</v>
      </c>
      <c r="AU14" s="6">
        <v>175.9</v>
      </c>
      <c r="AV14" s="6">
        <v>190.7</v>
      </c>
      <c r="AW14" s="6">
        <v>164</v>
      </c>
      <c r="AX14" s="6">
        <v>120.5</v>
      </c>
      <c r="AY14" s="6">
        <v>178</v>
      </c>
      <c r="AZ14" s="6">
        <v>183.3</v>
      </c>
      <c r="BA14" s="6">
        <v>174.5</v>
      </c>
      <c r="BB14">
        <f>SUM(AP31:BA33)</f>
        <v>6396.7999999999984</v>
      </c>
      <c r="BF14" s="6">
        <v>2022</v>
      </c>
      <c r="BG14" s="6" t="s">
        <v>36</v>
      </c>
      <c r="BH14" s="6">
        <v>157.5</v>
      </c>
      <c r="BI14" s="6">
        <v>197.1</v>
      </c>
      <c r="BJ14" s="6">
        <v>162.19999999999999</v>
      </c>
      <c r="BK14">
        <f>SUM(BH31:BJ33)</f>
        <v>1603.7000000000003</v>
      </c>
      <c r="BM14" s="6">
        <v>2022</v>
      </c>
      <c r="BN14" s="6" t="s">
        <v>36</v>
      </c>
      <c r="BO14" s="6">
        <v>168.4</v>
      </c>
      <c r="BP14" s="6">
        <v>154.5</v>
      </c>
      <c r="BQ14" s="6">
        <v>166.3</v>
      </c>
      <c r="BR14">
        <f>SUM(BO34:BQ36)</f>
        <v>1615.6</v>
      </c>
      <c r="BT14" s="6">
        <v>2022</v>
      </c>
      <c r="BU14" s="6" t="s">
        <v>36</v>
      </c>
      <c r="BV14" s="6">
        <v>167</v>
      </c>
      <c r="BW14" s="6">
        <v>170.5</v>
      </c>
      <c r="BX14" s="6">
        <v>159.80000000000001</v>
      </c>
      <c r="BY14" s="6">
        <v>159.30000000000001</v>
      </c>
      <c r="BZ14" s="6">
        <v>164</v>
      </c>
      <c r="CA14">
        <f>SUM(BV34:BZ36)</f>
        <v>2583.9</v>
      </c>
      <c r="CC14" s="6">
        <v>2022</v>
      </c>
      <c r="CD14" s="6" t="s">
        <v>36</v>
      </c>
      <c r="CE14" s="6">
        <v>169</v>
      </c>
      <c r="CF14" s="6">
        <v>168.4</v>
      </c>
      <c r="CI14" s="6">
        <v>2022</v>
      </c>
      <c r="CJ14" s="6" t="s">
        <v>36</v>
      </c>
      <c r="CK14" s="6">
        <v>163.1</v>
      </c>
      <c r="CL14" s="6">
        <v>169.2</v>
      </c>
    </row>
    <row r="15" spans="1:90">
      <c r="A15" s="3" t="s">
        <v>33</v>
      </c>
      <c r="B15" s="4">
        <v>2022</v>
      </c>
      <c r="C15" s="4" t="s">
        <v>36</v>
      </c>
      <c r="D15" s="4">
        <v>152.9</v>
      </c>
      <c r="E15" s="4">
        <v>211.8</v>
      </c>
      <c r="F15" s="4">
        <v>164.5</v>
      </c>
      <c r="G15" s="4">
        <v>163.9</v>
      </c>
      <c r="H15" s="4">
        <v>199.5</v>
      </c>
      <c r="I15" s="4">
        <v>172.6</v>
      </c>
      <c r="J15" s="4">
        <v>166.2</v>
      </c>
      <c r="K15" s="4">
        <v>164.7</v>
      </c>
      <c r="L15" s="4">
        <v>119</v>
      </c>
      <c r="M15" s="4">
        <v>181.3</v>
      </c>
      <c r="N15" s="4">
        <v>166.2</v>
      </c>
      <c r="O15" s="4">
        <v>180.9</v>
      </c>
      <c r="P15" s="4">
        <v>170.8</v>
      </c>
      <c r="Q15" s="4">
        <v>193.9</v>
      </c>
      <c r="R15" s="4">
        <v>173.9</v>
      </c>
      <c r="S15" s="4">
        <v>166.5</v>
      </c>
      <c r="T15" s="4">
        <v>172.8</v>
      </c>
      <c r="U15" s="4">
        <v>167</v>
      </c>
      <c r="V15" s="4">
        <v>172.2</v>
      </c>
      <c r="W15" s="4">
        <v>164</v>
      </c>
      <c r="X15" s="4">
        <v>174</v>
      </c>
      <c r="Y15" s="4">
        <v>162.6</v>
      </c>
      <c r="Z15" s="4">
        <v>164.4</v>
      </c>
      <c r="AA15" s="4">
        <v>166.9</v>
      </c>
      <c r="AB15" s="4">
        <v>168.8</v>
      </c>
      <c r="AC15" s="4">
        <v>166.8</v>
      </c>
      <c r="AD15" s="4">
        <v>170.1</v>
      </c>
      <c r="AE15" s="23"/>
      <c r="AN15" s="4">
        <v>2022</v>
      </c>
      <c r="AO15" s="4" t="s">
        <v>36</v>
      </c>
      <c r="AP15" s="4">
        <v>152.9</v>
      </c>
      <c r="AQ15" s="4">
        <v>211.8</v>
      </c>
      <c r="AR15" s="4">
        <v>164.5</v>
      </c>
      <c r="AS15" s="4">
        <v>163.9</v>
      </c>
      <c r="AT15" s="4">
        <v>199.5</v>
      </c>
      <c r="AU15" s="4">
        <v>172.6</v>
      </c>
      <c r="AV15" s="4">
        <v>166.2</v>
      </c>
      <c r="AW15" s="4">
        <v>164.7</v>
      </c>
      <c r="AX15" s="4">
        <v>119</v>
      </c>
      <c r="AY15" s="4">
        <v>181.3</v>
      </c>
      <c r="AZ15" s="4">
        <v>180.9</v>
      </c>
      <c r="BA15" s="4">
        <v>170.8</v>
      </c>
      <c r="BB15">
        <f>SUM(AP34:BA36)</f>
        <v>6390</v>
      </c>
      <c r="BF15" s="6">
        <v>2022</v>
      </c>
      <c r="BG15" s="4" t="s">
        <v>36</v>
      </c>
      <c r="BH15" s="4">
        <v>166.2</v>
      </c>
      <c r="BI15" s="4">
        <v>193.9</v>
      </c>
      <c r="BJ15" s="4">
        <v>164.4</v>
      </c>
      <c r="BK15">
        <f>SUM(BH34:BJ36)</f>
        <v>1607.9000000000003</v>
      </c>
      <c r="BM15" s="6">
        <v>2022</v>
      </c>
      <c r="BN15" s="4" t="s">
        <v>36</v>
      </c>
      <c r="BO15" s="4">
        <v>173.9</v>
      </c>
      <c r="BP15" s="4">
        <v>166.5</v>
      </c>
      <c r="BQ15" s="4">
        <v>172.8</v>
      </c>
      <c r="BR15">
        <f>SUM(BO37:BQ39)</f>
        <v>1623.7</v>
      </c>
      <c r="BT15" s="6">
        <v>2022</v>
      </c>
      <c r="BU15" s="4" t="s">
        <v>36</v>
      </c>
      <c r="BV15" s="4">
        <v>167</v>
      </c>
      <c r="BW15" s="4">
        <v>172.2</v>
      </c>
      <c r="BX15" s="4">
        <v>164</v>
      </c>
      <c r="BY15" s="4">
        <v>162.6</v>
      </c>
      <c r="BZ15" s="4">
        <v>166.9</v>
      </c>
      <c r="CA15">
        <f>SUM(BV37:BZ39)</f>
        <v>2587.7999999999997</v>
      </c>
      <c r="CC15" s="6">
        <v>2022</v>
      </c>
      <c r="CD15" s="4" t="s">
        <v>36</v>
      </c>
      <c r="CE15" s="4">
        <v>174</v>
      </c>
      <c r="CF15" s="4">
        <v>168.8</v>
      </c>
      <c r="CI15" s="6">
        <v>2022</v>
      </c>
      <c r="CJ15" s="4" t="s">
        <v>36</v>
      </c>
      <c r="CK15" s="4">
        <v>166.8</v>
      </c>
      <c r="CL15" s="4">
        <v>170.1</v>
      </c>
    </row>
    <row r="16" spans="1:90">
      <c r="A16" s="5" t="s">
        <v>30</v>
      </c>
      <c r="B16" s="6">
        <v>2022</v>
      </c>
      <c r="C16" s="6" t="s">
        <v>37</v>
      </c>
      <c r="D16" s="6">
        <v>152.9</v>
      </c>
      <c r="E16" s="6">
        <v>214.7</v>
      </c>
      <c r="F16" s="6">
        <v>161.4</v>
      </c>
      <c r="G16" s="6">
        <v>164.6</v>
      </c>
      <c r="H16" s="6">
        <v>209.9</v>
      </c>
      <c r="I16" s="6">
        <v>168</v>
      </c>
      <c r="J16" s="6">
        <v>160.4</v>
      </c>
      <c r="K16" s="6">
        <v>165</v>
      </c>
      <c r="L16" s="6">
        <v>118.9</v>
      </c>
      <c r="M16" s="6">
        <v>186.6</v>
      </c>
      <c r="N16" s="6">
        <v>173.2</v>
      </c>
      <c r="O16" s="6">
        <v>180.4</v>
      </c>
      <c r="P16" s="6">
        <v>170.8</v>
      </c>
      <c r="Q16" s="6">
        <v>192.9</v>
      </c>
      <c r="R16" s="6">
        <v>179.3</v>
      </c>
      <c r="S16" s="6">
        <v>177.2</v>
      </c>
      <c r="T16" s="6">
        <v>179</v>
      </c>
      <c r="U16" s="6">
        <v>167.25</v>
      </c>
      <c r="V16" s="6">
        <v>175.3</v>
      </c>
      <c r="W16" s="6">
        <v>168.9</v>
      </c>
      <c r="X16" s="6">
        <v>177.7</v>
      </c>
      <c r="Y16" s="6">
        <v>167.1</v>
      </c>
      <c r="Z16" s="6">
        <v>167.6</v>
      </c>
      <c r="AA16" s="6">
        <v>171.8</v>
      </c>
      <c r="AB16" s="6">
        <v>168.5</v>
      </c>
      <c r="AC16" s="6">
        <v>170.9</v>
      </c>
      <c r="AD16" s="6">
        <v>172.5</v>
      </c>
      <c r="AE16" s="22"/>
      <c r="AN16" s="6">
        <v>2022</v>
      </c>
      <c r="AO16" s="6" t="s">
        <v>37</v>
      </c>
      <c r="AP16" s="6">
        <v>152.9</v>
      </c>
      <c r="AQ16" s="6">
        <v>214.7</v>
      </c>
      <c r="AR16" s="6">
        <v>161.4</v>
      </c>
      <c r="AS16" s="6">
        <v>164.6</v>
      </c>
      <c r="AT16" s="6">
        <v>209.9</v>
      </c>
      <c r="AU16" s="6">
        <v>168</v>
      </c>
      <c r="AV16" s="6">
        <v>160.4</v>
      </c>
      <c r="AW16" s="6">
        <v>165</v>
      </c>
      <c r="AX16" s="6">
        <v>118.9</v>
      </c>
      <c r="AY16" s="6">
        <v>186.6</v>
      </c>
      <c r="AZ16" s="6">
        <v>180.4</v>
      </c>
      <c r="BA16" s="6">
        <v>170.8</v>
      </c>
      <c r="BB16">
        <f>SUM(AP37:BA39)</f>
        <v>6345.7</v>
      </c>
      <c r="BF16" s="6">
        <v>2022</v>
      </c>
      <c r="BG16" s="6" t="s">
        <v>37</v>
      </c>
      <c r="BH16" s="6">
        <v>173.2</v>
      </c>
      <c r="BI16" s="6">
        <v>192.9</v>
      </c>
      <c r="BJ16" s="6">
        <v>167.6</v>
      </c>
      <c r="BK16">
        <f>SUM(BH37:BJ39)</f>
        <v>1612.1000000000001</v>
      </c>
      <c r="BM16" s="6">
        <v>2022</v>
      </c>
      <c r="BN16" s="6" t="s">
        <v>37</v>
      </c>
      <c r="BO16" s="6">
        <v>179.3</v>
      </c>
      <c r="BP16" s="6">
        <v>177.2</v>
      </c>
      <c r="BQ16" s="6">
        <v>179</v>
      </c>
      <c r="BT16" s="6">
        <v>2022</v>
      </c>
      <c r="BU16" s="6" t="s">
        <v>37</v>
      </c>
      <c r="BV16" s="6">
        <v>167.25</v>
      </c>
      <c r="BW16" s="6">
        <v>175.3</v>
      </c>
      <c r="BX16" s="6">
        <v>168.9</v>
      </c>
      <c r="BY16" s="6">
        <v>167.1</v>
      </c>
      <c r="BZ16" s="6">
        <v>171.8</v>
      </c>
      <c r="CC16" s="6">
        <v>2022</v>
      </c>
      <c r="CD16" s="6" t="s">
        <v>37</v>
      </c>
      <c r="CE16" s="6">
        <v>177.7</v>
      </c>
      <c r="CF16" s="6">
        <v>168.5</v>
      </c>
      <c r="CI16" s="6">
        <v>2022</v>
      </c>
      <c r="CJ16" s="6" t="s">
        <v>37</v>
      </c>
      <c r="CK16" s="6">
        <v>170.9</v>
      </c>
      <c r="CL16" s="6">
        <v>172.5</v>
      </c>
    </row>
    <row r="17" spans="1:90">
      <c r="A17" s="3" t="s">
        <v>32</v>
      </c>
      <c r="B17" s="4">
        <v>2022</v>
      </c>
      <c r="C17" s="4" t="s">
        <v>37</v>
      </c>
      <c r="D17" s="4">
        <v>156.69999999999999</v>
      </c>
      <c r="E17" s="4">
        <v>221.2</v>
      </c>
      <c r="F17" s="4">
        <v>164.1</v>
      </c>
      <c r="G17" s="4">
        <v>165.4</v>
      </c>
      <c r="H17" s="4">
        <v>189.5</v>
      </c>
      <c r="I17" s="4">
        <v>174.5</v>
      </c>
      <c r="J17" s="4">
        <v>203.2</v>
      </c>
      <c r="K17" s="4">
        <v>164.1</v>
      </c>
      <c r="L17" s="4">
        <v>121.2</v>
      </c>
      <c r="M17" s="4">
        <v>181.4</v>
      </c>
      <c r="N17" s="4">
        <v>158.5</v>
      </c>
      <c r="O17" s="4">
        <v>184.9</v>
      </c>
      <c r="P17" s="4">
        <v>177.5</v>
      </c>
      <c r="Q17" s="4">
        <v>197.5</v>
      </c>
      <c r="R17" s="4">
        <v>170</v>
      </c>
      <c r="S17" s="4">
        <v>155.9</v>
      </c>
      <c r="T17" s="4">
        <v>167.8</v>
      </c>
      <c r="U17" s="4">
        <v>167.5</v>
      </c>
      <c r="V17" s="4">
        <v>173.5</v>
      </c>
      <c r="W17" s="4">
        <v>161.1</v>
      </c>
      <c r="X17" s="4">
        <v>170.1</v>
      </c>
      <c r="Y17" s="4">
        <v>159.4</v>
      </c>
      <c r="Z17" s="4">
        <v>163.19999999999999</v>
      </c>
      <c r="AA17" s="4">
        <v>165.2</v>
      </c>
      <c r="AB17" s="4">
        <v>168.2</v>
      </c>
      <c r="AC17" s="4">
        <v>163.80000000000001</v>
      </c>
      <c r="AD17" s="4">
        <v>170.8</v>
      </c>
      <c r="AE17" s="23"/>
      <c r="AN17" s="4">
        <v>2022</v>
      </c>
      <c r="AO17" s="4" t="s">
        <v>37</v>
      </c>
      <c r="AP17" s="4">
        <v>156.69999999999999</v>
      </c>
      <c r="AQ17" s="4">
        <v>221.2</v>
      </c>
      <c r="AR17" s="4">
        <v>164.1</v>
      </c>
      <c r="AS17" s="4">
        <v>165.4</v>
      </c>
      <c r="AT17" s="4">
        <v>189.5</v>
      </c>
      <c r="AU17" s="4">
        <v>174.5</v>
      </c>
      <c r="AV17" s="4">
        <v>203.2</v>
      </c>
      <c r="AW17" s="4">
        <v>164.1</v>
      </c>
      <c r="AX17" s="4">
        <v>121.2</v>
      </c>
      <c r="AY17" s="4">
        <v>181.4</v>
      </c>
      <c r="AZ17" s="4">
        <v>184.9</v>
      </c>
      <c r="BA17" s="4">
        <v>177.5</v>
      </c>
      <c r="BF17" s="6">
        <v>2022</v>
      </c>
      <c r="BG17" s="4" t="s">
        <v>37</v>
      </c>
      <c r="BH17" s="4">
        <v>158.5</v>
      </c>
      <c r="BI17" s="4">
        <v>197.5</v>
      </c>
      <c r="BJ17" s="4">
        <v>163.19999999999999</v>
      </c>
      <c r="BM17" s="6">
        <v>2022</v>
      </c>
      <c r="BN17" s="4" t="s">
        <v>37</v>
      </c>
      <c r="BO17" s="4">
        <v>170</v>
      </c>
      <c r="BP17" s="4">
        <v>155.9</v>
      </c>
      <c r="BQ17" s="4">
        <v>167.8</v>
      </c>
      <c r="BT17" s="6">
        <v>2022</v>
      </c>
      <c r="BU17" s="4" t="s">
        <v>37</v>
      </c>
      <c r="BV17" s="4">
        <v>167.5</v>
      </c>
      <c r="BW17" s="4">
        <v>173.5</v>
      </c>
      <c r="BX17" s="4">
        <v>161.1</v>
      </c>
      <c r="BY17" s="4">
        <v>159.4</v>
      </c>
      <c r="BZ17" s="4">
        <v>165.2</v>
      </c>
      <c r="CC17" s="6">
        <v>2022</v>
      </c>
      <c r="CD17" s="4" t="s">
        <v>37</v>
      </c>
      <c r="CE17" s="4">
        <v>170.1</v>
      </c>
      <c r="CF17" s="4">
        <v>168.2</v>
      </c>
      <c r="CI17" s="6">
        <v>2022</v>
      </c>
      <c r="CJ17" s="4" t="s">
        <v>37</v>
      </c>
      <c r="CK17" s="4">
        <v>163.80000000000001</v>
      </c>
      <c r="CL17" s="4">
        <v>170.8</v>
      </c>
    </row>
    <row r="18" spans="1:90">
      <c r="A18" s="5" t="s">
        <v>33</v>
      </c>
      <c r="B18" s="6">
        <v>2022</v>
      </c>
      <c r="C18" s="6" t="s">
        <v>37</v>
      </c>
      <c r="D18" s="6">
        <v>154.1</v>
      </c>
      <c r="E18" s="6">
        <v>217</v>
      </c>
      <c r="F18" s="6">
        <v>162.4</v>
      </c>
      <c r="G18" s="6">
        <v>164.9</v>
      </c>
      <c r="H18" s="6">
        <v>202.4</v>
      </c>
      <c r="I18" s="6">
        <v>171</v>
      </c>
      <c r="J18" s="6">
        <v>174.9</v>
      </c>
      <c r="K18" s="6">
        <v>164.7</v>
      </c>
      <c r="L18" s="6">
        <v>119.7</v>
      </c>
      <c r="M18" s="6">
        <v>184.9</v>
      </c>
      <c r="N18" s="6">
        <v>167.1</v>
      </c>
      <c r="O18" s="6">
        <v>182.5</v>
      </c>
      <c r="P18" s="6">
        <v>173.3</v>
      </c>
      <c r="Q18" s="6">
        <v>194.1</v>
      </c>
      <c r="R18" s="6">
        <v>175.6</v>
      </c>
      <c r="S18" s="6">
        <v>168.4</v>
      </c>
      <c r="T18" s="6">
        <v>174.6</v>
      </c>
      <c r="U18" s="6">
        <v>167.5</v>
      </c>
      <c r="V18" s="6">
        <v>174.6</v>
      </c>
      <c r="W18" s="6">
        <v>165.2</v>
      </c>
      <c r="X18" s="6">
        <v>174.8</v>
      </c>
      <c r="Y18" s="6">
        <v>163</v>
      </c>
      <c r="Z18" s="6">
        <v>165.1</v>
      </c>
      <c r="AA18" s="6">
        <v>167.9</v>
      </c>
      <c r="AB18" s="6">
        <v>168.4</v>
      </c>
      <c r="AC18" s="6">
        <v>167.5</v>
      </c>
      <c r="AD18" s="6">
        <v>171.7</v>
      </c>
      <c r="AE18" s="22"/>
      <c r="AN18" s="6">
        <v>2022</v>
      </c>
      <c r="AO18" s="6" t="s">
        <v>37</v>
      </c>
      <c r="AP18" s="6">
        <v>154.1</v>
      </c>
      <c r="AQ18" s="6">
        <v>217</v>
      </c>
      <c r="AR18" s="6">
        <v>162.4</v>
      </c>
      <c r="AS18" s="6">
        <v>164.9</v>
      </c>
      <c r="AT18" s="6">
        <v>202.4</v>
      </c>
      <c r="AU18" s="6">
        <v>171</v>
      </c>
      <c r="AV18" s="6">
        <v>174.9</v>
      </c>
      <c r="AW18" s="6">
        <v>164.7</v>
      </c>
      <c r="AX18" s="6">
        <v>119.7</v>
      </c>
      <c r="AY18" s="6">
        <v>184.9</v>
      </c>
      <c r="AZ18" s="6">
        <v>182.5</v>
      </c>
      <c r="BA18" s="6">
        <v>173.3</v>
      </c>
      <c r="BF18" s="6">
        <v>2022</v>
      </c>
      <c r="BG18" s="6" t="s">
        <v>37</v>
      </c>
      <c r="BH18" s="6">
        <v>167.1</v>
      </c>
      <c r="BI18" s="6">
        <v>194.1</v>
      </c>
      <c r="BJ18" s="6">
        <v>165.1</v>
      </c>
      <c r="BM18" s="6">
        <v>2022</v>
      </c>
      <c r="BN18" s="6" t="s">
        <v>37</v>
      </c>
      <c r="BO18" s="6">
        <v>175.6</v>
      </c>
      <c r="BP18" s="6">
        <v>168.4</v>
      </c>
      <c r="BQ18" s="6">
        <v>174.6</v>
      </c>
      <c r="BT18" s="6">
        <v>2022</v>
      </c>
      <c r="BU18" s="6" t="s">
        <v>37</v>
      </c>
      <c r="BV18" s="6">
        <v>167.5</v>
      </c>
      <c r="BW18" s="6">
        <v>174.6</v>
      </c>
      <c r="BX18" s="6">
        <v>165.2</v>
      </c>
      <c r="BY18" s="6">
        <v>163</v>
      </c>
      <c r="BZ18" s="6">
        <v>167.9</v>
      </c>
      <c r="CC18" s="6">
        <v>2022</v>
      </c>
      <c r="CD18" s="6" t="s">
        <v>37</v>
      </c>
      <c r="CE18" s="6">
        <v>174.8</v>
      </c>
      <c r="CF18" s="6">
        <v>168.4</v>
      </c>
      <c r="CI18" s="6">
        <v>2022</v>
      </c>
      <c r="CJ18" s="6" t="s">
        <v>37</v>
      </c>
      <c r="CK18" s="6">
        <v>167.5</v>
      </c>
      <c r="CL18" s="6">
        <v>171.7</v>
      </c>
    </row>
    <row r="19" spans="1:90">
      <c r="A19" s="3" t="s">
        <v>30</v>
      </c>
      <c r="B19" s="4">
        <v>2022</v>
      </c>
      <c r="C19" s="4" t="s">
        <v>38</v>
      </c>
      <c r="D19" s="4">
        <v>153.80000000000001</v>
      </c>
      <c r="E19" s="4">
        <v>217.2</v>
      </c>
      <c r="F19" s="4">
        <v>169.6</v>
      </c>
      <c r="G19" s="4">
        <v>165.4</v>
      </c>
      <c r="H19" s="4">
        <v>208.1</v>
      </c>
      <c r="I19" s="4">
        <v>165.8</v>
      </c>
      <c r="J19" s="4">
        <v>167.3</v>
      </c>
      <c r="K19" s="4">
        <v>164.6</v>
      </c>
      <c r="L19" s="4">
        <v>119.1</v>
      </c>
      <c r="M19" s="4">
        <v>188.9</v>
      </c>
      <c r="N19" s="4">
        <v>174.2</v>
      </c>
      <c r="O19" s="4">
        <v>181.9</v>
      </c>
      <c r="P19" s="4">
        <v>172.4</v>
      </c>
      <c r="Q19" s="4">
        <v>192.9</v>
      </c>
      <c r="R19" s="4">
        <v>180.7</v>
      </c>
      <c r="S19" s="4">
        <v>178.7</v>
      </c>
      <c r="T19" s="4">
        <v>180.4</v>
      </c>
      <c r="U19" s="4">
        <v>167.3</v>
      </c>
      <c r="V19" s="4">
        <v>176.7</v>
      </c>
      <c r="W19" s="4">
        <v>170.3</v>
      </c>
      <c r="X19" s="4">
        <v>178.2</v>
      </c>
      <c r="Y19" s="4">
        <v>165.5</v>
      </c>
      <c r="Z19" s="4">
        <v>168</v>
      </c>
      <c r="AA19" s="4">
        <v>172.6</v>
      </c>
      <c r="AB19" s="4">
        <v>169.5</v>
      </c>
      <c r="AC19" s="4">
        <v>171</v>
      </c>
      <c r="AD19" s="4">
        <v>173.6</v>
      </c>
      <c r="AE19" s="23"/>
      <c r="AN19" s="4">
        <v>2022</v>
      </c>
      <c r="AO19" s="4" t="s">
        <v>38</v>
      </c>
      <c r="AP19" s="4">
        <v>153.80000000000001</v>
      </c>
      <c r="AQ19" s="4">
        <v>217.2</v>
      </c>
      <c r="AR19" s="4">
        <v>169.6</v>
      </c>
      <c r="AS19" s="4">
        <v>165.4</v>
      </c>
      <c r="AT19" s="4">
        <v>208.1</v>
      </c>
      <c r="AU19" s="4">
        <v>165.8</v>
      </c>
      <c r="AV19" s="4">
        <v>167.3</v>
      </c>
      <c r="AW19" s="4">
        <v>164.6</v>
      </c>
      <c r="AX19" s="4">
        <v>119.1</v>
      </c>
      <c r="AY19" s="4">
        <v>188.9</v>
      </c>
      <c r="AZ19" s="4">
        <v>181.9</v>
      </c>
      <c r="BA19" s="4">
        <v>172.4</v>
      </c>
      <c r="BF19" s="6">
        <v>2022</v>
      </c>
      <c r="BG19" s="4" t="s">
        <v>38</v>
      </c>
      <c r="BH19" s="4">
        <v>174.2</v>
      </c>
      <c r="BI19" s="4">
        <v>192.9</v>
      </c>
      <c r="BJ19" s="4">
        <v>168</v>
      </c>
      <c r="BM19" s="6">
        <v>2022</v>
      </c>
      <c r="BN19" s="4" t="s">
        <v>38</v>
      </c>
      <c r="BO19" s="4">
        <v>180.7</v>
      </c>
      <c r="BP19" s="4">
        <v>178.7</v>
      </c>
      <c r="BQ19" s="4">
        <v>180.4</v>
      </c>
      <c r="BT19" s="6">
        <v>2022</v>
      </c>
      <c r="BU19" s="4" t="s">
        <v>38</v>
      </c>
      <c r="BV19" s="4">
        <v>167.3</v>
      </c>
      <c r="BW19" s="4">
        <v>176.7</v>
      </c>
      <c r="BX19" s="4">
        <v>170.3</v>
      </c>
      <c r="BY19" s="4">
        <v>165.5</v>
      </c>
      <c r="BZ19" s="4">
        <v>172.6</v>
      </c>
      <c r="CC19" s="6">
        <v>2022</v>
      </c>
      <c r="CD19" s="4" t="s">
        <v>38</v>
      </c>
      <c r="CE19" s="4">
        <v>178.2</v>
      </c>
      <c r="CF19" s="4">
        <v>169.5</v>
      </c>
      <c r="CI19" s="6">
        <v>2022</v>
      </c>
      <c r="CJ19" s="4" t="s">
        <v>38</v>
      </c>
      <c r="CK19" s="4">
        <v>171</v>
      </c>
      <c r="CL19" s="4">
        <v>173.6</v>
      </c>
    </row>
    <row r="20" spans="1:90">
      <c r="A20" s="5" t="s">
        <v>32</v>
      </c>
      <c r="B20" s="6">
        <v>2022</v>
      </c>
      <c r="C20" s="6" t="s">
        <v>38</v>
      </c>
      <c r="D20" s="6">
        <v>157.5</v>
      </c>
      <c r="E20" s="6">
        <v>223.4</v>
      </c>
      <c r="F20" s="6">
        <v>172.8</v>
      </c>
      <c r="G20" s="6">
        <v>166.4</v>
      </c>
      <c r="H20" s="6">
        <v>188.6</v>
      </c>
      <c r="I20" s="6">
        <v>174.1</v>
      </c>
      <c r="J20" s="6">
        <v>211.5</v>
      </c>
      <c r="K20" s="6">
        <v>163.6</v>
      </c>
      <c r="L20" s="6">
        <v>121.4</v>
      </c>
      <c r="M20" s="6">
        <v>183.5</v>
      </c>
      <c r="N20" s="6">
        <v>159.1</v>
      </c>
      <c r="O20" s="6">
        <v>186.3</v>
      </c>
      <c r="P20" s="6">
        <v>179.3</v>
      </c>
      <c r="Q20" s="6">
        <v>198.3</v>
      </c>
      <c r="R20" s="6">
        <v>171.6</v>
      </c>
      <c r="S20" s="6">
        <v>157.4</v>
      </c>
      <c r="T20" s="6">
        <v>169.4</v>
      </c>
      <c r="U20" s="6">
        <v>166.8</v>
      </c>
      <c r="V20" s="6">
        <v>174.9</v>
      </c>
      <c r="W20" s="6">
        <v>162.1</v>
      </c>
      <c r="X20" s="6">
        <v>170.9</v>
      </c>
      <c r="Y20" s="6">
        <v>157.19999999999999</v>
      </c>
      <c r="Z20" s="6">
        <v>164.1</v>
      </c>
      <c r="AA20" s="6">
        <v>166.5</v>
      </c>
      <c r="AB20" s="6">
        <v>169.2</v>
      </c>
      <c r="AC20" s="6">
        <v>163.80000000000001</v>
      </c>
      <c r="AD20" s="6">
        <v>171.4</v>
      </c>
      <c r="AE20" s="22"/>
      <c r="AN20" s="6">
        <v>2022</v>
      </c>
      <c r="AO20" s="6" t="s">
        <v>38</v>
      </c>
      <c r="AP20" s="6">
        <v>157.5</v>
      </c>
      <c r="AQ20" s="6">
        <v>223.4</v>
      </c>
      <c r="AR20" s="6">
        <v>172.8</v>
      </c>
      <c r="AS20" s="6">
        <v>166.4</v>
      </c>
      <c r="AT20" s="6">
        <v>188.6</v>
      </c>
      <c r="AU20" s="6">
        <v>174.1</v>
      </c>
      <c r="AV20" s="6">
        <v>211.5</v>
      </c>
      <c r="AW20" s="6">
        <v>163.6</v>
      </c>
      <c r="AX20" s="6">
        <v>121.4</v>
      </c>
      <c r="AY20" s="6">
        <v>183.5</v>
      </c>
      <c r="AZ20" s="6">
        <v>186.3</v>
      </c>
      <c r="BA20" s="6">
        <v>179.3</v>
      </c>
      <c r="BF20" s="6">
        <v>2022</v>
      </c>
      <c r="BG20" s="6" t="s">
        <v>38</v>
      </c>
      <c r="BH20" s="6">
        <v>159.1</v>
      </c>
      <c r="BI20" s="6">
        <v>198.3</v>
      </c>
      <c r="BJ20" s="6">
        <v>164.1</v>
      </c>
      <c r="BM20" s="6">
        <v>2022</v>
      </c>
      <c r="BN20" s="6" t="s">
        <v>38</v>
      </c>
      <c r="BO20" s="6">
        <v>171.6</v>
      </c>
      <c r="BP20" s="6">
        <v>157.4</v>
      </c>
      <c r="BQ20" s="6">
        <v>169.4</v>
      </c>
      <c r="BT20" s="6">
        <v>2022</v>
      </c>
      <c r="BU20" s="6" t="s">
        <v>38</v>
      </c>
      <c r="BV20" s="6">
        <v>166.8</v>
      </c>
      <c r="BW20" s="6">
        <v>174.9</v>
      </c>
      <c r="BX20" s="6">
        <v>162.1</v>
      </c>
      <c r="BY20" s="6">
        <v>157.19999999999999</v>
      </c>
      <c r="BZ20" s="6">
        <v>166.5</v>
      </c>
      <c r="CC20" s="6">
        <v>2022</v>
      </c>
      <c r="CD20" s="6" t="s">
        <v>38</v>
      </c>
      <c r="CE20" s="6">
        <v>170.9</v>
      </c>
      <c r="CF20" s="6">
        <v>169.2</v>
      </c>
      <c r="CI20" s="6">
        <v>2022</v>
      </c>
      <c r="CJ20" s="6" t="s">
        <v>38</v>
      </c>
      <c r="CK20" s="6">
        <v>163.80000000000001</v>
      </c>
      <c r="CL20" s="6">
        <v>171.4</v>
      </c>
    </row>
    <row r="21" spans="1:90">
      <c r="A21" s="3" t="s">
        <v>33</v>
      </c>
      <c r="B21" s="4">
        <v>2022</v>
      </c>
      <c r="C21" s="4" t="s">
        <v>38</v>
      </c>
      <c r="D21" s="4">
        <v>155</v>
      </c>
      <c r="E21" s="4">
        <v>219.4</v>
      </c>
      <c r="F21" s="4">
        <v>170.8</v>
      </c>
      <c r="G21" s="4">
        <v>165.8</v>
      </c>
      <c r="H21" s="4">
        <v>200.9</v>
      </c>
      <c r="I21" s="4">
        <v>169.7</v>
      </c>
      <c r="J21" s="4">
        <v>182.3</v>
      </c>
      <c r="K21" s="4">
        <v>164.3</v>
      </c>
      <c r="L21" s="4">
        <v>119.9</v>
      </c>
      <c r="M21" s="4">
        <v>187.1</v>
      </c>
      <c r="N21" s="4">
        <v>167.9</v>
      </c>
      <c r="O21" s="4">
        <v>183.9</v>
      </c>
      <c r="P21" s="4">
        <v>174.9</v>
      </c>
      <c r="Q21" s="4">
        <v>194.3</v>
      </c>
      <c r="R21" s="4">
        <v>177.1</v>
      </c>
      <c r="S21" s="4">
        <v>169.9</v>
      </c>
      <c r="T21" s="4">
        <v>176</v>
      </c>
      <c r="U21" s="4">
        <v>166.8</v>
      </c>
      <c r="V21" s="4">
        <v>176</v>
      </c>
      <c r="W21" s="4">
        <v>166.4</v>
      </c>
      <c r="X21" s="4">
        <v>175.4</v>
      </c>
      <c r="Y21" s="4">
        <v>161.1</v>
      </c>
      <c r="Z21" s="4">
        <v>165.8</v>
      </c>
      <c r="AA21" s="4">
        <v>169</v>
      </c>
      <c r="AB21" s="4">
        <v>169.4</v>
      </c>
      <c r="AC21" s="4">
        <v>167.5</v>
      </c>
      <c r="AD21" s="4">
        <v>172.6</v>
      </c>
      <c r="AE21" s="23"/>
      <c r="AN21" s="4">
        <v>2022</v>
      </c>
      <c r="AO21" s="4" t="s">
        <v>38</v>
      </c>
      <c r="AP21" s="4">
        <v>155</v>
      </c>
      <c r="AQ21" s="4">
        <v>219.4</v>
      </c>
      <c r="AR21" s="4">
        <v>170.8</v>
      </c>
      <c r="AS21" s="4">
        <v>165.8</v>
      </c>
      <c r="AT21" s="4">
        <v>200.9</v>
      </c>
      <c r="AU21" s="4">
        <v>169.7</v>
      </c>
      <c r="AV21" s="4">
        <v>182.3</v>
      </c>
      <c r="AW21" s="4">
        <v>164.3</v>
      </c>
      <c r="AX21" s="4">
        <v>119.9</v>
      </c>
      <c r="AY21" s="4">
        <v>187.1</v>
      </c>
      <c r="AZ21" s="4">
        <v>183.9</v>
      </c>
      <c r="BA21" s="4">
        <v>174.9</v>
      </c>
      <c r="BF21" s="6">
        <v>2022</v>
      </c>
      <c r="BG21" s="4" t="s">
        <v>38</v>
      </c>
      <c r="BH21" s="4">
        <v>167.9</v>
      </c>
      <c r="BI21" s="4">
        <v>194.3</v>
      </c>
      <c r="BJ21" s="4">
        <v>165.8</v>
      </c>
      <c r="BM21" s="6">
        <v>2022</v>
      </c>
      <c r="BN21" s="4" t="s">
        <v>38</v>
      </c>
      <c r="BO21" s="4">
        <v>177.1</v>
      </c>
      <c r="BP21" s="4">
        <v>169.9</v>
      </c>
      <c r="BQ21" s="4">
        <v>176</v>
      </c>
      <c r="BT21" s="6">
        <v>2022</v>
      </c>
      <c r="BU21" s="4" t="s">
        <v>38</v>
      </c>
      <c r="BV21" s="4">
        <v>166.8</v>
      </c>
      <c r="BW21" s="4">
        <v>176</v>
      </c>
      <c r="BX21" s="4">
        <v>166.4</v>
      </c>
      <c r="BY21" s="4">
        <v>161.1</v>
      </c>
      <c r="BZ21" s="4">
        <v>169</v>
      </c>
      <c r="CC21" s="6">
        <v>2022</v>
      </c>
      <c r="CD21" s="4" t="s">
        <v>38</v>
      </c>
      <c r="CE21" s="4">
        <v>175.4</v>
      </c>
      <c r="CF21" s="4">
        <v>169.4</v>
      </c>
      <c r="CI21" s="6">
        <v>2022</v>
      </c>
      <c r="CJ21" s="4" t="s">
        <v>38</v>
      </c>
      <c r="CK21" s="4">
        <v>167.5</v>
      </c>
      <c r="CL21" s="4">
        <v>172.6</v>
      </c>
    </row>
    <row r="22" spans="1:90">
      <c r="A22" s="5" t="s">
        <v>30</v>
      </c>
      <c r="B22" s="6">
        <v>2022</v>
      </c>
      <c r="C22" s="6" t="s">
        <v>39</v>
      </c>
      <c r="D22" s="6">
        <v>155.19999999999999</v>
      </c>
      <c r="E22" s="6">
        <v>210.8</v>
      </c>
      <c r="F22" s="6">
        <v>174.3</v>
      </c>
      <c r="G22" s="6">
        <v>166.3</v>
      </c>
      <c r="H22" s="6">
        <v>202.2</v>
      </c>
      <c r="I22" s="6">
        <v>169.6</v>
      </c>
      <c r="J22" s="6">
        <v>168.6</v>
      </c>
      <c r="K22" s="6">
        <v>164.4</v>
      </c>
      <c r="L22" s="6">
        <v>119.2</v>
      </c>
      <c r="M22" s="6">
        <v>191.8</v>
      </c>
      <c r="N22" s="6">
        <v>174.5</v>
      </c>
      <c r="O22" s="6">
        <v>183.1</v>
      </c>
      <c r="P22" s="6">
        <v>172.5</v>
      </c>
      <c r="Q22" s="6">
        <v>193.2</v>
      </c>
      <c r="R22" s="6">
        <v>182</v>
      </c>
      <c r="S22" s="6">
        <v>180.3</v>
      </c>
      <c r="T22" s="6">
        <v>181.7</v>
      </c>
      <c r="U22" s="6">
        <v>167.3</v>
      </c>
      <c r="V22" s="6">
        <v>179.6</v>
      </c>
      <c r="W22" s="6">
        <v>171.3</v>
      </c>
      <c r="X22" s="6">
        <v>178.8</v>
      </c>
      <c r="Y22" s="6">
        <v>166.3</v>
      </c>
      <c r="Z22" s="6">
        <v>168.6</v>
      </c>
      <c r="AA22" s="6">
        <v>174.7</v>
      </c>
      <c r="AB22" s="6">
        <v>169.7</v>
      </c>
      <c r="AC22" s="6">
        <v>171.8</v>
      </c>
      <c r="AD22" s="6">
        <v>174.3</v>
      </c>
      <c r="AE22" s="22"/>
      <c r="AN22" s="6">
        <v>2022</v>
      </c>
      <c r="AO22" s="6" t="s">
        <v>39</v>
      </c>
      <c r="AP22" s="6">
        <v>155.19999999999999</v>
      </c>
      <c r="AQ22" s="6">
        <v>210.8</v>
      </c>
      <c r="AR22" s="6">
        <v>174.3</v>
      </c>
      <c r="AS22" s="6">
        <v>166.3</v>
      </c>
      <c r="AT22" s="6">
        <v>202.2</v>
      </c>
      <c r="AU22" s="6">
        <v>169.6</v>
      </c>
      <c r="AV22" s="6">
        <v>168.6</v>
      </c>
      <c r="AW22" s="6">
        <v>164.4</v>
      </c>
      <c r="AX22" s="6">
        <v>119.2</v>
      </c>
      <c r="AY22" s="6">
        <v>191.8</v>
      </c>
      <c r="AZ22" s="6">
        <v>183.1</v>
      </c>
      <c r="BA22" s="6">
        <v>172.5</v>
      </c>
      <c r="BF22" s="6">
        <v>2022</v>
      </c>
      <c r="BG22" s="6" t="s">
        <v>39</v>
      </c>
      <c r="BH22" s="6">
        <v>174.5</v>
      </c>
      <c r="BI22" s="6">
        <v>193.2</v>
      </c>
      <c r="BJ22" s="6">
        <v>168.6</v>
      </c>
      <c r="BM22" s="6">
        <v>2022</v>
      </c>
      <c r="BN22" s="6" t="s">
        <v>39</v>
      </c>
      <c r="BO22" s="6">
        <v>182</v>
      </c>
      <c r="BP22" s="6">
        <v>180.3</v>
      </c>
      <c r="BQ22" s="6">
        <v>181.7</v>
      </c>
      <c r="BT22" s="6">
        <v>2022</v>
      </c>
      <c r="BU22" s="6" t="s">
        <v>39</v>
      </c>
      <c r="BV22" s="6">
        <v>167.3</v>
      </c>
      <c r="BW22" s="6">
        <v>179.6</v>
      </c>
      <c r="BX22" s="6">
        <v>171.3</v>
      </c>
      <c r="BY22" s="6">
        <v>166.3</v>
      </c>
      <c r="BZ22" s="6">
        <v>174.7</v>
      </c>
      <c r="CC22" s="6">
        <v>2022</v>
      </c>
      <c r="CD22" s="6" t="s">
        <v>39</v>
      </c>
      <c r="CE22" s="6">
        <v>178.8</v>
      </c>
      <c r="CF22" s="6">
        <v>169.7</v>
      </c>
      <c r="CI22" s="6">
        <v>2022</v>
      </c>
      <c r="CJ22" s="6" t="s">
        <v>39</v>
      </c>
      <c r="CK22" s="6">
        <v>171.8</v>
      </c>
      <c r="CL22" s="6">
        <v>174.3</v>
      </c>
    </row>
    <row r="23" spans="1:90">
      <c r="A23" s="3" t="s">
        <v>32</v>
      </c>
      <c r="B23" s="4">
        <v>2022</v>
      </c>
      <c r="C23" s="4" t="s">
        <v>39</v>
      </c>
      <c r="D23" s="4">
        <v>159.30000000000001</v>
      </c>
      <c r="E23" s="4">
        <v>217.1</v>
      </c>
      <c r="F23" s="4">
        <v>176.6</v>
      </c>
      <c r="G23" s="4">
        <v>167.1</v>
      </c>
      <c r="H23" s="4">
        <v>184.8</v>
      </c>
      <c r="I23" s="4">
        <v>179.5</v>
      </c>
      <c r="J23" s="4">
        <v>208.5</v>
      </c>
      <c r="K23" s="4">
        <v>164</v>
      </c>
      <c r="L23" s="4">
        <v>121.5</v>
      </c>
      <c r="M23" s="4">
        <v>186.3</v>
      </c>
      <c r="N23" s="4">
        <v>159.80000000000001</v>
      </c>
      <c r="O23" s="4">
        <v>187.7</v>
      </c>
      <c r="P23" s="4">
        <v>179.4</v>
      </c>
      <c r="Q23" s="4">
        <v>198.6</v>
      </c>
      <c r="R23" s="4">
        <v>172.7</v>
      </c>
      <c r="S23" s="4">
        <v>158.69999999999999</v>
      </c>
      <c r="T23" s="4">
        <v>170.6</v>
      </c>
      <c r="U23" s="4">
        <v>167.8</v>
      </c>
      <c r="V23" s="4">
        <v>179.5</v>
      </c>
      <c r="W23" s="4">
        <v>163.1</v>
      </c>
      <c r="X23" s="4">
        <v>171.7</v>
      </c>
      <c r="Y23" s="4">
        <v>157.4</v>
      </c>
      <c r="Z23" s="4">
        <v>164.6</v>
      </c>
      <c r="AA23" s="4">
        <v>169.1</v>
      </c>
      <c r="AB23" s="4">
        <v>169.8</v>
      </c>
      <c r="AC23" s="4">
        <v>164.7</v>
      </c>
      <c r="AD23" s="4">
        <v>172.3</v>
      </c>
      <c r="AE23" s="23"/>
      <c r="AN23" s="4">
        <v>2022</v>
      </c>
      <c r="AO23" s="4" t="s">
        <v>39</v>
      </c>
      <c r="AP23" s="4">
        <v>159.30000000000001</v>
      </c>
      <c r="AQ23" s="4">
        <v>217.1</v>
      </c>
      <c r="AR23" s="4">
        <v>176.6</v>
      </c>
      <c r="AS23" s="4">
        <v>167.1</v>
      </c>
      <c r="AT23" s="4">
        <v>184.8</v>
      </c>
      <c r="AU23" s="4">
        <v>179.5</v>
      </c>
      <c r="AV23" s="4">
        <v>208.5</v>
      </c>
      <c r="AW23" s="4">
        <v>164</v>
      </c>
      <c r="AX23" s="4">
        <v>121.5</v>
      </c>
      <c r="AY23" s="4">
        <v>186.3</v>
      </c>
      <c r="AZ23" s="4">
        <v>187.7</v>
      </c>
      <c r="BA23" s="4">
        <v>179.4</v>
      </c>
      <c r="BF23" s="6">
        <v>2022</v>
      </c>
      <c r="BG23" s="4" t="s">
        <v>39</v>
      </c>
      <c r="BH23" s="4">
        <v>159.80000000000001</v>
      </c>
      <c r="BI23" s="4">
        <v>198.6</v>
      </c>
      <c r="BJ23" s="4">
        <v>164.6</v>
      </c>
      <c r="BM23" s="6">
        <v>2022</v>
      </c>
      <c r="BN23" s="4" t="s">
        <v>39</v>
      </c>
      <c r="BO23" s="4">
        <v>172.7</v>
      </c>
      <c r="BP23" s="4">
        <v>158.69999999999999</v>
      </c>
      <c r="BQ23" s="4">
        <v>170.6</v>
      </c>
      <c r="BT23" s="6">
        <v>2022</v>
      </c>
      <c r="BU23" s="4" t="s">
        <v>39</v>
      </c>
      <c r="BV23" s="4">
        <v>167.8</v>
      </c>
      <c r="BW23" s="4">
        <v>179.5</v>
      </c>
      <c r="BX23" s="4">
        <v>163.1</v>
      </c>
      <c r="BY23" s="4">
        <v>157.4</v>
      </c>
      <c r="BZ23" s="4">
        <v>169.1</v>
      </c>
      <c r="CC23" s="6">
        <v>2022</v>
      </c>
      <c r="CD23" s="4" t="s">
        <v>39</v>
      </c>
      <c r="CE23" s="4">
        <v>171.7</v>
      </c>
      <c r="CF23" s="4">
        <v>169.8</v>
      </c>
      <c r="CI23" s="6">
        <v>2022</v>
      </c>
      <c r="CJ23" s="4" t="s">
        <v>39</v>
      </c>
      <c r="CK23" s="4">
        <v>164.7</v>
      </c>
      <c r="CL23" s="4">
        <v>172.3</v>
      </c>
    </row>
    <row r="24" spans="1:90">
      <c r="A24" s="5" t="s">
        <v>33</v>
      </c>
      <c r="B24" s="6">
        <v>2022</v>
      </c>
      <c r="C24" s="6" t="s">
        <v>39</v>
      </c>
      <c r="D24" s="6">
        <v>156.5</v>
      </c>
      <c r="E24" s="6">
        <v>213</v>
      </c>
      <c r="F24" s="6">
        <v>175.2</v>
      </c>
      <c r="G24" s="6">
        <v>166.6</v>
      </c>
      <c r="H24" s="6">
        <v>195.8</v>
      </c>
      <c r="I24" s="6">
        <v>174.2</v>
      </c>
      <c r="J24" s="6">
        <v>182.1</v>
      </c>
      <c r="K24" s="6">
        <v>164.3</v>
      </c>
      <c r="L24" s="6">
        <v>120</v>
      </c>
      <c r="M24" s="6">
        <v>190</v>
      </c>
      <c r="N24" s="6">
        <v>168.4</v>
      </c>
      <c r="O24" s="6">
        <v>185.2</v>
      </c>
      <c r="P24" s="6">
        <v>175</v>
      </c>
      <c r="Q24" s="6">
        <v>194.6</v>
      </c>
      <c r="R24" s="6">
        <v>178.3</v>
      </c>
      <c r="S24" s="6">
        <v>171.3</v>
      </c>
      <c r="T24" s="6">
        <v>177.3</v>
      </c>
      <c r="U24" s="6">
        <v>167.8</v>
      </c>
      <c r="V24" s="6">
        <v>179.6</v>
      </c>
      <c r="W24" s="6">
        <v>167.4</v>
      </c>
      <c r="X24" s="6">
        <v>176.1</v>
      </c>
      <c r="Y24" s="6">
        <v>161.6</v>
      </c>
      <c r="Z24" s="6">
        <v>166.3</v>
      </c>
      <c r="AA24" s="6">
        <v>171.4</v>
      </c>
      <c r="AB24" s="6">
        <v>169.7</v>
      </c>
      <c r="AC24" s="6">
        <v>168.4</v>
      </c>
      <c r="AD24" s="6">
        <v>173.4</v>
      </c>
      <c r="AE24" s="22"/>
      <c r="AN24" s="6">
        <v>2022</v>
      </c>
      <c r="AO24" s="6" t="s">
        <v>39</v>
      </c>
      <c r="AP24" s="6">
        <v>156.5</v>
      </c>
      <c r="AQ24" s="6">
        <v>213</v>
      </c>
      <c r="AR24" s="6">
        <v>175.2</v>
      </c>
      <c r="AS24" s="6">
        <v>166.6</v>
      </c>
      <c r="AT24" s="6">
        <v>195.8</v>
      </c>
      <c r="AU24" s="6">
        <v>174.2</v>
      </c>
      <c r="AV24" s="6">
        <v>182.1</v>
      </c>
      <c r="AW24" s="6">
        <v>164.3</v>
      </c>
      <c r="AX24" s="6">
        <v>120</v>
      </c>
      <c r="AY24" s="6">
        <v>190</v>
      </c>
      <c r="AZ24" s="6">
        <v>185.2</v>
      </c>
      <c r="BA24" s="6">
        <v>175</v>
      </c>
      <c r="BF24" s="6">
        <v>2022</v>
      </c>
      <c r="BG24" s="6" t="s">
        <v>39</v>
      </c>
      <c r="BH24" s="6">
        <v>168.4</v>
      </c>
      <c r="BI24" s="6">
        <v>194.6</v>
      </c>
      <c r="BJ24" s="6">
        <v>166.3</v>
      </c>
      <c r="BM24" s="6">
        <v>2022</v>
      </c>
      <c r="BN24" s="6" t="s">
        <v>39</v>
      </c>
      <c r="BO24" s="6">
        <v>178.3</v>
      </c>
      <c r="BP24" s="6">
        <v>171.3</v>
      </c>
      <c r="BQ24" s="6">
        <v>177.3</v>
      </c>
      <c r="BT24" s="6">
        <v>2022</v>
      </c>
      <c r="BU24" s="6" t="s">
        <v>39</v>
      </c>
      <c r="BV24" s="6">
        <v>167.8</v>
      </c>
      <c r="BW24" s="6">
        <v>179.6</v>
      </c>
      <c r="BX24" s="6">
        <v>167.4</v>
      </c>
      <c r="BY24" s="6">
        <v>161.6</v>
      </c>
      <c r="BZ24" s="6">
        <v>171.4</v>
      </c>
      <c r="CC24" s="6">
        <v>2022</v>
      </c>
      <c r="CD24" s="6" t="s">
        <v>39</v>
      </c>
      <c r="CE24" s="6">
        <v>176.1</v>
      </c>
      <c r="CF24" s="6">
        <v>169.7</v>
      </c>
      <c r="CI24" s="6">
        <v>2022</v>
      </c>
      <c r="CJ24" s="6" t="s">
        <v>39</v>
      </c>
      <c r="CK24" s="6">
        <v>168.4</v>
      </c>
      <c r="CL24" s="6">
        <v>173.4</v>
      </c>
    </row>
    <row r="25" spans="1:90">
      <c r="A25" s="3" t="s">
        <v>30</v>
      </c>
      <c r="B25" s="4">
        <v>2022</v>
      </c>
      <c r="C25" s="4" t="s">
        <v>40</v>
      </c>
      <c r="D25" s="4">
        <v>159.5</v>
      </c>
      <c r="E25" s="4">
        <v>204.1</v>
      </c>
      <c r="F25" s="4">
        <v>168.3</v>
      </c>
      <c r="G25" s="4">
        <v>167.9</v>
      </c>
      <c r="H25" s="4">
        <v>198.1</v>
      </c>
      <c r="I25" s="4">
        <v>169.2</v>
      </c>
      <c r="J25" s="4">
        <v>173.1</v>
      </c>
      <c r="K25" s="4">
        <v>167.1</v>
      </c>
      <c r="L25" s="4">
        <v>120.2</v>
      </c>
      <c r="M25" s="4">
        <v>195.6</v>
      </c>
      <c r="N25" s="4">
        <v>174.8</v>
      </c>
      <c r="O25" s="4">
        <v>184</v>
      </c>
      <c r="P25" s="4">
        <v>173.9</v>
      </c>
      <c r="Q25" s="4">
        <v>193.7</v>
      </c>
      <c r="R25" s="4">
        <v>183.2</v>
      </c>
      <c r="S25" s="4">
        <v>181.7</v>
      </c>
      <c r="T25" s="4">
        <v>183</v>
      </c>
      <c r="U25" s="4">
        <v>169.25</v>
      </c>
      <c r="V25" s="4">
        <v>179.1</v>
      </c>
      <c r="W25" s="4">
        <v>172.3</v>
      </c>
      <c r="X25" s="4">
        <v>179.4</v>
      </c>
      <c r="Y25" s="4">
        <v>166.6</v>
      </c>
      <c r="Z25" s="4">
        <v>169.3</v>
      </c>
      <c r="AA25" s="4">
        <v>175.7</v>
      </c>
      <c r="AB25" s="4">
        <v>171.1</v>
      </c>
      <c r="AC25" s="4">
        <v>172.6</v>
      </c>
      <c r="AD25" s="4">
        <v>175.3</v>
      </c>
      <c r="AE25" s="23"/>
      <c r="AN25" s="4">
        <v>2022</v>
      </c>
      <c r="AO25" s="4" t="s">
        <v>40</v>
      </c>
      <c r="AP25" s="4">
        <v>159.5</v>
      </c>
      <c r="AQ25" s="4">
        <v>204.1</v>
      </c>
      <c r="AR25" s="4">
        <v>168.3</v>
      </c>
      <c r="AS25" s="4">
        <v>167.9</v>
      </c>
      <c r="AT25" s="4">
        <v>198.1</v>
      </c>
      <c r="AU25" s="4">
        <v>169.2</v>
      </c>
      <c r="AV25" s="4">
        <v>173.1</v>
      </c>
      <c r="AW25" s="4">
        <v>167.1</v>
      </c>
      <c r="AX25" s="4">
        <v>120.2</v>
      </c>
      <c r="AY25" s="4">
        <v>195.6</v>
      </c>
      <c r="AZ25" s="4">
        <v>184</v>
      </c>
      <c r="BA25" s="4">
        <v>173.9</v>
      </c>
      <c r="BF25" s="6">
        <v>2022</v>
      </c>
      <c r="BG25" s="4" t="s">
        <v>40</v>
      </c>
      <c r="BH25" s="4">
        <v>174.8</v>
      </c>
      <c r="BI25" s="4">
        <v>193.7</v>
      </c>
      <c r="BJ25" s="4">
        <v>169.3</v>
      </c>
      <c r="BM25" s="6">
        <v>2022</v>
      </c>
      <c r="BN25" s="4" t="s">
        <v>40</v>
      </c>
      <c r="BO25" s="4">
        <v>183.2</v>
      </c>
      <c r="BP25" s="4">
        <v>181.7</v>
      </c>
      <c r="BQ25" s="4">
        <v>183</v>
      </c>
      <c r="BT25" s="6">
        <v>2022</v>
      </c>
      <c r="BU25" s="4" t="s">
        <v>40</v>
      </c>
      <c r="BV25" s="4">
        <v>169.25</v>
      </c>
      <c r="BW25" s="4">
        <v>179.1</v>
      </c>
      <c r="BX25" s="4">
        <v>172.3</v>
      </c>
      <c r="BY25" s="4">
        <v>166.6</v>
      </c>
      <c r="BZ25" s="4">
        <v>175.7</v>
      </c>
      <c r="CC25" s="6">
        <v>2022</v>
      </c>
      <c r="CD25" s="4" t="s">
        <v>40</v>
      </c>
      <c r="CE25" s="4">
        <v>179.4</v>
      </c>
      <c r="CF25" s="4">
        <v>171.1</v>
      </c>
      <c r="CI25" s="6">
        <v>2022</v>
      </c>
      <c r="CJ25" s="4" t="s">
        <v>40</v>
      </c>
      <c r="CK25" s="4">
        <v>172.6</v>
      </c>
      <c r="CL25" s="4">
        <v>175.3</v>
      </c>
    </row>
    <row r="26" spans="1:90">
      <c r="A26" s="5" t="s">
        <v>32</v>
      </c>
      <c r="B26" s="6">
        <v>2022</v>
      </c>
      <c r="C26" s="6" t="s">
        <v>40</v>
      </c>
      <c r="D26" s="6">
        <v>162.1</v>
      </c>
      <c r="E26" s="6">
        <v>210.9</v>
      </c>
      <c r="F26" s="6">
        <v>170.6</v>
      </c>
      <c r="G26" s="6">
        <v>168.4</v>
      </c>
      <c r="H26" s="6">
        <v>182.5</v>
      </c>
      <c r="I26" s="6">
        <v>177.1</v>
      </c>
      <c r="J26" s="6">
        <v>213.1</v>
      </c>
      <c r="K26" s="6">
        <v>167.3</v>
      </c>
      <c r="L26" s="6">
        <v>122.2</v>
      </c>
      <c r="M26" s="6">
        <v>189.7</v>
      </c>
      <c r="N26" s="6">
        <v>160.5</v>
      </c>
      <c r="O26" s="6">
        <v>188.9</v>
      </c>
      <c r="P26" s="6">
        <v>180.4</v>
      </c>
      <c r="Q26" s="6">
        <v>198.7</v>
      </c>
      <c r="R26" s="6">
        <v>173.7</v>
      </c>
      <c r="S26" s="6">
        <v>160</v>
      </c>
      <c r="T26" s="6">
        <v>171.6</v>
      </c>
      <c r="U26" s="6">
        <v>169</v>
      </c>
      <c r="V26" s="6">
        <v>178.4</v>
      </c>
      <c r="W26" s="6">
        <v>164.2</v>
      </c>
      <c r="X26" s="6">
        <v>172.6</v>
      </c>
      <c r="Y26" s="6">
        <v>157.69999999999999</v>
      </c>
      <c r="Z26" s="6">
        <v>165.1</v>
      </c>
      <c r="AA26" s="6">
        <v>169.9</v>
      </c>
      <c r="AB26" s="6">
        <v>171.4</v>
      </c>
      <c r="AC26" s="6">
        <v>165.4</v>
      </c>
      <c r="AD26" s="6">
        <v>173.1</v>
      </c>
      <c r="AE26" s="22"/>
      <c r="AN26" s="6">
        <v>2022</v>
      </c>
      <c r="AO26" s="6" t="s">
        <v>40</v>
      </c>
      <c r="AP26" s="6">
        <v>162.1</v>
      </c>
      <c r="AQ26" s="6">
        <v>210.9</v>
      </c>
      <c r="AR26" s="6">
        <v>170.6</v>
      </c>
      <c r="AS26" s="6">
        <v>168.4</v>
      </c>
      <c r="AT26" s="6">
        <v>182.5</v>
      </c>
      <c r="AU26" s="6">
        <v>177.1</v>
      </c>
      <c r="AV26" s="6">
        <v>213.1</v>
      </c>
      <c r="AW26" s="6">
        <v>167.3</v>
      </c>
      <c r="AX26" s="6">
        <v>122.2</v>
      </c>
      <c r="AY26" s="6">
        <v>189.7</v>
      </c>
      <c r="AZ26" s="6">
        <v>188.9</v>
      </c>
      <c r="BA26" s="6">
        <v>180.4</v>
      </c>
      <c r="BF26" s="6">
        <v>2022</v>
      </c>
      <c r="BG26" s="6" t="s">
        <v>40</v>
      </c>
      <c r="BH26" s="6">
        <v>160.5</v>
      </c>
      <c r="BI26" s="6">
        <v>198.7</v>
      </c>
      <c r="BJ26" s="6">
        <v>165.1</v>
      </c>
      <c r="BM26" s="6">
        <v>2022</v>
      </c>
      <c r="BN26" s="6" t="s">
        <v>40</v>
      </c>
      <c r="BO26" s="6">
        <v>173.7</v>
      </c>
      <c r="BP26" s="6">
        <v>160</v>
      </c>
      <c r="BQ26" s="6">
        <v>171.6</v>
      </c>
      <c r="BT26" s="6">
        <v>2022</v>
      </c>
      <c r="BU26" s="6" t="s">
        <v>40</v>
      </c>
      <c r="BV26" s="6">
        <v>169</v>
      </c>
      <c r="BW26" s="6">
        <v>178.4</v>
      </c>
      <c r="BX26" s="6">
        <v>164.2</v>
      </c>
      <c r="BY26" s="6">
        <v>157.69999999999999</v>
      </c>
      <c r="BZ26" s="6">
        <v>169.9</v>
      </c>
      <c r="CC26" s="6">
        <v>2022</v>
      </c>
      <c r="CD26" s="6" t="s">
        <v>40</v>
      </c>
      <c r="CE26" s="6">
        <v>172.6</v>
      </c>
      <c r="CF26" s="6">
        <v>171.4</v>
      </c>
      <c r="CI26" s="6">
        <v>2022</v>
      </c>
      <c r="CJ26" s="6" t="s">
        <v>40</v>
      </c>
      <c r="CK26" s="6">
        <v>165.4</v>
      </c>
      <c r="CL26" s="6">
        <v>173.1</v>
      </c>
    </row>
    <row r="27" spans="1:90">
      <c r="A27" s="3" t="s">
        <v>33</v>
      </c>
      <c r="B27" s="4">
        <v>2022</v>
      </c>
      <c r="C27" s="4" t="s">
        <v>40</v>
      </c>
      <c r="D27" s="4">
        <v>160.30000000000001</v>
      </c>
      <c r="E27" s="4">
        <v>206.5</v>
      </c>
      <c r="F27" s="4">
        <v>169.2</v>
      </c>
      <c r="G27" s="4">
        <v>168.1</v>
      </c>
      <c r="H27" s="4">
        <v>192.4</v>
      </c>
      <c r="I27" s="4">
        <v>172.9</v>
      </c>
      <c r="J27" s="4">
        <v>186.7</v>
      </c>
      <c r="K27" s="4">
        <v>167.2</v>
      </c>
      <c r="L27" s="4">
        <v>120.9</v>
      </c>
      <c r="M27" s="4">
        <v>193.6</v>
      </c>
      <c r="N27" s="4">
        <v>168.8</v>
      </c>
      <c r="O27" s="4">
        <v>186.3</v>
      </c>
      <c r="P27" s="4">
        <v>176.3</v>
      </c>
      <c r="Q27" s="4">
        <v>195</v>
      </c>
      <c r="R27" s="4">
        <v>179.5</v>
      </c>
      <c r="S27" s="4">
        <v>172.7</v>
      </c>
      <c r="T27" s="4">
        <v>178.5</v>
      </c>
      <c r="U27" s="4">
        <v>169</v>
      </c>
      <c r="V27" s="4">
        <v>178.8</v>
      </c>
      <c r="W27" s="4">
        <v>168.5</v>
      </c>
      <c r="X27" s="4">
        <v>176.8</v>
      </c>
      <c r="Y27" s="4">
        <v>161.9</v>
      </c>
      <c r="Z27" s="4">
        <v>166.9</v>
      </c>
      <c r="AA27" s="4">
        <v>172.3</v>
      </c>
      <c r="AB27" s="4">
        <v>171.2</v>
      </c>
      <c r="AC27" s="4">
        <v>169.1</v>
      </c>
      <c r="AD27" s="4">
        <v>174.3</v>
      </c>
      <c r="AE27" s="23"/>
      <c r="AN27" s="4">
        <v>2022</v>
      </c>
      <c r="AO27" s="4" t="s">
        <v>40</v>
      </c>
      <c r="AP27" s="4">
        <v>160.30000000000001</v>
      </c>
      <c r="AQ27" s="4">
        <v>206.5</v>
      </c>
      <c r="AR27" s="4">
        <v>169.2</v>
      </c>
      <c r="AS27" s="4">
        <v>168.1</v>
      </c>
      <c r="AT27" s="4">
        <v>192.4</v>
      </c>
      <c r="AU27" s="4">
        <v>172.9</v>
      </c>
      <c r="AV27" s="4">
        <v>186.7</v>
      </c>
      <c r="AW27" s="4">
        <v>167.2</v>
      </c>
      <c r="AX27" s="4">
        <v>120.9</v>
      </c>
      <c r="AY27" s="4">
        <v>193.6</v>
      </c>
      <c r="AZ27" s="4">
        <v>186.3</v>
      </c>
      <c r="BA27" s="4">
        <v>176.3</v>
      </c>
      <c r="BF27" s="6">
        <v>2022</v>
      </c>
      <c r="BG27" s="4" t="s">
        <v>40</v>
      </c>
      <c r="BH27" s="4">
        <v>168.8</v>
      </c>
      <c r="BI27" s="4">
        <v>195</v>
      </c>
      <c r="BJ27" s="4">
        <v>166.9</v>
      </c>
      <c r="BM27" s="6">
        <v>2022</v>
      </c>
      <c r="BN27" s="4" t="s">
        <v>40</v>
      </c>
      <c r="BO27" s="4">
        <v>179.5</v>
      </c>
      <c r="BP27" s="4">
        <v>172.7</v>
      </c>
      <c r="BQ27" s="4">
        <v>178.5</v>
      </c>
      <c r="BT27" s="6">
        <v>2022</v>
      </c>
      <c r="BU27" s="4" t="s">
        <v>40</v>
      </c>
      <c r="BV27" s="4">
        <v>169</v>
      </c>
      <c r="BW27" s="4">
        <v>178.8</v>
      </c>
      <c r="BX27" s="4">
        <v>168.5</v>
      </c>
      <c r="BY27" s="4">
        <v>161.9</v>
      </c>
      <c r="BZ27" s="4">
        <v>172.3</v>
      </c>
      <c r="CC27" s="6">
        <v>2022</v>
      </c>
      <c r="CD27" s="4" t="s">
        <v>40</v>
      </c>
      <c r="CE27" s="4">
        <v>176.8</v>
      </c>
      <c r="CF27" s="4">
        <v>171.2</v>
      </c>
      <c r="CI27" s="6">
        <v>2022</v>
      </c>
      <c r="CJ27" s="4" t="s">
        <v>40</v>
      </c>
      <c r="CK27" s="4">
        <v>169.1</v>
      </c>
      <c r="CL27" s="4">
        <v>174.3</v>
      </c>
    </row>
    <row r="28" spans="1:90">
      <c r="A28" s="5" t="s">
        <v>30</v>
      </c>
      <c r="B28" s="6">
        <v>2022</v>
      </c>
      <c r="C28" s="6" t="s">
        <v>41</v>
      </c>
      <c r="D28" s="6">
        <v>162.9</v>
      </c>
      <c r="E28" s="6">
        <v>206.7</v>
      </c>
      <c r="F28" s="6">
        <v>169</v>
      </c>
      <c r="G28" s="6">
        <v>169.5</v>
      </c>
      <c r="H28" s="6">
        <v>194.1</v>
      </c>
      <c r="I28" s="6">
        <v>164.1</v>
      </c>
      <c r="J28" s="6">
        <v>176.9</v>
      </c>
      <c r="K28" s="6">
        <v>169</v>
      </c>
      <c r="L28" s="6">
        <v>120.8</v>
      </c>
      <c r="M28" s="6">
        <v>199.1</v>
      </c>
      <c r="N28" s="6">
        <v>175.4</v>
      </c>
      <c r="O28" s="6">
        <v>184.8</v>
      </c>
      <c r="P28" s="6">
        <v>175.5</v>
      </c>
      <c r="Q28" s="6">
        <v>194.5</v>
      </c>
      <c r="R28" s="6">
        <v>184.7</v>
      </c>
      <c r="S28" s="6">
        <v>183.3</v>
      </c>
      <c r="T28" s="6">
        <v>184.5</v>
      </c>
      <c r="U28" s="6">
        <v>169.25</v>
      </c>
      <c r="V28" s="6">
        <v>179.7</v>
      </c>
      <c r="W28" s="6">
        <v>173.6</v>
      </c>
      <c r="X28" s="6">
        <v>180.2</v>
      </c>
      <c r="Y28" s="6">
        <v>166.9</v>
      </c>
      <c r="Z28" s="6">
        <v>170</v>
      </c>
      <c r="AA28" s="6">
        <v>176.2</v>
      </c>
      <c r="AB28" s="6">
        <v>170.8</v>
      </c>
      <c r="AC28" s="6">
        <v>173.1</v>
      </c>
      <c r="AD28" s="6">
        <v>176.4</v>
      </c>
      <c r="AE28" s="22"/>
      <c r="AN28" s="6">
        <v>2022</v>
      </c>
      <c r="AO28" s="6" t="s">
        <v>41</v>
      </c>
      <c r="AP28" s="6">
        <v>162.9</v>
      </c>
      <c r="AQ28" s="6">
        <v>206.7</v>
      </c>
      <c r="AR28" s="6">
        <v>169</v>
      </c>
      <c r="AS28" s="6">
        <v>169.5</v>
      </c>
      <c r="AT28" s="6">
        <v>194.1</v>
      </c>
      <c r="AU28" s="6">
        <v>164.1</v>
      </c>
      <c r="AV28" s="6">
        <v>176.9</v>
      </c>
      <c r="AW28" s="6">
        <v>169</v>
      </c>
      <c r="AX28" s="6">
        <v>120.8</v>
      </c>
      <c r="AY28" s="6">
        <v>199.1</v>
      </c>
      <c r="AZ28" s="6">
        <v>184.8</v>
      </c>
      <c r="BA28" s="6">
        <v>175.5</v>
      </c>
      <c r="BF28" s="6">
        <v>2022</v>
      </c>
      <c r="BG28" s="6" t="s">
        <v>41</v>
      </c>
      <c r="BH28" s="6">
        <v>175.4</v>
      </c>
      <c r="BI28" s="6">
        <v>194.5</v>
      </c>
      <c r="BJ28" s="6">
        <v>170</v>
      </c>
      <c r="BM28" s="6">
        <v>2022</v>
      </c>
      <c r="BN28" s="6" t="s">
        <v>41</v>
      </c>
      <c r="BO28" s="6">
        <v>184.7</v>
      </c>
      <c r="BP28" s="6">
        <v>183.3</v>
      </c>
      <c r="BQ28" s="6">
        <v>184.5</v>
      </c>
      <c r="BT28" s="6">
        <v>2022</v>
      </c>
      <c r="BU28" s="6" t="s">
        <v>41</v>
      </c>
      <c r="BV28" s="6">
        <v>169.25</v>
      </c>
      <c r="BW28" s="6">
        <v>179.7</v>
      </c>
      <c r="BX28" s="6">
        <v>173.6</v>
      </c>
      <c r="BY28" s="6">
        <v>166.9</v>
      </c>
      <c r="BZ28" s="6">
        <v>176.2</v>
      </c>
      <c r="CC28" s="6">
        <v>2022</v>
      </c>
      <c r="CD28" s="6" t="s">
        <v>41</v>
      </c>
      <c r="CE28" s="6">
        <v>180.2</v>
      </c>
      <c r="CF28" s="6">
        <v>170.8</v>
      </c>
      <c r="CI28" s="6">
        <v>2022</v>
      </c>
      <c r="CJ28" s="6" t="s">
        <v>41</v>
      </c>
      <c r="CK28" s="6">
        <v>173.1</v>
      </c>
      <c r="CL28" s="6">
        <v>176.4</v>
      </c>
    </row>
    <row r="29" spans="1:90">
      <c r="A29" s="3" t="s">
        <v>32</v>
      </c>
      <c r="B29" s="4">
        <v>2022</v>
      </c>
      <c r="C29" s="4" t="s">
        <v>41</v>
      </c>
      <c r="D29" s="4">
        <v>164.9</v>
      </c>
      <c r="E29" s="4">
        <v>213.7</v>
      </c>
      <c r="F29" s="4">
        <v>170.9</v>
      </c>
      <c r="G29" s="4">
        <v>170.1</v>
      </c>
      <c r="H29" s="4">
        <v>179.3</v>
      </c>
      <c r="I29" s="4">
        <v>167.5</v>
      </c>
      <c r="J29" s="4">
        <v>220.8</v>
      </c>
      <c r="K29" s="4">
        <v>169.2</v>
      </c>
      <c r="L29" s="4">
        <v>123.1</v>
      </c>
      <c r="M29" s="4">
        <v>193.6</v>
      </c>
      <c r="N29" s="4">
        <v>161.1</v>
      </c>
      <c r="O29" s="4">
        <v>190.4</v>
      </c>
      <c r="P29" s="4">
        <v>181.8</v>
      </c>
      <c r="Q29" s="4">
        <v>199.7</v>
      </c>
      <c r="R29" s="4">
        <v>175</v>
      </c>
      <c r="S29" s="4">
        <v>161.69999999999999</v>
      </c>
      <c r="T29" s="4">
        <v>173</v>
      </c>
      <c r="U29" s="4">
        <v>169.5</v>
      </c>
      <c r="V29" s="4">
        <v>179.2</v>
      </c>
      <c r="W29" s="4">
        <v>165</v>
      </c>
      <c r="X29" s="4">
        <v>173.8</v>
      </c>
      <c r="Y29" s="4">
        <v>158.19999999999999</v>
      </c>
      <c r="Z29" s="4">
        <v>165.8</v>
      </c>
      <c r="AA29" s="4">
        <v>170.9</v>
      </c>
      <c r="AB29" s="4">
        <v>171.1</v>
      </c>
      <c r="AC29" s="4">
        <v>166.1</v>
      </c>
      <c r="AD29" s="4">
        <v>174.1</v>
      </c>
      <c r="AE29" s="23"/>
      <c r="AN29" s="4">
        <v>2022</v>
      </c>
      <c r="AO29" s="4" t="s">
        <v>41</v>
      </c>
      <c r="AP29" s="4">
        <v>164.9</v>
      </c>
      <c r="AQ29" s="4">
        <v>213.7</v>
      </c>
      <c r="AR29" s="4">
        <v>170.9</v>
      </c>
      <c r="AS29" s="4">
        <v>170.1</v>
      </c>
      <c r="AT29" s="4">
        <v>179.3</v>
      </c>
      <c r="AU29" s="4">
        <v>167.5</v>
      </c>
      <c r="AV29" s="4">
        <v>220.8</v>
      </c>
      <c r="AW29" s="4">
        <v>169.2</v>
      </c>
      <c r="AX29" s="4">
        <v>123.1</v>
      </c>
      <c r="AY29" s="4">
        <v>193.6</v>
      </c>
      <c r="AZ29" s="4">
        <v>190.4</v>
      </c>
      <c r="BA29" s="4">
        <v>181.8</v>
      </c>
      <c r="BF29" s="6">
        <v>2022</v>
      </c>
      <c r="BG29" s="4" t="s">
        <v>41</v>
      </c>
      <c r="BH29" s="4">
        <v>161.1</v>
      </c>
      <c r="BI29" s="4">
        <v>199.7</v>
      </c>
      <c r="BJ29" s="4">
        <v>165.8</v>
      </c>
      <c r="BM29" s="6">
        <v>2022</v>
      </c>
      <c r="BN29" s="4" t="s">
        <v>41</v>
      </c>
      <c r="BO29" s="4">
        <v>175</v>
      </c>
      <c r="BP29" s="4">
        <v>161.69999999999999</v>
      </c>
      <c r="BQ29" s="4">
        <v>173</v>
      </c>
      <c r="BT29" s="6">
        <v>2022</v>
      </c>
      <c r="BU29" s="4" t="s">
        <v>41</v>
      </c>
      <c r="BV29" s="4">
        <v>169.5</v>
      </c>
      <c r="BW29" s="4">
        <v>179.2</v>
      </c>
      <c r="BX29" s="4">
        <v>165</v>
      </c>
      <c r="BY29" s="4">
        <v>158.19999999999999</v>
      </c>
      <c r="BZ29" s="4">
        <v>170.9</v>
      </c>
      <c r="CC29" s="6">
        <v>2022</v>
      </c>
      <c r="CD29" s="4" t="s">
        <v>41</v>
      </c>
      <c r="CE29" s="4">
        <v>173.8</v>
      </c>
      <c r="CF29" s="4">
        <v>171.1</v>
      </c>
      <c r="CI29" s="6">
        <v>2022</v>
      </c>
      <c r="CJ29" s="4" t="s">
        <v>41</v>
      </c>
      <c r="CK29" s="4">
        <v>166.1</v>
      </c>
      <c r="CL29" s="4">
        <v>174.1</v>
      </c>
    </row>
    <row r="30" spans="1:90">
      <c r="A30" s="5" t="s">
        <v>33</v>
      </c>
      <c r="B30" s="6">
        <v>2022</v>
      </c>
      <c r="C30" s="6" t="s">
        <v>41</v>
      </c>
      <c r="D30" s="6">
        <v>163.5</v>
      </c>
      <c r="E30" s="6">
        <v>209.2</v>
      </c>
      <c r="F30" s="6">
        <v>169.7</v>
      </c>
      <c r="G30" s="6">
        <v>169.7</v>
      </c>
      <c r="H30" s="6">
        <v>188.7</v>
      </c>
      <c r="I30" s="6">
        <v>165.7</v>
      </c>
      <c r="J30" s="6">
        <v>191.8</v>
      </c>
      <c r="K30" s="6">
        <v>169.1</v>
      </c>
      <c r="L30" s="6">
        <v>121.6</v>
      </c>
      <c r="M30" s="6">
        <v>197.3</v>
      </c>
      <c r="N30" s="6">
        <v>169.4</v>
      </c>
      <c r="O30" s="6">
        <v>187.4</v>
      </c>
      <c r="P30" s="6">
        <v>177.8</v>
      </c>
      <c r="Q30" s="6">
        <v>195.9</v>
      </c>
      <c r="R30" s="6">
        <v>180.9</v>
      </c>
      <c r="S30" s="6">
        <v>174.3</v>
      </c>
      <c r="T30" s="6">
        <v>179.9</v>
      </c>
      <c r="U30" s="6">
        <v>169.5</v>
      </c>
      <c r="V30" s="6">
        <v>179.5</v>
      </c>
      <c r="W30" s="6">
        <v>169.5</v>
      </c>
      <c r="X30" s="6">
        <v>177.8</v>
      </c>
      <c r="Y30" s="6">
        <v>162.30000000000001</v>
      </c>
      <c r="Z30" s="6">
        <v>167.6</v>
      </c>
      <c r="AA30" s="6">
        <v>173.1</v>
      </c>
      <c r="AB30" s="6">
        <v>170.9</v>
      </c>
      <c r="AC30" s="6">
        <v>169.7</v>
      </c>
      <c r="AD30" s="6">
        <v>175.3</v>
      </c>
      <c r="AE30" s="22"/>
      <c r="AN30" s="6">
        <v>2022</v>
      </c>
      <c r="AO30" s="6" t="s">
        <v>41</v>
      </c>
      <c r="AP30" s="6">
        <v>163.5</v>
      </c>
      <c r="AQ30" s="6">
        <v>209.2</v>
      </c>
      <c r="AR30" s="6">
        <v>169.7</v>
      </c>
      <c r="AS30" s="6">
        <v>169.7</v>
      </c>
      <c r="AT30" s="6">
        <v>188.7</v>
      </c>
      <c r="AU30" s="6">
        <v>165.7</v>
      </c>
      <c r="AV30" s="6">
        <v>191.8</v>
      </c>
      <c r="AW30" s="6">
        <v>169.1</v>
      </c>
      <c r="AX30" s="6">
        <v>121.6</v>
      </c>
      <c r="AY30" s="6">
        <v>197.3</v>
      </c>
      <c r="AZ30" s="6">
        <v>187.4</v>
      </c>
      <c r="BA30" s="6">
        <v>177.8</v>
      </c>
      <c r="BF30" s="6">
        <v>2022</v>
      </c>
      <c r="BG30" s="6" t="s">
        <v>41</v>
      </c>
      <c r="BH30" s="6">
        <v>169.4</v>
      </c>
      <c r="BI30" s="6">
        <v>195.9</v>
      </c>
      <c r="BJ30" s="6">
        <v>167.6</v>
      </c>
      <c r="BM30" s="6">
        <v>2022</v>
      </c>
      <c r="BN30" s="6" t="s">
        <v>41</v>
      </c>
      <c r="BO30" s="6">
        <v>180.9</v>
      </c>
      <c r="BP30" s="6">
        <v>174.3</v>
      </c>
      <c r="BQ30" s="6">
        <v>179.9</v>
      </c>
      <c r="BT30" s="6">
        <v>2022</v>
      </c>
      <c r="BU30" s="6" t="s">
        <v>41</v>
      </c>
      <c r="BV30" s="6">
        <v>169.5</v>
      </c>
      <c r="BW30" s="6">
        <v>179.5</v>
      </c>
      <c r="BX30" s="6">
        <v>169.5</v>
      </c>
      <c r="BY30" s="6">
        <v>162.30000000000001</v>
      </c>
      <c r="BZ30" s="6">
        <v>173.1</v>
      </c>
      <c r="CC30" s="6">
        <v>2022</v>
      </c>
      <c r="CD30" s="6" t="s">
        <v>41</v>
      </c>
      <c r="CE30" s="6">
        <v>177.8</v>
      </c>
      <c r="CF30" s="6">
        <v>170.9</v>
      </c>
      <c r="CI30" s="6">
        <v>2022</v>
      </c>
      <c r="CJ30" s="6" t="s">
        <v>41</v>
      </c>
      <c r="CK30" s="6">
        <v>169.7</v>
      </c>
      <c r="CL30" s="6">
        <v>175.3</v>
      </c>
    </row>
    <row r="31" spans="1:90">
      <c r="A31" s="3" t="s">
        <v>30</v>
      </c>
      <c r="B31" s="4">
        <v>2022</v>
      </c>
      <c r="C31" s="4" t="s">
        <v>42</v>
      </c>
      <c r="D31" s="4">
        <v>164.7</v>
      </c>
      <c r="E31" s="4">
        <v>208.8</v>
      </c>
      <c r="F31" s="4">
        <v>170.3</v>
      </c>
      <c r="G31" s="4">
        <v>170.9</v>
      </c>
      <c r="H31" s="4">
        <v>191.6</v>
      </c>
      <c r="I31" s="4">
        <v>162.19999999999999</v>
      </c>
      <c r="J31" s="4">
        <v>184.8</v>
      </c>
      <c r="K31" s="4">
        <v>169.7</v>
      </c>
      <c r="L31" s="4">
        <v>121.1</v>
      </c>
      <c r="M31" s="4">
        <v>201.6</v>
      </c>
      <c r="N31" s="4">
        <v>175.8</v>
      </c>
      <c r="O31" s="4">
        <v>185.6</v>
      </c>
      <c r="P31" s="4">
        <v>177.4</v>
      </c>
      <c r="Q31" s="4">
        <v>194.9</v>
      </c>
      <c r="R31" s="4">
        <v>186.1</v>
      </c>
      <c r="S31" s="4">
        <v>184.4</v>
      </c>
      <c r="T31" s="4">
        <v>185.9</v>
      </c>
      <c r="U31" s="4">
        <v>171.5</v>
      </c>
      <c r="V31" s="4">
        <v>180.8</v>
      </c>
      <c r="W31" s="4">
        <v>174.4</v>
      </c>
      <c r="X31" s="4">
        <v>181.2</v>
      </c>
      <c r="Y31" s="4">
        <v>167.4</v>
      </c>
      <c r="Z31" s="4">
        <v>170.6</v>
      </c>
      <c r="AA31" s="4">
        <v>176.5</v>
      </c>
      <c r="AB31" s="4">
        <v>172</v>
      </c>
      <c r="AC31" s="4">
        <v>173.9</v>
      </c>
      <c r="AD31" s="4">
        <v>177.9</v>
      </c>
      <c r="AE31" s="23"/>
      <c r="AN31" s="4">
        <v>2022</v>
      </c>
      <c r="AO31" s="4" t="s">
        <v>42</v>
      </c>
      <c r="AP31" s="4">
        <v>164.7</v>
      </c>
      <c r="AQ31" s="4">
        <v>208.8</v>
      </c>
      <c r="AR31" s="4">
        <v>170.3</v>
      </c>
      <c r="AS31" s="4">
        <v>170.9</v>
      </c>
      <c r="AT31" s="4">
        <v>191.6</v>
      </c>
      <c r="AU31" s="4">
        <v>162.19999999999999</v>
      </c>
      <c r="AV31" s="4">
        <v>184.8</v>
      </c>
      <c r="AW31" s="4">
        <v>169.7</v>
      </c>
      <c r="AX31" s="4">
        <v>121.1</v>
      </c>
      <c r="AY31" s="4">
        <v>201.6</v>
      </c>
      <c r="AZ31" s="4">
        <v>185.6</v>
      </c>
      <c r="BA31" s="4">
        <v>177.4</v>
      </c>
      <c r="BF31" s="6">
        <v>2022</v>
      </c>
      <c r="BG31" s="4" t="s">
        <v>42</v>
      </c>
      <c r="BH31" s="4">
        <v>175.8</v>
      </c>
      <c r="BI31" s="4">
        <v>194.9</v>
      </c>
      <c r="BJ31" s="4">
        <v>170.6</v>
      </c>
      <c r="BM31" s="6">
        <v>2022</v>
      </c>
      <c r="BN31" s="4" t="s">
        <v>42</v>
      </c>
      <c r="BO31" s="4">
        <v>186.1</v>
      </c>
      <c r="BP31" s="4">
        <v>184.4</v>
      </c>
      <c r="BQ31" s="4">
        <v>185.9</v>
      </c>
      <c r="BT31" s="6">
        <v>2022</v>
      </c>
      <c r="BU31" s="4" t="s">
        <v>42</v>
      </c>
      <c r="BV31" s="4">
        <v>171.5</v>
      </c>
      <c r="BW31" s="4">
        <v>180.8</v>
      </c>
      <c r="BX31" s="4">
        <v>174.4</v>
      </c>
      <c r="BY31" s="4">
        <v>167.4</v>
      </c>
      <c r="BZ31" s="4">
        <v>176.5</v>
      </c>
      <c r="CC31" s="6">
        <v>2022</v>
      </c>
      <c r="CD31" s="4" t="s">
        <v>42</v>
      </c>
      <c r="CE31" s="4">
        <v>181.2</v>
      </c>
      <c r="CF31" s="4">
        <v>172</v>
      </c>
      <c r="CI31" s="6">
        <v>2022</v>
      </c>
      <c r="CJ31" s="4" t="s">
        <v>42</v>
      </c>
      <c r="CK31" s="4">
        <v>173.9</v>
      </c>
      <c r="CL31" s="4">
        <v>177.9</v>
      </c>
    </row>
    <row r="32" spans="1:90">
      <c r="A32" s="5" t="s">
        <v>32</v>
      </c>
      <c r="B32" s="6">
        <v>2022</v>
      </c>
      <c r="C32" s="6" t="s">
        <v>42</v>
      </c>
      <c r="D32" s="6">
        <v>166.4</v>
      </c>
      <c r="E32" s="6">
        <v>214.9</v>
      </c>
      <c r="F32" s="6">
        <v>171.9</v>
      </c>
      <c r="G32" s="6">
        <v>171</v>
      </c>
      <c r="H32" s="6">
        <v>177.7</v>
      </c>
      <c r="I32" s="6">
        <v>165.7</v>
      </c>
      <c r="J32" s="6">
        <v>228.6</v>
      </c>
      <c r="K32" s="6">
        <v>169.9</v>
      </c>
      <c r="L32" s="6">
        <v>123.4</v>
      </c>
      <c r="M32" s="6">
        <v>196.4</v>
      </c>
      <c r="N32" s="6">
        <v>161.6</v>
      </c>
      <c r="O32" s="6">
        <v>191.5</v>
      </c>
      <c r="P32" s="6">
        <v>183.3</v>
      </c>
      <c r="Q32" s="6">
        <v>200.1</v>
      </c>
      <c r="R32" s="6">
        <v>175.5</v>
      </c>
      <c r="S32" s="6">
        <v>162.6</v>
      </c>
      <c r="T32" s="6">
        <v>173.6</v>
      </c>
      <c r="U32" s="6">
        <v>171.2</v>
      </c>
      <c r="V32" s="6">
        <v>180</v>
      </c>
      <c r="W32" s="6">
        <v>166</v>
      </c>
      <c r="X32" s="6">
        <v>174.7</v>
      </c>
      <c r="Y32" s="6">
        <v>158.80000000000001</v>
      </c>
      <c r="Z32" s="6">
        <v>166.3</v>
      </c>
      <c r="AA32" s="6">
        <v>171.2</v>
      </c>
      <c r="AB32" s="6">
        <v>172.3</v>
      </c>
      <c r="AC32" s="6">
        <v>166.8</v>
      </c>
      <c r="AD32" s="6">
        <v>175.3</v>
      </c>
      <c r="AE32" s="22"/>
      <c r="AN32" s="6">
        <v>2022</v>
      </c>
      <c r="AO32" s="6" t="s">
        <v>42</v>
      </c>
      <c r="AP32" s="6">
        <v>166.4</v>
      </c>
      <c r="AQ32" s="6">
        <v>214.9</v>
      </c>
      <c r="AR32" s="6">
        <v>171.9</v>
      </c>
      <c r="AS32" s="6">
        <v>171</v>
      </c>
      <c r="AT32" s="6">
        <v>177.7</v>
      </c>
      <c r="AU32" s="6">
        <v>165.7</v>
      </c>
      <c r="AV32" s="6">
        <v>228.6</v>
      </c>
      <c r="AW32" s="6">
        <v>169.9</v>
      </c>
      <c r="AX32" s="6">
        <v>123.4</v>
      </c>
      <c r="AY32" s="6">
        <v>196.4</v>
      </c>
      <c r="AZ32" s="6">
        <v>191.5</v>
      </c>
      <c r="BA32" s="6">
        <v>183.3</v>
      </c>
      <c r="BF32" s="6">
        <v>2022</v>
      </c>
      <c r="BG32" s="6" t="s">
        <v>42</v>
      </c>
      <c r="BH32" s="6">
        <v>161.6</v>
      </c>
      <c r="BI32" s="6">
        <v>200.1</v>
      </c>
      <c r="BJ32" s="6">
        <v>166.3</v>
      </c>
      <c r="BM32" s="6">
        <v>2022</v>
      </c>
      <c r="BN32" s="6" t="s">
        <v>42</v>
      </c>
      <c r="BO32" s="6">
        <v>175.5</v>
      </c>
      <c r="BP32" s="6">
        <v>162.6</v>
      </c>
      <c r="BQ32" s="6">
        <v>173.6</v>
      </c>
      <c r="BT32" s="6">
        <v>2022</v>
      </c>
      <c r="BU32" s="6" t="s">
        <v>42</v>
      </c>
      <c r="BV32" s="6">
        <v>171.2</v>
      </c>
      <c r="BW32" s="6">
        <v>180</v>
      </c>
      <c r="BX32" s="6">
        <v>166</v>
      </c>
      <c r="BY32" s="6">
        <v>158.80000000000001</v>
      </c>
      <c r="BZ32" s="6">
        <v>171.2</v>
      </c>
      <c r="CC32" s="6">
        <v>2022</v>
      </c>
      <c r="CD32" s="6" t="s">
        <v>42</v>
      </c>
      <c r="CE32" s="6">
        <v>174.7</v>
      </c>
      <c r="CF32" s="6">
        <v>172.3</v>
      </c>
      <c r="CI32" s="6">
        <v>2022</v>
      </c>
      <c r="CJ32" s="6" t="s">
        <v>42</v>
      </c>
      <c r="CK32" s="6">
        <v>166.8</v>
      </c>
      <c r="CL32" s="6">
        <v>175.3</v>
      </c>
    </row>
    <row r="33" spans="1:90">
      <c r="A33" s="3" t="s">
        <v>33</v>
      </c>
      <c r="B33" s="4">
        <v>2022</v>
      </c>
      <c r="C33" s="4" t="s">
        <v>42</v>
      </c>
      <c r="D33" s="4">
        <v>165.2</v>
      </c>
      <c r="E33" s="4">
        <v>210.9</v>
      </c>
      <c r="F33" s="4">
        <v>170.9</v>
      </c>
      <c r="G33" s="4">
        <v>170.9</v>
      </c>
      <c r="H33" s="4">
        <v>186.5</v>
      </c>
      <c r="I33" s="4">
        <v>163.80000000000001</v>
      </c>
      <c r="J33" s="4">
        <v>199.7</v>
      </c>
      <c r="K33" s="4">
        <v>169.8</v>
      </c>
      <c r="L33" s="4">
        <v>121.9</v>
      </c>
      <c r="M33" s="4">
        <v>199.9</v>
      </c>
      <c r="N33" s="4">
        <v>169.9</v>
      </c>
      <c r="O33" s="4">
        <v>188.3</v>
      </c>
      <c r="P33" s="4">
        <v>179.6</v>
      </c>
      <c r="Q33" s="4">
        <v>196.3</v>
      </c>
      <c r="R33" s="4">
        <v>181.9</v>
      </c>
      <c r="S33" s="4">
        <v>175.3</v>
      </c>
      <c r="T33" s="4">
        <v>181</v>
      </c>
      <c r="U33" s="4">
        <v>171.2</v>
      </c>
      <c r="V33" s="4">
        <v>180.5</v>
      </c>
      <c r="W33" s="4">
        <v>170.4</v>
      </c>
      <c r="X33" s="4">
        <v>178.7</v>
      </c>
      <c r="Y33" s="4">
        <v>162.9</v>
      </c>
      <c r="Z33" s="4">
        <v>168.2</v>
      </c>
      <c r="AA33" s="4">
        <v>173.4</v>
      </c>
      <c r="AB33" s="4">
        <v>172.1</v>
      </c>
      <c r="AC33" s="4">
        <v>170.5</v>
      </c>
      <c r="AD33" s="4">
        <v>176.7</v>
      </c>
      <c r="AE33" s="23"/>
      <c r="AN33" s="4">
        <v>2022</v>
      </c>
      <c r="AO33" s="4" t="s">
        <v>42</v>
      </c>
      <c r="AP33" s="4">
        <v>165.2</v>
      </c>
      <c r="AQ33" s="4">
        <v>210.9</v>
      </c>
      <c r="AR33" s="4">
        <v>170.9</v>
      </c>
      <c r="AS33" s="4">
        <v>170.9</v>
      </c>
      <c r="AT33" s="4">
        <v>186.5</v>
      </c>
      <c r="AU33" s="4">
        <v>163.80000000000001</v>
      </c>
      <c r="AV33" s="4">
        <v>199.7</v>
      </c>
      <c r="AW33" s="4">
        <v>169.8</v>
      </c>
      <c r="AX33" s="4">
        <v>121.9</v>
      </c>
      <c r="AY33" s="4">
        <v>199.9</v>
      </c>
      <c r="AZ33" s="4">
        <v>188.3</v>
      </c>
      <c r="BA33" s="4">
        <v>179.6</v>
      </c>
      <c r="BF33" s="6">
        <v>2022</v>
      </c>
      <c r="BG33" s="4" t="s">
        <v>42</v>
      </c>
      <c r="BH33" s="4">
        <v>169.9</v>
      </c>
      <c r="BI33" s="4">
        <v>196.3</v>
      </c>
      <c r="BJ33" s="4">
        <v>168.2</v>
      </c>
      <c r="BM33" s="6">
        <v>2022</v>
      </c>
      <c r="BN33" s="4" t="s">
        <v>42</v>
      </c>
      <c r="BO33" s="4">
        <v>181.9</v>
      </c>
      <c r="BP33" s="4">
        <v>175.3</v>
      </c>
      <c r="BQ33" s="4">
        <v>181</v>
      </c>
      <c r="BT33" s="6">
        <v>2022</v>
      </c>
      <c r="BU33" s="4" t="s">
        <v>42</v>
      </c>
      <c r="BV33" s="4">
        <v>171.2</v>
      </c>
      <c r="BW33" s="4">
        <v>180.5</v>
      </c>
      <c r="BX33" s="4">
        <v>170.4</v>
      </c>
      <c r="BY33" s="4">
        <v>162.9</v>
      </c>
      <c r="BZ33" s="4">
        <v>173.4</v>
      </c>
      <c r="CC33" s="6">
        <v>2022</v>
      </c>
      <c r="CD33" s="4" t="s">
        <v>42</v>
      </c>
      <c r="CE33" s="4">
        <v>178.7</v>
      </c>
      <c r="CF33" s="4">
        <v>172.1</v>
      </c>
      <c r="CI33" s="6">
        <v>2022</v>
      </c>
      <c r="CJ33" s="4" t="s">
        <v>42</v>
      </c>
      <c r="CK33" s="4">
        <v>170.5</v>
      </c>
      <c r="CL33" s="4">
        <v>176.7</v>
      </c>
    </row>
    <row r="34" spans="1:90">
      <c r="A34" s="5" t="s">
        <v>30</v>
      </c>
      <c r="B34" s="6">
        <v>2022</v>
      </c>
      <c r="C34" s="6" t="s">
        <v>43</v>
      </c>
      <c r="D34" s="6">
        <v>166.9</v>
      </c>
      <c r="E34" s="6">
        <v>207.2</v>
      </c>
      <c r="F34" s="6">
        <v>180.2</v>
      </c>
      <c r="G34" s="6">
        <v>172.3</v>
      </c>
      <c r="H34" s="6">
        <v>194</v>
      </c>
      <c r="I34" s="6">
        <v>159.1</v>
      </c>
      <c r="J34" s="6">
        <v>171.6</v>
      </c>
      <c r="K34" s="6">
        <v>170.2</v>
      </c>
      <c r="L34" s="6">
        <v>121.5</v>
      </c>
      <c r="M34" s="6">
        <v>204.8</v>
      </c>
      <c r="N34" s="6">
        <v>176.4</v>
      </c>
      <c r="O34" s="6">
        <v>186.9</v>
      </c>
      <c r="P34" s="6">
        <v>176.6</v>
      </c>
      <c r="Q34" s="6">
        <v>195.5</v>
      </c>
      <c r="R34" s="6">
        <v>187.2</v>
      </c>
      <c r="S34" s="6">
        <v>185.2</v>
      </c>
      <c r="T34" s="6">
        <v>186.9</v>
      </c>
      <c r="U34" s="6">
        <v>171.5</v>
      </c>
      <c r="V34" s="6">
        <v>181.9</v>
      </c>
      <c r="W34" s="6">
        <v>175.5</v>
      </c>
      <c r="X34" s="6">
        <v>182.3</v>
      </c>
      <c r="Y34" s="6">
        <v>167.5</v>
      </c>
      <c r="Z34" s="6">
        <v>170.8</v>
      </c>
      <c r="AA34" s="6">
        <v>176.9</v>
      </c>
      <c r="AB34" s="6">
        <v>173.4</v>
      </c>
      <c r="AC34" s="6">
        <v>174.6</v>
      </c>
      <c r="AD34" s="6">
        <v>177.8</v>
      </c>
      <c r="AE34" s="22"/>
      <c r="AN34" s="6">
        <v>2022</v>
      </c>
      <c r="AO34" s="6" t="s">
        <v>43</v>
      </c>
      <c r="AP34" s="6">
        <v>166.9</v>
      </c>
      <c r="AQ34" s="6">
        <v>207.2</v>
      </c>
      <c r="AR34" s="6">
        <v>180.2</v>
      </c>
      <c r="AS34" s="6">
        <v>172.3</v>
      </c>
      <c r="AT34" s="6">
        <v>194</v>
      </c>
      <c r="AU34" s="6">
        <v>159.1</v>
      </c>
      <c r="AV34" s="6">
        <v>171.6</v>
      </c>
      <c r="AW34" s="6">
        <v>170.2</v>
      </c>
      <c r="AX34" s="6">
        <v>121.5</v>
      </c>
      <c r="AY34" s="6">
        <v>204.8</v>
      </c>
      <c r="AZ34" s="6">
        <v>186.9</v>
      </c>
      <c r="BA34" s="6">
        <v>176.6</v>
      </c>
      <c r="BF34" s="6">
        <v>2022</v>
      </c>
      <c r="BG34" s="6" t="s">
        <v>43</v>
      </c>
      <c r="BH34" s="6">
        <v>176.4</v>
      </c>
      <c r="BI34" s="6">
        <v>195.5</v>
      </c>
      <c r="BJ34" s="6">
        <v>170.8</v>
      </c>
      <c r="BM34" s="6">
        <v>2022</v>
      </c>
      <c r="BN34" s="6" t="s">
        <v>43</v>
      </c>
      <c r="BO34" s="6">
        <v>187.2</v>
      </c>
      <c r="BP34" s="6">
        <v>185.2</v>
      </c>
      <c r="BQ34" s="6">
        <v>186.9</v>
      </c>
      <c r="BT34" s="6">
        <v>2022</v>
      </c>
      <c r="BU34" s="6" t="s">
        <v>43</v>
      </c>
      <c r="BV34" s="6">
        <v>171.5</v>
      </c>
      <c r="BW34" s="6">
        <v>181.9</v>
      </c>
      <c r="BX34" s="6">
        <v>175.5</v>
      </c>
      <c r="BY34" s="6">
        <v>167.5</v>
      </c>
      <c r="BZ34" s="6">
        <v>176.9</v>
      </c>
      <c r="CC34" s="6">
        <v>2022</v>
      </c>
      <c r="CD34" s="6" t="s">
        <v>43</v>
      </c>
      <c r="CE34" s="6">
        <v>182.3</v>
      </c>
      <c r="CF34" s="6">
        <v>173.4</v>
      </c>
      <c r="CI34" s="6">
        <v>2022</v>
      </c>
      <c r="CJ34" s="6" t="s">
        <v>43</v>
      </c>
      <c r="CK34" s="6">
        <v>174.6</v>
      </c>
      <c r="CL34" s="6">
        <v>177.8</v>
      </c>
    </row>
    <row r="35" spans="1:90">
      <c r="A35" s="3" t="s">
        <v>32</v>
      </c>
      <c r="B35" s="4">
        <v>2022</v>
      </c>
      <c r="C35" s="4" t="s">
        <v>43</v>
      </c>
      <c r="D35" s="4">
        <v>168.4</v>
      </c>
      <c r="E35" s="4">
        <v>213.4</v>
      </c>
      <c r="F35" s="4">
        <v>183.2</v>
      </c>
      <c r="G35" s="4">
        <v>172.3</v>
      </c>
      <c r="H35" s="4">
        <v>180</v>
      </c>
      <c r="I35" s="4">
        <v>162.6</v>
      </c>
      <c r="J35" s="4">
        <v>205.5</v>
      </c>
      <c r="K35" s="4">
        <v>171</v>
      </c>
      <c r="L35" s="4">
        <v>123.4</v>
      </c>
      <c r="M35" s="4">
        <v>198.8</v>
      </c>
      <c r="N35" s="4">
        <v>162.1</v>
      </c>
      <c r="O35" s="4">
        <v>192.4</v>
      </c>
      <c r="P35" s="4">
        <v>181.3</v>
      </c>
      <c r="Q35" s="4">
        <v>200.6</v>
      </c>
      <c r="R35" s="4">
        <v>176.7</v>
      </c>
      <c r="S35" s="4">
        <v>163.5</v>
      </c>
      <c r="T35" s="4">
        <v>174.7</v>
      </c>
      <c r="U35" s="4">
        <v>171.8</v>
      </c>
      <c r="V35" s="4">
        <v>180.3</v>
      </c>
      <c r="W35" s="4">
        <v>166.9</v>
      </c>
      <c r="X35" s="4">
        <v>175.8</v>
      </c>
      <c r="Y35" s="4">
        <v>158.9</v>
      </c>
      <c r="Z35" s="4">
        <v>166.7</v>
      </c>
      <c r="AA35" s="4">
        <v>171.5</v>
      </c>
      <c r="AB35" s="4">
        <v>173.8</v>
      </c>
      <c r="AC35" s="4">
        <v>167.4</v>
      </c>
      <c r="AD35" s="4">
        <v>174.1</v>
      </c>
      <c r="AE35" s="23"/>
      <c r="AN35" s="4">
        <v>2022</v>
      </c>
      <c r="AO35" s="4" t="s">
        <v>43</v>
      </c>
      <c r="AP35" s="4">
        <v>168.4</v>
      </c>
      <c r="AQ35" s="4">
        <v>213.4</v>
      </c>
      <c r="AR35" s="4">
        <v>183.2</v>
      </c>
      <c r="AS35" s="4">
        <v>172.3</v>
      </c>
      <c r="AT35" s="4">
        <v>180</v>
      </c>
      <c r="AU35" s="4">
        <v>162.6</v>
      </c>
      <c r="AV35" s="4">
        <v>205.5</v>
      </c>
      <c r="AW35" s="4">
        <v>171</v>
      </c>
      <c r="AX35" s="4">
        <v>123.4</v>
      </c>
      <c r="AY35" s="4">
        <v>198.8</v>
      </c>
      <c r="AZ35" s="4">
        <v>192.4</v>
      </c>
      <c r="BA35" s="4">
        <v>181.3</v>
      </c>
      <c r="BF35" s="6">
        <v>2022</v>
      </c>
      <c r="BG35" s="4" t="s">
        <v>43</v>
      </c>
      <c r="BH35" s="4">
        <v>162.1</v>
      </c>
      <c r="BI35" s="4">
        <v>200.6</v>
      </c>
      <c r="BJ35" s="4">
        <v>166.7</v>
      </c>
      <c r="BM35" s="6">
        <v>2022</v>
      </c>
      <c r="BN35" s="4" t="s">
        <v>43</v>
      </c>
      <c r="BO35" s="4">
        <v>176.7</v>
      </c>
      <c r="BP35" s="4">
        <v>163.5</v>
      </c>
      <c r="BQ35" s="4">
        <v>174.7</v>
      </c>
      <c r="BT35" s="6">
        <v>2022</v>
      </c>
      <c r="BU35" s="4" t="s">
        <v>43</v>
      </c>
      <c r="BV35" s="4">
        <v>171.8</v>
      </c>
      <c r="BW35" s="4">
        <v>180.3</v>
      </c>
      <c r="BX35" s="4">
        <v>166.9</v>
      </c>
      <c r="BY35" s="4">
        <v>158.9</v>
      </c>
      <c r="BZ35" s="4">
        <v>171.5</v>
      </c>
      <c r="CC35" s="6">
        <v>2022</v>
      </c>
      <c r="CD35" s="4" t="s">
        <v>43</v>
      </c>
      <c r="CE35" s="4">
        <v>175.8</v>
      </c>
      <c r="CF35" s="4">
        <v>173.8</v>
      </c>
      <c r="CI35" s="6">
        <v>2022</v>
      </c>
      <c r="CJ35" s="4" t="s">
        <v>43</v>
      </c>
      <c r="CK35" s="4">
        <v>167.4</v>
      </c>
      <c r="CL35" s="4">
        <v>174.1</v>
      </c>
    </row>
    <row r="36" spans="1:90">
      <c r="A36" s="5" t="s">
        <v>33</v>
      </c>
      <c r="B36" s="6">
        <v>2022</v>
      </c>
      <c r="C36" s="6" t="s">
        <v>43</v>
      </c>
      <c r="D36" s="6">
        <v>167.4</v>
      </c>
      <c r="E36" s="6">
        <v>209.4</v>
      </c>
      <c r="F36" s="6">
        <v>181.4</v>
      </c>
      <c r="G36" s="6">
        <v>172.3</v>
      </c>
      <c r="H36" s="6">
        <v>188.9</v>
      </c>
      <c r="I36" s="6">
        <v>160.69999999999999</v>
      </c>
      <c r="J36" s="6">
        <v>183.1</v>
      </c>
      <c r="K36" s="6">
        <v>170.5</v>
      </c>
      <c r="L36" s="6">
        <v>122.1</v>
      </c>
      <c r="M36" s="6">
        <v>202.8</v>
      </c>
      <c r="N36" s="6">
        <v>170.4</v>
      </c>
      <c r="O36" s="6">
        <v>189.5</v>
      </c>
      <c r="P36" s="6">
        <v>178.3</v>
      </c>
      <c r="Q36" s="6">
        <v>196.9</v>
      </c>
      <c r="R36" s="6">
        <v>183.1</v>
      </c>
      <c r="S36" s="6">
        <v>176.2</v>
      </c>
      <c r="T36" s="6">
        <v>182.1</v>
      </c>
      <c r="U36" s="6">
        <v>171.8</v>
      </c>
      <c r="V36" s="6">
        <v>181.3</v>
      </c>
      <c r="W36" s="6">
        <v>171.4</v>
      </c>
      <c r="X36" s="6">
        <v>179.8</v>
      </c>
      <c r="Y36" s="6">
        <v>163</v>
      </c>
      <c r="Z36" s="6">
        <v>168.5</v>
      </c>
      <c r="AA36" s="6">
        <v>173.7</v>
      </c>
      <c r="AB36" s="6">
        <v>173.6</v>
      </c>
      <c r="AC36" s="6">
        <v>171.1</v>
      </c>
      <c r="AD36" s="6">
        <v>176.5</v>
      </c>
      <c r="AE36" s="22"/>
      <c r="AN36" s="6">
        <v>2022</v>
      </c>
      <c r="AO36" s="6" t="s">
        <v>43</v>
      </c>
      <c r="AP36" s="6">
        <v>167.4</v>
      </c>
      <c r="AQ36" s="6">
        <v>209.4</v>
      </c>
      <c r="AR36" s="6">
        <v>181.4</v>
      </c>
      <c r="AS36" s="6">
        <v>172.3</v>
      </c>
      <c r="AT36" s="6">
        <v>188.9</v>
      </c>
      <c r="AU36" s="6">
        <v>160.69999999999999</v>
      </c>
      <c r="AV36" s="6">
        <v>183.1</v>
      </c>
      <c r="AW36" s="6">
        <v>170.5</v>
      </c>
      <c r="AX36" s="6">
        <v>122.1</v>
      </c>
      <c r="AY36" s="6">
        <v>202.8</v>
      </c>
      <c r="AZ36" s="6">
        <v>189.5</v>
      </c>
      <c r="BA36" s="6">
        <v>178.3</v>
      </c>
      <c r="BF36" s="6">
        <v>2022</v>
      </c>
      <c r="BG36" s="6" t="s">
        <v>43</v>
      </c>
      <c r="BH36" s="6">
        <v>170.4</v>
      </c>
      <c r="BI36" s="6">
        <v>196.9</v>
      </c>
      <c r="BJ36" s="6">
        <v>168.5</v>
      </c>
      <c r="BM36" s="6">
        <v>2022</v>
      </c>
      <c r="BN36" s="6" t="s">
        <v>43</v>
      </c>
      <c r="BO36" s="6">
        <v>183.1</v>
      </c>
      <c r="BP36" s="6">
        <v>176.2</v>
      </c>
      <c r="BQ36" s="6">
        <v>182.1</v>
      </c>
      <c r="BT36" s="6">
        <v>2022</v>
      </c>
      <c r="BU36" s="6" t="s">
        <v>43</v>
      </c>
      <c r="BV36" s="6">
        <v>171.8</v>
      </c>
      <c r="BW36" s="6">
        <v>181.3</v>
      </c>
      <c r="BX36" s="6">
        <v>171.4</v>
      </c>
      <c r="BY36" s="6">
        <v>163</v>
      </c>
      <c r="BZ36" s="6">
        <v>173.7</v>
      </c>
      <c r="CC36" s="6">
        <v>2022</v>
      </c>
      <c r="CD36" s="6" t="s">
        <v>43</v>
      </c>
      <c r="CE36" s="6">
        <v>179.8</v>
      </c>
      <c r="CF36" s="6">
        <v>173.6</v>
      </c>
      <c r="CI36" s="6">
        <v>2022</v>
      </c>
      <c r="CJ36" s="6" t="s">
        <v>43</v>
      </c>
      <c r="CK36" s="6">
        <v>171.1</v>
      </c>
      <c r="CL36" s="6">
        <v>176.5</v>
      </c>
    </row>
    <row r="37" spans="1:90">
      <c r="A37" s="3" t="s">
        <v>30</v>
      </c>
      <c r="B37" s="4">
        <v>2022</v>
      </c>
      <c r="C37" s="4" t="s">
        <v>44</v>
      </c>
      <c r="D37" s="4">
        <v>168.8</v>
      </c>
      <c r="E37" s="4">
        <v>206.9</v>
      </c>
      <c r="F37" s="4">
        <v>189.1</v>
      </c>
      <c r="G37" s="4">
        <v>173.4</v>
      </c>
      <c r="H37" s="4">
        <v>193.9</v>
      </c>
      <c r="I37" s="4">
        <v>156.69999999999999</v>
      </c>
      <c r="J37" s="4">
        <v>150.19999999999999</v>
      </c>
      <c r="K37" s="4">
        <v>170.5</v>
      </c>
      <c r="L37" s="4">
        <v>121.2</v>
      </c>
      <c r="M37" s="4">
        <v>207.5</v>
      </c>
      <c r="N37" s="4">
        <v>176.8</v>
      </c>
      <c r="O37" s="4">
        <v>187.7</v>
      </c>
      <c r="P37" s="4">
        <v>174.4</v>
      </c>
      <c r="Q37" s="4">
        <v>195.9</v>
      </c>
      <c r="R37" s="4">
        <v>188.1</v>
      </c>
      <c r="S37" s="4">
        <v>185.9</v>
      </c>
      <c r="T37" s="4">
        <v>187.8</v>
      </c>
      <c r="U37" s="4">
        <v>171.4</v>
      </c>
      <c r="V37" s="4">
        <v>182.8</v>
      </c>
      <c r="W37" s="4">
        <v>176.4</v>
      </c>
      <c r="X37" s="4">
        <v>183.5</v>
      </c>
      <c r="Y37" s="4">
        <v>167.8</v>
      </c>
      <c r="Z37" s="4">
        <v>171.2</v>
      </c>
      <c r="AA37" s="4">
        <v>177.3</v>
      </c>
      <c r="AB37" s="4">
        <v>175.7</v>
      </c>
      <c r="AC37" s="4">
        <v>175.5</v>
      </c>
      <c r="AD37" s="4">
        <v>177.1</v>
      </c>
      <c r="AE37" s="23"/>
      <c r="AN37" s="4">
        <v>2022</v>
      </c>
      <c r="AO37" s="4" t="s">
        <v>44</v>
      </c>
      <c r="AP37" s="4">
        <v>168.8</v>
      </c>
      <c r="AQ37" s="4">
        <v>206.9</v>
      </c>
      <c r="AR37" s="4">
        <v>189.1</v>
      </c>
      <c r="AS37" s="4">
        <v>173.4</v>
      </c>
      <c r="AT37" s="4">
        <v>193.9</v>
      </c>
      <c r="AU37" s="4">
        <v>156.69999999999999</v>
      </c>
      <c r="AV37" s="4">
        <v>150.19999999999999</v>
      </c>
      <c r="AW37" s="4">
        <v>170.5</v>
      </c>
      <c r="AX37" s="4">
        <v>121.2</v>
      </c>
      <c r="AY37" s="4">
        <v>207.5</v>
      </c>
      <c r="AZ37" s="4">
        <v>187.7</v>
      </c>
      <c r="BA37" s="4">
        <v>174.4</v>
      </c>
      <c r="BF37" s="6">
        <v>2022</v>
      </c>
      <c r="BG37" s="4" t="s">
        <v>44</v>
      </c>
      <c r="BH37" s="4">
        <v>176.8</v>
      </c>
      <c r="BI37" s="4">
        <v>195.9</v>
      </c>
      <c r="BJ37" s="4">
        <v>171.2</v>
      </c>
      <c r="BM37" s="6">
        <v>2022</v>
      </c>
      <c r="BN37" s="4" t="s">
        <v>44</v>
      </c>
      <c r="BO37" s="4">
        <v>188.1</v>
      </c>
      <c r="BP37" s="4">
        <v>185.9</v>
      </c>
      <c r="BQ37" s="4">
        <v>187.8</v>
      </c>
      <c r="BT37" s="6">
        <v>2022</v>
      </c>
      <c r="BU37" s="4" t="s">
        <v>44</v>
      </c>
      <c r="BV37" s="4">
        <v>171.4</v>
      </c>
      <c r="BW37" s="4">
        <v>182.8</v>
      </c>
      <c r="BX37" s="4">
        <v>176.4</v>
      </c>
      <c r="BY37" s="4">
        <v>167.8</v>
      </c>
      <c r="BZ37" s="4">
        <v>177.3</v>
      </c>
      <c r="CC37" s="6">
        <v>2022</v>
      </c>
      <c r="CD37" s="4" t="s">
        <v>44</v>
      </c>
      <c r="CE37" s="4">
        <v>183.5</v>
      </c>
      <c r="CF37" s="4">
        <v>175.7</v>
      </c>
      <c r="CI37" s="6">
        <v>2022</v>
      </c>
      <c r="CJ37" s="4" t="s">
        <v>44</v>
      </c>
      <c r="CK37" s="4">
        <v>175.5</v>
      </c>
      <c r="CL37" s="4">
        <v>177.1</v>
      </c>
    </row>
    <row r="38" spans="1:90">
      <c r="A38" s="5" t="s">
        <v>32</v>
      </c>
      <c r="B38" s="6">
        <v>2022</v>
      </c>
      <c r="C38" s="6" t="s">
        <v>44</v>
      </c>
      <c r="D38" s="6">
        <v>170.2</v>
      </c>
      <c r="E38" s="6">
        <v>212.9</v>
      </c>
      <c r="F38" s="6">
        <v>191.9</v>
      </c>
      <c r="G38" s="6">
        <v>173.9</v>
      </c>
      <c r="H38" s="6">
        <v>179.1</v>
      </c>
      <c r="I38" s="6">
        <v>159.5</v>
      </c>
      <c r="J38" s="6">
        <v>178.7</v>
      </c>
      <c r="K38" s="6">
        <v>171.3</v>
      </c>
      <c r="L38" s="6">
        <v>123.1</v>
      </c>
      <c r="M38" s="6">
        <v>200.5</v>
      </c>
      <c r="N38" s="6">
        <v>162.80000000000001</v>
      </c>
      <c r="O38" s="6">
        <v>193.3</v>
      </c>
      <c r="P38" s="6">
        <v>178.6</v>
      </c>
      <c r="Q38" s="6">
        <v>201.1</v>
      </c>
      <c r="R38" s="6">
        <v>177.7</v>
      </c>
      <c r="S38" s="6">
        <v>164.5</v>
      </c>
      <c r="T38" s="6">
        <v>175.7</v>
      </c>
      <c r="U38" s="6">
        <v>170.7</v>
      </c>
      <c r="V38" s="6">
        <v>180.6</v>
      </c>
      <c r="W38" s="6">
        <v>167.3</v>
      </c>
      <c r="X38" s="6">
        <v>177.2</v>
      </c>
      <c r="Y38" s="6">
        <v>159.4</v>
      </c>
      <c r="Z38" s="6">
        <v>167.1</v>
      </c>
      <c r="AA38" s="6">
        <v>171.8</v>
      </c>
      <c r="AB38" s="6">
        <v>176</v>
      </c>
      <c r="AC38" s="6">
        <v>168.2</v>
      </c>
      <c r="AD38" s="6">
        <v>174.1</v>
      </c>
      <c r="AE38" s="22"/>
      <c r="AN38" s="6">
        <v>2022</v>
      </c>
      <c r="AO38" s="6" t="s">
        <v>44</v>
      </c>
      <c r="AP38" s="6">
        <v>170.2</v>
      </c>
      <c r="AQ38" s="6">
        <v>212.9</v>
      </c>
      <c r="AR38" s="6">
        <v>191.9</v>
      </c>
      <c r="AS38" s="6">
        <v>173.9</v>
      </c>
      <c r="AT38" s="6">
        <v>179.1</v>
      </c>
      <c r="AU38" s="6">
        <v>159.5</v>
      </c>
      <c r="AV38" s="6">
        <v>178.7</v>
      </c>
      <c r="AW38" s="6">
        <v>171.3</v>
      </c>
      <c r="AX38" s="6">
        <v>123.1</v>
      </c>
      <c r="AY38" s="6">
        <v>200.5</v>
      </c>
      <c r="AZ38" s="6">
        <v>193.3</v>
      </c>
      <c r="BA38" s="6">
        <v>178.6</v>
      </c>
      <c r="BF38" s="6">
        <v>2022</v>
      </c>
      <c r="BG38" s="6" t="s">
        <v>44</v>
      </c>
      <c r="BH38" s="6">
        <v>162.80000000000001</v>
      </c>
      <c r="BI38" s="6">
        <v>201.1</v>
      </c>
      <c r="BJ38" s="6">
        <v>167.1</v>
      </c>
      <c r="BM38" s="6">
        <v>2022</v>
      </c>
      <c r="BN38" s="6" t="s">
        <v>44</v>
      </c>
      <c r="BO38" s="6">
        <v>177.7</v>
      </c>
      <c r="BP38" s="6">
        <v>164.5</v>
      </c>
      <c r="BQ38" s="6">
        <v>175.7</v>
      </c>
      <c r="BT38" s="6">
        <v>2022</v>
      </c>
      <c r="BU38" s="6" t="s">
        <v>44</v>
      </c>
      <c r="BV38" s="6">
        <v>170.7</v>
      </c>
      <c r="BW38" s="6">
        <v>180.6</v>
      </c>
      <c r="BX38" s="6">
        <v>167.3</v>
      </c>
      <c r="BY38" s="6">
        <v>159.4</v>
      </c>
      <c r="BZ38" s="6">
        <v>171.8</v>
      </c>
      <c r="CC38" s="6">
        <v>2022</v>
      </c>
      <c r="CD38" s="6" t="s">
        <v>44</v>
      </c>
      <c r="CE38" s="6">
        <v>177.2</v>
      </c>
      <c r="CF38" s="6">
        <v>176</v>
      </c>
      <c r="CI38" s="6">
        <v>2022</v>
      </c>
      <c r="CJ38" s="6" t="s">
        <v>44</v>
      </c>
      <c r="CK38" s="6">
        <v>168.2</v>
      </c>
      <c r="CL38" s="6">
        <v>174.1</v>
      </c>
    </row>
    <row r="39" spans="1:90">
      <c r="A39" s="3" t="s">
        <v>33</v>
      </c>
      <c r="B39" s="4">
        <v>2022</v>
      </c>
      <c r="C39" s="4" t="s">
        <v>44</v>
      </c>
      <c r="D39" s="4">
        <v>169.2</v>
      </c>
      <c r="E39" s="4">
        <v>209</v>
      </c>
      <c r="F39" s="4">
        <v>190.2</v>
      </c>
      <c r="G39" s="4">
        <v>173.6</v>
      </c>
      <c r="H39" s="4">
        <v>188.5</v>
      </c>
      <c r="I39" s="4">
        <v>158</v>
      </c>
      <c r="J39" s="4">
        <v>159.9</v>
      </c>
      <c r="K39" s="4">
        <v>170.8</v>
      </c>
      <c r="L39" s="4">
        <v>121.8</v>
      </c>
      <c r="M39" s="4">
        <v>205.2</v>
      </c>
      <c r="N39" s="4">
        <v>171</v>
      </c>
      <c r="O39" s="4">
        <v>190.3</v>
      </c>
      <c r="P39" s="4">
        <v>175.9</v>
      </c>
      <c r="Q39" s="4">
        <v>197.3</v>
      </c>
      <c r="R39" s="4">
        <v>184</v>
      </c>
      <c r="S39" s="4">
        <v>177</v>
      </c>
      <c r="T39" s="4">
        <v>183</v>
      </c>
      <c r="U39" s="4">
        <v>170.7</v>
      </c>
      <c r="V39" s="4">
        <v>182</v>
      </c>
      <c r="W39" s="4">
        <v>172.1</v>
      </c>
      <c r="X39" s="4">
        <v>181.1</v>
      </c>
      <c r="Y39" s="4">
        <v>163.4</v>
      </c>
      <c r="Z39" s="4">
        <v>168.9</v>
      </c>
      <c r="AA39" s="4">
        <v>174.1</v>
      </c>
      <c r="AB39" s="4">
        <v>175.8</v>
      </c>
      <c r="AC39" s="4">
        <v>172</v>
      </c>
      <c r="AD39" s="4">
        <v>175.7</v>
      </c>
      <c r="AE39" s="23"/>
      <c r="AN39" s="4">
        <v>2022</v>
      </c>
      <c r="AO39" s="4" t="s">
        <v>44</v>
      </c>
      <c r="AP39" s="4">
        <v>169.2</v>
      </c>
      <c r="AQ39" s="4">
        <v>209</v>
      </c>
      <c r="AR39" s="4">
        <v>190.2</v>
      </c>
      <c r="AS39" s="4">
        <v>173.6</v>
      </c>
      <c r="AT39" s="4">
        <v>188.5</v>
      </c>
      <c r="AU39" s="4">
        <v>158</v>
      </c>
      <c r="AV39" s="4">
        <v>159.9</v>
      </c>
      <c r="AW39" s="4">
        <v>170.8</v>
      </c>
      <c r="AX39" s="4">
        <v>121.8</v>
      </c>
      <c r="AY39" s="4">
        <v>205.2</v>
      </c>
      <c r="AZ39" s="4">
        <v>190.3</v>
      </c>
      <c r="BA39" s="4">
        <v>175.9</v>
      </c>
      <c r="BF39" s="6">
        <v>2022</v>
      </c>
      <c r="BG39" s="4" t="s">
        <v>44</v>
      </c>
      <c r="BH39" s="4">
        <v>171</v>
      </c>
      <c r="BI39" s="4">
        <v>197.3</v>
      </c>
      <c r="BJ39" s="4">
        <v>168.9</v>
      </c>
      <c r="BM39" s="6">
        <v>2022</v>
      </c>
      <c r="BN39" s="4" t="s">
        <v>44</v>
      </c>
      <c r="BO39" s="4">
        <v>184</v>
      </c>
      <c r="BP39" s="4">
        <v>177</v>
      </c>
      <c r="BQ39" s="4">
        <v>183</v>
      </c>
      <c r="BT39" s="6">
        <v>2022</v>
      </c>
      <c r="BU39" s="4" t="s">
        <v>44</v>
      </c>
      <c r="BV39" s="4">
        <v>170.7</v>
      </c>
      <c r="BW39" s="4">
        <v>182</v>
      </c>
      <c r="BX39" s="4">
        <v>172.1</v>
      </c>
      <c r="BY39" s="4">
        <v>163.4</v>
      </c>
      <c r="BZ39" s="4">
        <v>174.1</v>
      </c>
      <c r="CC39" s="6">
        <v>2022</v>
      </c>
      <c r="CD39" s="4" t="s">
        <v>44</v>
      </c>
      <c r="CE39" s="4">
        <v>181.1</v>
      </c>
      <c r="CF39" s="4">
        <v>175.8</v>
      </c>
      <c r="CI39" s="6">
        <v>2022</v>
      </c>
      <c r="CJ39" s="4" t="s">
        <v>44</v>
      </c>
      <c r="CK39" s="4">
        <v>172</v>
      </c>
      <c r="CL39" s="4">
        <v>175.7</v>
      </c>
    </row>
  </sheetData>
  <mergeCells count="7">
    <mergeCell ref="CI1:CL2"/>
    <mergeCell ref="A1:AD2"/>
    <mergeCell ref="AN1:AZ2"/>
    <mergeCell ref="BF1:BJ2"/>
    <mergeCell ref="BM1:BQ2"/>
    <mergeCell ref="BT1:BY2"/>
    <mergeCell ref="CC1:CF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A848B-9740-45FF-94E2-6E664D4C4269}">
  <dimension ref="A1:CL18"/>
  <sheetViews>
    <sheetView topLeftCell="BR1" zoomScale="71" workbookViewId="0">
      <selection activeCell="CG4" sqref="CG4:CG8"/>
    </sheetView>
  </sheetViews>
  <sheetFormatPr defaultRowHeight="14.4"/>
  <cols>
    <col min="1" max="1" width="10.6640625" customWidth="1"/>
    <col min="2" max="2" width="5" customWidth="1"/>
    <col min="3" max="3" width="7.88671875" customWidth="1"/>
    <col min="4" max="4" width="17.44140625" customWidth="1"/>
    <col min="5" max="5" width="11.6640625" customWidth="1"/>
    <col min="6" max="6" width="6" customWidth="1"/>
    <col min="7" max="7" width="15.109375" customWidth="1"/>
    <col min="8" max="8" width="10.33203125" customWidth="1"/>
    <col min="9" max="9" width="6" customWidth="1"/>
    <col min="10" max="10" width="9.5546875" customWidth="1"/>
    <col min="11" max="11" width="16.77734375" customWidth="1"/>
    <col min="12" max="12" width="20" customWidth="1"/>
    <col min="13" max="13" width="6" customWidth="1"/>
    <col min="14" max="14" width="20.109375" customWidth="1"/>
    <col min="15" max="15" width="29.88671875" customWidth="1"/>
    <col min="16" max="16" width="16.5546875" customWidth="1"/>
    <col min="17" max="17" width="23.77734375" customWidth="1"/>
    <col min="18" max="18" width="7.21875" customWidth="1"/>
    <col min="19" max="19" width="8.21875" customWidth="1"/>
    <col min="20" max="20" width="18.5546875" customWidth="1"/>
    <col min="21" max="21" width="7.109375" customWidth="1"/>
    <col min="22" max="22" width="11.21875" customWidth="1"/>
    <col min="23" max="23" width="24.77734375" customWidth="1"/>
    <col min="24" max="24" width="6" customWidth="1"/>
    <col min="25" max="25" width="24.77734375" customWidth="1"/>
    <col min="26" max="26" width="22.6640625" customWidth="1"/>
    <col min="27" max="27" width="8.77734375" customWidth="1"/>
    <col min="28" max="28" width="20.88671875" customWidth="1"/>
    <col min="29" max="29" width="12.109375" customWidth="1"/>
    <col min="30" max="30" width="11.6640625" customWidth="1"/>
    <col min="31" max="31" width="13.5546875" customWidth="1"/>
    <col min="32" max="32" width="8.5546875" customWidth="1"/>
    <col min="40" max="40" width="5" customWidth="1"/>
    <col min="41" max="41" width="7.88671875" customWidth="1"/>
    <col min="42" max="42" width="17.44140625" customWidth="1"/>
    <col min="43" max="43" width="11.6640625" customWidth="1"/>
    <col min="44" max="44" width="6" customWidth="1"/>
    <col min="45" max="45" width="15.109375" customWidth="1"/>
    <col min="46" max="46" width="10.33203125" customWidth="1"/>
    <col min="47" max="47" width="6" customWidth="1"/>
    <col min="48" max="48" width="9.5546875" customWidth="1"/>
    <col min="49" max="49" width="16.77734375" customWidth="1"/>
    <col min="50" max="50" width="20" customWidth="1"/>
    <col min="51" max="51" width="6" customWidth="1"/>
    <col min="52" max="52" width="29.88671875" customWidth="1"/>
    <col min="53" max="53" width="16.5546875" customWidth="1"/>
    <col min="58" max="58" width="5" customWidth="1"/>
    <col min="59" max="59" width="7.88671875" customWidth="1"/>
    <col min="60" max="60" width="20.109375" customWidth="1"/>
    <col min="61" max="61" width="23.77734375" customWidth="1"/>
    <col min="62" max="62" width="22.6640625" customWidth="1"/>
    <col min="65" max="65" width="5" customWidth="1"/>
    <col min="66" max="66" width="7.88671875" customWidth="1"/>
    <col min="67" max="67" width="7.21875" customWidth="1"/>
    <col min="68" max="68" width="8.21875" customWidth="1"/>
    <col min="69" max="69" width="18.5546875" customWidth="1"/>
    <col min="72" max="72" width="5" customWidth="1"/>
    <col min="73" max="73" width="7.88671875" customWidth="1"/>
    <col min="74" max="74" width="7.109375" customWidth="1"/>
    <col min="75" max="75" width="11.21875" customWidth="1"/>
    <col min="76" max="77" width="24.77734375" customWidth="1"/>
    <col min="78" max="78" width="8.77734375" customWidth="1"/>
    <col min="81" max="81" width="5" customWidth="1"/>
    <col min="82" max="82" width="7.88671875" customWidth="1"/>
    <col min="83" max="83" width="6" customWidth="1"/>
    <col min="84" max="84" width="20.88671875" customWidth="1"/>
    <col min="87" max="87" width="5" customWidth="1"/>
    <col min="88" max="88" width="7.88671875" customWidth="1"/>
    <col min="89" max="89" width="12.109375" customWidth="1"/>
    <col min="90" max="90" width="11.6640625" customWidth="1"/>
  </cols>
  <sheetData>
    <row r="1" spans="1:90" ht="23.4">
      <c r="A1" s="149">
        <v>2023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49"/>
      <c r="AN1" s="141" t="s">
        <v>181</v>
      </c>
      <c r="AO1" s="141"/>
      <c r="AP1" s="141"/>
      <c r="AQ1" s="141"/>
      <c r="AR1" s="141"/>
      <c r="AS1" s="141"/>
      <c r="AT1" s="141"/>
      <c r="AU1" s="141"/>
      <c r="AV1" s="141"/>
      <c r="AW1" s="141"/>
      <c r="AX1" s="141"/>
      <c r="AY1" s="141"/>
      <c r="AZ1" s="141"/>
      <c r="BF1" s="145" t="s">
        <v>186</v>
      </c>
      <c r="BG1" s="145"/>
      <c r="BH1" s="145"/>
      <c r="BI1" s="145"/>
      <c r="BJ1" s="145"/>
      <c r="BM1" s="141" t="s">
        <v>185</v>
      </c>
      <c r="BN1" s="141"/>
      <c r="BO1" s="141"/>
      <c r="BP1" s="141"/>
      <c r="BQ1" s="141"/>
      <c r="BR1" s="48"/>
      <c r="BS1" s="48"/>
      <c r="BT1" s="139" t="s">
        <v>184</v>
      </c>
      <c r="BU1" s="139"/>
      <c r="BV1" s="139"/>
      <c r="BW1" s="139"/>
      <c r="BX1" s="139"/>
      <c r="BY1" s="139"/>
      <c r="BZ1" s="49"/>
      <c r="CC1" s="139" t="s">
        <v>183</v>
      </c>
      <c r="CD1" s="139"/>
      <c r="CE1" s="139"/>
      <c r="CF1" s="139"/>
      <c r="CI1" s="139" t="s">
        <v>182</v>
      </c>
      <c r="CJ1" s="139"/>
      <c r="CK1" s="139"/>
      <c r="CL1" s="139"/>
    </row>
    <row r="2" spans="1:90" ht="23.4">
      <c r="A2" s="150"/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N2" s="142"/>
      <c r="AO2" s="142"/>
      <c r="AP2" s="142"/>
      <c r="AQ2" s="142"/>
      <c r="AR2" s="142"/>
      <c r="AS2" s="142"/>
      <c r="AT2" s="142"/>
      <c r="AU2" s="142"/>
      <c r="AV2" s="142"/>
      <c r="AW2" s="142"/>
      <c r="AX2" s="142"/>
      <c r="AY2" s="142"/>
      <c r="AZ2" s="142"/>
      <c r="BF2" s="146"/>
      <c r="BG2" s="146"/>
      <c r="BH2" s="146"/>
      <c r="BI2" s="146"/>
      <c r="BJ2" s="146"/>
      <c r="BM2" s="142"/>
      <c r="BN2" s="142"/>
      <c r="BO2" s="142"/>
      <c r="BP2" s="142"/>
      <c r="BQ2" s="142"/>
      <c r="BR2" s="48"/>
      <c r="BS2" s="48"/>
      <c r="BT2" s="140"/>
      <c r="BU2" s="140"/>
      <c r="BV2" s="140"/>
      <c r="BW2" s="140"/>
      <c r="BX2" s="140"/>
      <c r="BY2" s="140"/>
      <c r="BZ2" s="49"/>
      <c r="CC2" s="140"/>
      <c r="CD2" s="140"/>
      <c r="CE2" s="140"/>
      <c r="CF2" s="140"/>
      <c r="CI2" s="140"/>
      <c r="CJ2" s="140"/>
      <c r="CK2" s="140"/>
      <c r="CL2" s="140"/>
    </row>
    <row r="3" spans="1:90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14" t="s">
        <v>17</v>
      </c>
      <c r="S3" s="2" t="s">
        <v>18</v>
      </c>
      <c r="T3" s="2" t="s">
        <v>19</v>
      </c>
      <c r="U3" s="2" t="s">
        <v>20</v>
      </c>
      <c r="V3" s="2" t="s">
        <v>21</v>
      </c>
      <c r="W3" s="2" t="s">
        <v>22</v>
      </c>
      <c r="X3" s="2" t="s">
        <v>23</v>
      </c>
      <c r="Y3" s="2" t="s">
        <v>24</v>
      </c>
      <c r="Z3" s="2" t="s">
        <v>25</v>
      </c>
      <c r="AA3" s="2" t="s">
        <v>26</v>
      </c>
      <c r="AB3" s="2" t="s">
        <v>27</v>
      </c>
      <c r="AC3" s="2" t="s">
        <v>28</v>
      </c>
      <c r="AD3" s="2" t="s">
        <v>29</v>
      </c>
      <c r="AE3" s="13" t="s">
        <v>55</v>
      </c>
      <c r="AF3" s="47" t="s">
        <v>54</v>
      </c>
      <c r="AN3" s="2" t="s">
        <v>1</v>
      </c>
      <c r="AO3" s="2" t="s">
        <v>2</v>
      </c>
      <c r="AP3" s="2" t="s">
        <v>3</v>
      </c>
      <c r="AQ3" s="2" t="s">
        <v>4</v>
      </c>
      <c r="AR3" s="2" t="s">
        <v>5</v>
      </c>
      <c r="AS3" s="2" t="s">
        <v>6</v>
      </c>
      <c r="AT3" s="2" t="s">
        <v>7</v>
      </c>
      <c r="AU3" s="2" t="s">
        <v>8</v>
      </c>
      <c r="AV3" s="2" t="s">
        <v>9</v>
      </c>
      <c r="AW3" s="2" t="s">
        <v>10</v>
      </c>
      <c r="AX3" s="2" t="s">
        <v>11</v>
      </c>
      <c r="AY3" s="2" t="s">
        <v>12</v>
      </c>
      <c r="AZ3" s="2" t="s">
        <v>14</v>
      </c>
      <c r="BA3" s="2" t="s">
        <v>15</v>
      </c>
      <c r="BF3" s="2" t="s">
        <v>1</v>
      </c>
      <c r="BG3" s="2" t="s">
        <v>2</v>
      </c>
      <c r="BH3" s="2" t="s">
        <v>13</v>
      </c>
      <c r="BI3" s="2" t="s">
        <v>16</v>
      </c>
      <c r="BJ3" s="2" t="s">
        <v>25</v>
      </c>
      <c r="BM3" s="2" t="s">
        <v>1</v>
      </c>
      <c r="BN3" s="2" t="s">
        <v>2</v>
      </c>
      <c r="BO3" s="14" t="s">
        <v>17</v>
      </c>
      <c r="BP3" s="2" t="s">
        <v>18</v>
      </c>
      <c r="BQ3" s="2" t="s">
        <v>19</v>
      </c>
      <c r="BT3" s="2" t="s">
        <v>1</v>
      </c>
      <c r="BU3" s="2" t="s">
        <v>2</v>
      </c>
      <c r="BV3" s="2" t="s">
        <v>20</v>
      </c>
      <c r="BW3" s="2" t="s">
        <v>21</v>
      </c>
      <c r="BX3" s="2" t="s">
        <v>22</v>
      </c>
      <c r="BY3" s="2" t="s">
        <v>24</v>
      </c>
      <c r="BZ3" s="2" t="s">
        <v>26</v>
      </c>
      <c r="CC3" s="2" t="s">
        <v>1</v>
      </c>
      <c r="CD3" s="2" t="s">
        <v>2</v>
      </c>
      <c r="CE3" s="2" t="s">
        <v>23</v>
      </c>
      <c r="CF3" s="2" t="s">
        <v>27</v>
      </c>
      <c r="CI3" s="2" t="s">
        <v>1</v>
      </c>
      <c r="CJ3" s="2" t="s">
        <v>2</v>
      </c>
      <c r="CK3" s="2" t="s">
        <v>28</v>
      </c>
      <c r="CL3" s="2" t="s">
        <v>29</v>
      </c>
    </row>
    <row r="4" spans="1:90">
      <c r="A4" s="5" t="s">
        <v>30</v>
      </c>
      <c r="B4" s="6">
        <v>2023</v>
      </c>
      <c r="C4" s="6" t="s">
        <v>31</v>
      </c>
      <c r="D4" s="6">
        <v>174</v>
      </c>
      <c r="E4" s="6">
        <v>208.3</v>
      </c>
      <c r="F4" s="6">
        <v>192.9</v>
      </c>
      <c r="G4" s="6">
        <v>174.3</v>
      </c>
      <c r="H4" s="6">
        <v>192.6</v>
      </c>
      <c r="I4" s="6">
        <v>156.30000000000001</v>
      </c>
      <c r="J4" s="6">
        <v>142.9</v>
      </c>
      <c r="K4" s="6">
        <v>170.7</v>
      </c>
      <c r="L4" s="6">
        <v>120.3</v>
      </c>
      <c r="M4" s="6">
        <v>210.5</v>
      </c>
      <c r="N4" s="6">
        <v>176.9</v>
      </c>
      <c r="O4" s="6">
        <v>188.5</v>
      </c>
      <c r="P4" s="6">
        <v>175</v>
      </c>
      <c r="Q4" s="6">
        <v>196.9</v>
      </c>
      <c r="R4" s="6">
        <v>189</v>
      </c>
      <c r="S4" s="6">
        <v>186.3</v>
      </c>
      <c r="T4" s="6">
        <v>188.6</v>
      </c>
      <c r="U4" s="6">
        <v>171.4</v>
      </c>
      <c r="V4" s="6">
        <v>183.2</v>
      </c>
      <c r="W4" s="6">
        <v>177.2</v>
      </c>
      <c r="X4" s="6">
        <v>184.7</v>
      </c>
      <c r="Y4" s="6">
        <v>168.2</v>
      </c>
      <c r="Z4" s="6">
        <v>171.8</v>
      </c>
      <c r="AA4" s="6">
        <v>177.8</v>
      </c>
      <c r="AB4" s="6">
        <v>178.4</v>
      </c>
      <c r="AC4" s="6">
        <v>176.5</v>
      </c>
      <c r="AD4" s="6">
        <v>177.8</v>
      </c>
      <c r="AE4" s="22"/>
      <c r="AN4" s="6">
        <v>2023</v>
      </c>
      <c r="AO4" s="6" t="s">
        <v>31</v>
      </c>
      <c r="AP4" s="6">
        <v>174</v>
      </c>
      <c r="AQ4" s="6">
        <v>208.3</v>
      </c>
      <c r="AR4" s="6">
        <v>192.9</v>
      </c>
      <c r="AS4" s="6">
        <v>174.3</v>
      </c>
      <c r="AT4" s="6">
        <v>192.6</v>
      </c>
      <c r="AU4" s="6">
        <v>156.30000000000001</v>
      </c>
      <c r="AV4" s="6">
        <v>142.9</v>
      </c>
      <c r="AW4" s="6">
        <v>170.7</v>
      </c>
      <c r="AX4" s="6">
        <v>120.3</v>
      </c>
      <c r="AY4" s="6">
        <v>210.5</v>
      </c>
      <c r="AZ4" s="6">
        <v>188.5</v>
      </c>
      <c r="BA4" s="6">
        <v>175</v>
      </c>
      <c r="BB4">
        <f>SUM(AP4:BA6)</f>
        <v>6374.0999999999995</v>
      </c>
      <c r="BF4" s="6">
        <v>2023</v>
      </c>
      <c r="BG4" s="6" t="s">
        <v>31</v>
      </c>
      <c r="BH4" s="6">
        <v>176.9</v>
      </c>
      <c r="BI4" s="6">
        <v>196.9</v>
      </c>
      <c r="BJ4" s="6">
        <v>171.8</v>
      </c>
      <c r="BK4">
        <f>SUM(BH4:BJ6)</f>
        <v>1617.8000000000002</v>
      </c>
      <c r="BM4" s="6">
        <v>2023</v>
      </c>
      <c r="BN4" s="6" t="s">
        <v>31</v>
      </c>
      <c r="BO4" s="6">
        <v>189</v>
      </c>
      <c r="BP4" s="6">
        <v>186.3</v>
      </c>
      <c r="BQ4" s="6">
        <v>188.6</v>
      </c>
      <c r="BR4">
        <f>SUM(BO4:BQ6)</f>
        <v>1630.7999999999997</v>
      </c>
      <c r="BT4" s="6">
        <v>2023</v>
      </c>
      <c r="BU4" s="6" t="s">
        <v>31</v>
      </c>
      <c r="BV4" s="6">
        <v>171.4</v>
      </c>
      <c r="BW4" s="6">
        <v>183.2</v>
      </c>
      <c r="BX4" s="6">
        <v>177.2</v>
      </c>
      <c r="BY4" s="6">
        <v>168.2</v>
      </c>
      <c r="BZ4" s="6">
        <v>177.8</v>
      </c>
      <c r="CA4">
        <f>SUM(BV4:BZ6)</f>
        <v>2594.1999999999998</v>
      </c>
      <c r="CC4" s="6">
        <v>2023</v>
      </c>
      <c r="CD4" s="6" t="s">
        <v>31</v>
      </c>
      <c r="CE4" s="6">
        <v>184.7</v>
      </c>
      <c r="CF4" s="6">
        <v>178.4</v>
      </c>
      <c r="CG4">
        <f>SUM(CE4:CF6)</f>
        <v>1081.3</v>
      </c>
      <c r="CI4" s="6">
        <v>2023</v>
      </c>
      <c r="CJ4" s="6" t="s">
        <v>31</v>
      </c>
      <c r="CK4" s="6">
        <v>176.5</v>
      </c>
      <c r="CL4" s="6">
        <v>177.8</v>
      </c>
    </row>
    <row r="5" spans="1:90">
      <c r="A5" s="3" t="s">
        <v>32</v>
      </c>
      <c r="B5" s="4">
        <v>2023</v>
      </c>
      <c r="C5" s="4" t="s">
        <v>31</v>
      </c>
      <c r="D5" s="4">
        <v>173.3</v>
      </c>
      <c r="E5" s="4">
        <v>215.2</v>
      </c>
      <c r="F5" s="4">
        <v>197</v>
      </c>
      <c r="G5" s="4">
        <v>175.2</v>
      </c>
      <c r="H5" s="4">
        <v>178</v>
      </c>
      <c r="I5" s="4">
        <v>160.5</v>
      </c>
      <c r="J5" s="4">
        <v>175.3</v>
      </c>
      <c r="K5" s="4">
        <v>171.2</v>
      </c>
      <c r="L5" s="4">
        <v>122.7</v>
      </c>
      <c r="M5" s="4">
        <v>204.3</v>
      </c>
      <c r="N5" s="4">
        <v>163.69999999999999</v>
      </c>
      <c r="O5" s="4">
        <v>194.3</v>
      </c>
      <c r="P5" s="4">
        <v>179.5</v>
      </c>
      <c r="Q5" s="4">
        <v>201.6</v>
      </c>
      <c r="R5" s="4">
        <v>178.7</v>
      </c>
      <c r="S5" s="4">
        <v>165.3</v>
      </c>
      <c r="T5" s="4">
        <v>176.6</v>
      </c>
      <c r="U5" s="4">
        <v>172.1</v>
      </c>
      <c r="V5" s="4">
        <v>180.1</v>
      </c>
      <c r="W5" s="4">
        <v>168</v>
      </c>
      <c r="X5" s="4">
        <v>178.5</v>
      </c>
      <c r="Y5" s="4">
        <v>159.5</v>
      </c>
      <c r="Z5" s="4">
        <v>167.8</v>
      </c>
      <c r="AA5" s="4">
        <v>171.8</v>
      </c>
      <c r="AB5" s="4">
        <v>178.8</v>
      </c>
      <c r="AC5" s="4">
        <v>168.9</v>
      </c>
      <c r="AD5" s="4">
        <v>174.9</v>
      </c>
      <c r="AE5" s="23"/>
      <c r="AN5" s="4">
        <v>2023</v>
      </c>
      <c r="AO5" s="4" t="s">
        <v>31</v>
      </c>
      <c r="AP5" s="4">
        <v>173.3</v>
      </c>
      <c r="AQ5" s="4">
        <v>215.2</v>
      </c>
      <c r="AR5" s="4">
        <v>197</v>
      </c>
      <c r="AS5" s="4">
        <v>175.2</v>
      </c>
      <c r="AT5" s="4">
        <v>178</v>
      </c>
      <c r="AU5" s="4">
        <v>160.5</v>
      </c>
      <c r="AV5" s="4">
        <v>175.3</v>
      </c>
      <c r="AW5" s="4">
        <v>171.2</v>
      </c>
      <c r="AX5" s="4">
        <v>122.7</v>
      </c>
      <c r="AY5" s="4">
        <v>204.3</v>
      </c>
      <c r="AZ5" s="4">
        <v>194.3</v>
      </c>
      <c r="BA5" s="4">
        <v>179.5</v>
      </c>
      <c r="BB5">
        <f>SUM(AP7:BA9)</f>
        <v>6333.1999999999989</v>
      </c>
      <c r="BF5" s="4">
        <v>2023</v>
      </c>
      <c r="BG5" s="4" t="s">
        <v>31</v>
      </c>
      <c r="BH5" s="4">
        <v>163.69999999999999</v>
      </c>
      <c r="BI5" s="4">
        <v>201.6</v>
      </c>
      <c r="BJ5" s="4">
        <v>167.8</v>
      </c>
      <c r="BK5">
        <f>SUM(BH7:BJ9)</f>
        <v>1626.8</v>
      </c>
      <c r="BM5" s="4">
        <v>2023</v>
      </c>
      <c r="BN5" s="4" t="s">
        <v>31</v>
      </c>
      <c r="BO5" s="4">
        <v>178.7</v>
      </c>
      <c r="BP5" s="4">
        <v>165.3</v>
      </c>
      <c r="BQ5" s="4">
        <v>176.6</v>
      </c>
      <c r="BR5">
        <f>SUM(BO7:BQ9)</f>
        <v>1642.1000000000001</v>
      </c>
      <c r="BT5" s="4">
        <v>2023</v>
      </c>
      <c r="BU5" s="4" t="s">
        <v>31</v>
      </c>
      <c r="BV5" s="4">
        <v>172.1</v>
      </c>
      <c r="BW5" s="4">
        <v>180.1</v>
      </c>
      <c r="BX5" s="4">
        <v>168</v>
      </c>
      <c r="BY5" s="4">
        <v>159.5</v>
      </c>
      <c r="BZ5" s="4">
        <v>171.8</v>
      </c>
      <c r="CA5">
        <f>SUM(BV7:BZ9)</f>
        <v>2607.9999999999995</v>
      </c>
      <c r="CC5" s="4">
        <v>2023</v>
      </c>
      <c r="CD5" s="4" t="s">
        <v>31</v>
      </c>
      <c r="CE5" s="4">
        <v>178.5</v>
      </c>
      <c r="CF5" s="4">
        <v>178.8</v>
      </c>
      <c r="CG5">
        <f>SUM(CE7:CF9)</f>
        <v>1094.8999999999999</v>
      </c>
      <c r="CI5" s="4">
        <v>2023</v>
      </c>
      <c r="CJ5" s="4" t="s">
        <v>31</v>
      </c>
      <c r="CK5" s="4">
        <v>168.9</v>
      </c>
      <c r="CL5" s="4">
        <v>174.9</v>
      </c>
    </row>
    <row r="6" spans="1:90">
      <c r="A6" s="5" t="s">
        <v>33</v>
      </c>
      <c r="B6" s="6">
        <v>2023</v>
      </c>
      <c r="C6" s="6" t="s">
        <v>31</v>
      </c>
      <c r="D6" s="6">
        <v>173.8</v>
      </c>
      <c r="E6" s="6">
        <v>210.7</v>
      </c>
      <c r="F6" s="6">
        <v>194.5</v>
      </c>
      <c r="G6" s="6">
        <v>174.6</v>
      </c>
      <c r="H6" s="6">
        <v>187.2</v>
      </c>
      <c r="I6" s="6">
        <v>158.30000000000001</v>
      </c>
      <c r="J6" s="6">
        <v>153.9</v>
      </c>
      <c r="K6" s="6">
        <v>170.9</v>
      </c>
      <c r="L6" s="6">
        <v>121.1</v>
      </c>
      <c r="M6" s="6">
        <v>208.4</v>
      </c>
      <c r="N6" s="6">
        <v>171.4</v>
      </c>
      <c r="O6" s="6">
        <v>191.2</v>
      </c>
      <c r="P6" s="6">
        <v>176.7</v>
      </c>
      <c r="Q6" s="6">
        <v>198.2</v>
      </c>
      <c r="R6" s="6">
        <v>184.9</v>
      </c>
      <c r="S6" s="6">
        <v>177.6</v>
      </c>
      <c r="T6" s="6">
        <v>183.8</v>
      </c>
      <c r="U6" s="6">
        <v>172.1</v>
      </c>
      <c r="V6" s="6">
        <v>182</v>
      </c>
      <c r="W6" s="6">
        <v>172.9</v>
      </c>
      <c r="X6" s="6">
        <v>182.3</v>
      </c>
      <c r="Y6" s="6">
        <v>163.6</v>
      </c>
      <c r="Z6" s="6">
        <v>169.5</v>
      </c>
      <c r="AA6" s="6">
        <v>174.3</v>
      </c>
      <c r="AB6" s="6">
        <v>178.6</v>
      </c>
      <c r="AC6" s="6">
        <v>172.8</v>
      </c>
      <c r="AD6" s="6">
        <v>176.5</v>
      </c>
      <c r="AE6" s="22"/>
      <c r="AN6" s="6">
        <v>2023</v>
      </c>
      <c r="AO6" s="6" t="s">
        <v>31</v>
      </c>
      <c r="AP6" s="6">
        <v>173.8</v>
      </c>
      <c r="AQ6" s="6">
        <v>210.7</v>
      </c>
      <c r="AR6" s="6">
        <v>194.5</v>
      </c>
      <c r="AS6" s="6">
        <v>174.6</v>
      </c>
      <c r="AT6" s="6">
        <v>187.2</v>
      </c>
      <c r="AU6" s="6">
        <v>158.30000000000001</v>
      </c>
      <c r="AV6" s="6">
        <v>153.9</v>
      </c>
      <c r="AW6" s="6">
        <v>170.9</v>
      </c>
      <c r="AX6" s="6">
        <v>121.1</v>
      </c>
      <c r="AY6" s="6">
        <v>208.4</v>
      </c>
      <c r="AZ6" s="6">
        <v>191.2</v>
      </c>
      <c r="BA6" s="6">
        <v>176.7</v>
      </c>
      <c r="BB6">
        <f>SUM(AP10:BA12)</f>
        <v>6333.5999999999995</v>
      </c>
      <c r="BF6" s="6">
        <v>2023</v>
      </c>
      <c r="BG6" s="6" t="s">
        <v>31</v>
      </c>
      <c r="BH6" s="6">
        <v>171.4</v>
      </c>
      <c r="BI6" s="6">
        <v>198.2</v>
      </c>
      <c r="BJ6" s="6">
        <v>169.5</v>
      </c>
      <c r="BK6">
        <f>SUM(BH10:BJ12)</f>
        <v>1626.8999999999999</v>
      </c>
      <c r="BM6" s="6">
        <v>2023</v>
      </c>
      <c r="BN6" s="6" t="s">
        <v>31</v>
      </c>
      <c r="BO6" s="6">
        <v>184.9</v>
      </c>
      <c r="BP6" s="6">
        <v>177.6</v>
      </c>
      <c r="BQ6" s="6">
        <v>183.8</v>
      </c>
      <c r="BR6">
        <f>SUM(BO10:BQ12)</f>
        <v>1641.8999999999999</v>
      </c>
      <c r="BT6" s="6">
        <v>2023</v>
      </c>
      <c r="BU6" s="6" t="s">
        <v>31</v>
      </c>
      <c r="BV6" s="6">
        <v>172.1</v>
      </c>
      <c r="BW6" s="6">
        <v>182</v>
      </c>
      <c r="BX6" s="6">
        <v>172.9</v>
      </c>
      <c r="BY6" s="6">
        <v>163.6</v>
      </c>
      <c r="BZ6" s="6">
        <v>174.3</v>
      </c>
      <c r="CA6">
        <f>SUM(BV10:BZ12)</f>
        <v>2607.3999999999996</v>
      </c>
      <c r="CC6" s="6">
        <v>2023</v>
      </c>
      <c r="CD6" s="6" t="s">
        <v>31</v>
      </c>
      <c r="CE6" s="6">
        <v>182.3</v>
      </c>
      <c r="CF6" s="6">
        <v>178.6</v>
      </c>
      <c r="CG6">
        <f>SUM(CE10:CF12)</f>
        <v>1095</v>
      </c>
      <c r="CI6" s="6">
        <v>2023</v>
      </c>
      <c r="CJ6" s="6" t="s">
        <v>31</v>
      </c>
      <c r="CK6" s="6">
        <v>172.8</v>
      </c>
      <c r="CL6" s="6">
        <v>176.5</v>
      </c>
    </row>
    <row r="7" spans="1:90">
      <c r="A7" s="3" t="s">
        <v>30</v>
      </c>
      <c r="B7" s="4">
        <v>2023</v>
      </c>
      <c r="C7" s="4" t="s">
        <v>34</v>
      </c>
      <c r="D7" s="4">
        <v>174.2</v>
      </c>
      <c r="E7" s="4">
        <v>205.2</v>
      </c>
      <c r="F7" s="4">
        <v>173.9</v>
      </c>
      <c r="G7" s="4">
        <v>177</v>
      </c>
      <c r="H7" s="4">
        <v>183.4</v>
      </c>
      <c r="I7" s="4">
        <v>167.2</v>
      </c>
      <c r="J7" s="4">
        <v>140.9</v>
      </c>
      <c r="K7" s="4">
        <v>170.4</v>
      </c>
      <c r="L7" s="4">
        <v>119.1</v>
      </c>
      <c r="M7" s="4">
        <v>212.1</v>
      </c>
      <c r="N7" s="4">
        <v>177.6</v>
      </c>
      <c r="O7" s="4">
        <v>189.9</v>
      </c>
      <c r="P7" s="4">
        <v>174.8</v>
      </c>
      <c r="Q7" s="4">
        <v>198.3</v>
      </c>
      <c r="R7" s="4">
        <v>190</v>
      </c>
      <c r="S7" s="4">
        <v>187</v>
      </c>
      <c r="T7" s="4">
        <v>189.6</v>
      </c>
      <c r="U7" s="4">
        <v>173.5</v>
      </c>
      <c r="V7" s="4">
        <v>181.6</v>
      </c>
      <c r="W7" s="4">
        <v>178.6</v>
      </c>
      <c r="X7" s="4">
        <v>186.6</v>
      </c>
      <c r="Y7" s="4">
        <v>169</v>
      </c>
      <c r="Z7" s="4">
        <v>172.8</v>
      </c>
      <c r="AA7" s="4">
        <v>178.5</v>
      </c>
      <c r="AB7" s="4">
        <v>180.7</v>
      </c>
      <c r="AC7" s="4">
        <v>177.9</v>
      </c>
      <c r="AD7" s="4">
        <v>178</v>
      </c>
      <c r="AE7" s="23"/>
      <c r="AN7" s="4">
        <v>2023</v>
      </c>
      <c r="AO7" s="4" t="s">
        <v>34</v>
      </c>
      <c r="AP7" s="4">
        <v>174.2</v>
      </c>
      <c r="AQ7" s="4">
        <v>205.2</v>
      </c>
      <c r="AR7" s="4">
        <v>173.9</v>
      </c>
      <c r="AS7" s="4">
        <v>177</v>
      </c>
      <c r="AT7" s="4">
        <v>183.4</v>
      </c>
      <c r="AU7" s="4">
        <v>167.2</v>
      </c>
      <c r="AV7" s="4">
        <v>140.9</v>
      </c>
      <c r="AW7" s="4">
        <v>170.4</v>
      </c>
      <c r="AX7" s="4">
        <v>119.1</v>
      </c>
      <c r="AY7" s="4">
        <v>212.1</v>
      </c>
      <c r="AZ7" s="4">
        <v>189.9</v>
      </c>
      <c r="BA7" s="4">
        <v>174.8</v>
      </c>
      <c r="BB7">
        <f>SUM(AP13:BA15)</f>
        <v>6364.8999999999987</v>
      </c>
      <c r="BF7" s="4">
        <v>2023</v>
      </c>
      <c r="BG7" s="4" t="s">
        <v>34</v>
      </c>
      <c r="BH7" s="4">
        <v>177.6</v>
      </c>
      <c r="BI7" s="4">
        <v>198.3</v>
      </c>
      <c r="BJ7" s="4">
        <v>172.8</v>
      </c>
      <c r="BK7">
        <f>SUM(BH13:BJ15)</f>
        <v>1632.9</v>
      </c>
      <c r="BM7" s="4">
        <v>2023</v>
      </c>
      <c r="BN7" s="4" t="s">
        <v>34</v>
      </c>
      <c r="BO7" s="4">
        <v>190</v>
      </c>
      <c r="BP7" s="4">
        <v>187</v>
      </c>
      <c r="BQ7" s="4">
        <v>189.6</v>
      </c>
      <c r="BR7">
        <f>SUM(BO13:BQ15)</f>
        <v>1647.6000000000004</v>
      </c>
      <c r="BT7" s="4">
        <v>2023</v>
      </c>
      <c r="BU7" s="4" t="s">
        <v>34</v>
      </c>
      <c r="BV7" s="4">
        <v>173.5</v>
      </c>
      <c r="BW7" s="4">
        <v>181.6</v>
      </c>
      <c r="BX7" s="4">
        <v>178.6</v>
      </c>
      <c r="BY7" s="4">
        <v>169</v>
      </c>
      <c r="BZ7" s="4">
        <v>178.5</v>
      </c>
      <c r="CA7">
        <f>SUM(BV13:BZ15)</f>
        <v>2618.3999999999996</v>
      </c>
      <c r="CC7" s="4">
        <v>2023</v>
      </c>
      <c r="CD7" s="4" t="s">
        <v>34</v>
      </c>
      <c r="CE7" s="4">
        <v>186.6</v>
      </c>
      <c r="CF7" s="4">
        <v>180.7</v>
      </c>
      <c r="CG7">
        <f>SUM(CE13:CF15)</f>
        <v>1105.9000000000001</v>
      </c>
      <c r="CI7" s="4">
        <v>2023</v>
      </c>
      <c r="CJ7" s="4" t="s">
        <v>34</v>
      </c>
      <c r="CK7" s="4">
        <v>177.9</v>
      </c>
      <c r="CL7" s="4">
        <v>178</v>
      </c>
    </row>
    <row r="8" spans="1:90">
      <c r="A8" s="5" t="s">
        <v>32</v>
      </c>
      <c r="B8" s="6">
        <v>2023</v>
      </c>
      <c r="C8" s="6" t="s">
        <v>34</v>
      </c>
      <c r="D8" s="6">
        <v>174.7</v>
      </c>
      <c r="E8" s="6">
        <v>212.2</v>
      </c>
      <c r="F8" s="6">
        <v>177.2</v>
      </c>
      <c r="G8" s="6">
        <v>177.9</v>
      </c>
      <c r="H8" s="6">
        <v>172.2</v>
      </c>
      <c r="I8" s="6">
        <v>172.1</v>
      </c>
      <c r="J8" s="6">
        <v>175.8</v>
      </c>
      <c r="K8" s="6">
        <v>172.2</v>
      </c>
      <c r="L8" s="6">
        <v>121.9</v>
      </c>
      <c r="M8" s="6">
        <v>204.8</v>
      </c>
      <c r="N8" s="6">
        <v>164.9</v>
      </c>
      <c r="O8" s="6">
        <v>196.6</v>
      </c>
      <c r="P8" s="6">
        <v>180.7</v>
      </c>
      <c r="Q8" s="6">
        <v>202.7</v>
      </c>
      <c r="R8" s="6">
        <v>180.3</v>
      </c>
      <c r="S8" s="6">
        <v>167</v>
      </c>
      <c r="T8" s="6">
        <v>178.2</v>
      </c>
      <c r="U8" s="6">
        <v>173.5</v>
      </c>
      <c r="V8" s="6">
        <v>182.8</v>
      </c>
      <c r="W8" s="6">
        <v>169.2</v>
      </c>
      <c r="X8" s="6">
        <v>180.8</v>
      </c>
      <c r="Y8" s="6">
        <v>159.80000000000001</v>
      </c>
      <c r="Z8" s="6">
        <v>168.4</v>
      </c>
      <c r="AA8" s="6">
        <v>172.5</v>
      </c>
      <c r="AB8" s="6">
        <v>181.4</v>
      </c>
      <c r="AC8" s="6">
        <v>170</v>
      </c>
      <c r="AD8" s="6">
        <v>176.3</v>
      </c>
      <c r="AE8" s="22"/>
      <c r="AN8" s="6">
        <v>2023</v>
      </c>
      <c r="AO8" s="6" t="s">
        <v>34</v>
      </c>
      <c r="AP8" s="6">
        <v>174.7</v>
      </c>
      <c r="AQ8" s="6">
        <v>212.2</v>
      </c>
      <c r="AR8" s="6">
        <v>177.2</v>
      </c>
      <c r="AS8" s="6">
        <v>177.9</v>
      </c>
      <c r="AT8" s="6">
        <v>172.2</v>
      </c>
      <c r="AU8" s="6">
        <v>172.1</v>
      </c>
      <c r="AV8" s="6">
        <v>175.8</v>
      </c>
      <c r="AW8" s="6">
        <v>172.2</v>
      </c>
      <c r="AX8" s="6">
        <v>121.9</v>
      </c>
      <c r="AY8" s="6">
        <v>204.8</v>
      </c>
      <c r="AZ8" s="6">
        <v>196.6</v>
      </c>
      <c r="BA8" s="6">
        <v>180.7</v>
      </c>
      <c r="BB8">
        <f>SUM(AP16:BA18)</f>
        <v>6414.7000000000007</v>
      </c>
      <c r="BF8" s="6">
        <v>2023</v>
      </c>
      <c r="BG8" s="6" t="s">
        <v>34</v>
      </c>
      <c r="BH8" s="6">
        <v>164.9</v>
      </c>
      <c r="BI8" s="6">
        <v>202.7</v>
      </c>
      <c r="BJ8" s="6">
        <v>168.4</v>
      </c>
      <c r="BK8">
        <f>SUM(BH16:BJ18)</f>
        <v>1637.3000000000002</v>
      </c>
      <c r="BM8" s="6">
        <v>2023</v>
      </c>
      <c r="BN8" s="6" t="s">
        <v>34</v>
      </c>
      <c r="BO8" s="6">
        <v>180.3</v>
      </c>
      <c r="BP8" s="6">
        <v>167</v>
      </c>
      <c r="BQ8" s="6">
        <v>178.2</v>
      </c>
      <c r="BR8">
        <f>SUM(BO16:BQ18)</f>
        <v>1651.8000000000002</v>
      </c>
      <c r="BT8" s="6">
        <v>2023</v>
      </c>
      <c r="BU8" s="6" t="s">
        <v>34</v>
      </c>
      <c r="BV8" s="6">
        <v>173.5</v>
      </c>
      <c r="BW8" s="6">
        <v>182.8</v>
      </c>
      <c r="BX8" s="6">
        <v>169.2</v>
      </c>
      <c r="BY8" s="6">
        <v>159.80000000000001</v>
      </c>
      <c r="BZ8" s="6">
        <v>172.5</v>
      </c>
      <c r="CA8">
        <f>SUM(BV16:BZ18)</f>
        <v>2627.5</v>
      </c>
      <c r="CC8" s="6">
        <v>2023</v>
      </c>
      <c r="CD8" s="6" t="s">
        <v>34</v>
      </c>
      <c r="CE8" s="6">
        <v>180.8</v>
      </c>
      <c r="CF8" s="6">
        <v>181.4</v>
      </c>
      <c r="CG8">
        <f>SUM(CE16:CF18)</f>
        <v>1111.4000000000001</v>
      </c>
      <c r="CI8" s="6">
        <v>2023</v>
      </c>
      <c r="CJ8" s="6" t="s">
        <v>34</v>
      </c>
      <c r="CK8" s="6">
        <v>170</v>
      </c>
      <c r="CL8" s="6">
        <v>176.3</v>
      </c>
    </row>
    <row r="9" spans="1:90">
      <c r="A9" s="3" t="s">
        <v>33</v>
      </c>
      <c r="B9" s="4">
        <v>2023</v>
      </c>
      <c r="C9" s="4" t="s">
        <v>34</v>
      </c>
      <c r="D9" s="4">
        <v>174.4</v>
      </c>
      <c r="E9" s="4">
        <v>207.7</v>
      </c>
      <c r="F9" s="4">
        <v>175.2</v>
      </c>
      <c r="G9" s="4">
        <v>177.3</v>
      </c>
      <c r="H9" s="4">
        <v>179.3</v>
      </c>
      <c r="I9" s="4">
        <v>169.5</v>
      </c>
      <c r="J9" s="4">
        <v>152.69999999999999</v>
      </c>
      <c r="K9" s="4">
        <v>171</v>
      </c>
      <c r="L9" s="4">
        <v>120</v>
      </c>
      <c r="M9" s="4">
        <v>209.7</v>
      </c>
      <c r="N9" s="4">
        <v>172.3</v>
      </c>
      <c r="O9" s="4">
        <v>193</v>
      </c>
      <c r="P9" s="4">
        <v>177</v>
      </c>
      <c r="Q9" s="4">
        <v>199.5</v>
      </c>
      <c r="R9" s="4">
        <v>186.2</v>
      </c>
      <c r="S9" s="4">
        <v>178.7</v>
      </c>
      <c r="T9" s="4">
        <v>185.1</v>
      </c>
      <c r="U9" s="4">
        <v>173.5</v>
      </c>
      <c r="V9" s="4">
        <v>182.1</v>
      </c>
      <c r="W9" s="4">
        <v>174.2</v>
      </c>
      <c r="X9" s="4">
        <v>184.4</v>
      </c>
      <c r="Y9" s="4">
        <v>164.2</v>
      </c>
      <c r="Z9" s="4">
        <v>170.3</v>
      </c>
      <c r="AA9" s="4">
        <v>175</v>
      </c>
      <c r="AB9" s="4">
        <v>181</v>
      </c>
      <c r="AC9" s="4">
        <v>174.1</v>
      </c>
      <c r="AD9" s="4">
        <v>177.2</v>
      </c>
      <c r="AE9" s="23"/>
      <c r="AN9" s="4">
        <v>2023</v>
      </c>
      <c r="AO9" s="4" t="s">
        <v>34</v>
      </c>
      <c r="AP9" s="4">
        <v>174.4</v>
      </c>
      <c r="AQ9" s="4">
        <v>207.7</v>
      </c>
      <c r="AR9" s="4">
        <v>175.2</v>
      </c>
      <c r="AS9" s="4">
        <v>177.3</v>
      </c>
      <c r="AT9" s="4">
        <v>179.3</v>
      </c>
      <c r="AU9" s="4">
        <v>169.5</v>
      </c>
      <c r="AV9" s="4">
        <v>152.69999999999999</v>
      </c>
      <c r="AW9" s="4">
        <v>171</v>
      </c>
      <c r="AX9" s="4">
        <v>120</v>
      </c>
      <c r="AY9" s="4">
        <v>209.7</v>
      </c>
      <c r="AZ9" s="4">
        <v>193</v>
      </c>
      <c r="BA9" s="4">
        <v>177</v>
      </c>
      <c r="BF9" s="4">
        <v>2023</v>
      </c>
      <c r="BG9" s="4" t="s">
        <v>34</v>
      </c>
      <c r="BH9" s="4">
        <v>172.3</v>
      </c>
      <c r="BI9" s="4">
        <v>199.5</v>
      </c>
      <c r="BJ9" s="4">
        <v>170.3</v>
      </c>
      <c r="BM9" s="4">
        <v>2023</v>
      </c>
      <c r="BN9" s="4" t="s">
        <v>34</v>
      </c>
      <c r="BO9" s="4">
        <v>186.2</v>
      </c>
      <c r="BP9" s="4">
        <v>178.7</v>
      </c>
      <c r="BQ9" s="4">
        <v>185.1</v>
      </c>
      <c r="BT9" s="4">
        <v>2023</v>
      </c>
      <c r="BU9" s="4" t="s">
        <v>34</v>
      </c>
      <c r="BV9" s="4">
        <v>173.5</v>
      </c>
      <c r="BW9" s="4">
        <v>182.1</v>
      </c>
      <c r="BX9" s="4">
        <v>174.2</v>
      </c>
      <c r="BY9" s="4">
        <v>164.2</v>
      </c>
      <c r="BZ9" s="4">
        <v>175</v>
      </c>
      <c r="CC9" s="4">
        <v>2023</v>
      </c>
      <c r="CD9" s="4" t="s">
        <v>34</v>
      </c>
      <c r="CE9" s="4">
        <v>184.4</v>
      </c>
      <c r="CF9" s="4">
        <v>181</v>
      </c>
      <c r="CI9" s="4">
        <v>2023</v>
      </c>
      <c r="CJ9" s="4" t="s">
        <v>34</v>
      </c>
      <c r="CK9" s="4">
        <v>174.1</v>
      </c>
      <c r="CL9" s="4">
        <v>177.2</v>
      </c>
    </row>
    <row r="10" spans="1:90">
      <c r="A10" s="5" t="s">
        <v>30</v>
      </c>
      <c r="B10" s="6">
        <v>2023</v>
      </c>
      <c r="C10" s="6" t="s">
        <v>35</v>
      </c>
      <c r="D10" s="6">
        <v>174.3</v>
      </c>
      <c r="E10" s="6">
        <v>205.2</v>
      </c>
      <c r="F10" s="6">
        <v>173.9</v>
      </c>
      <c r="G10" s="6">
        <v>177</v>
      </c>
      <c r="H10" s="6">
        <v>183.3</v>
      </c>
      <c r="I10" s="6">
        <v>167.2</v>
      </c>
      <c r="J10" s="6">
        <v>140.9</v>
      </c>
      <c r="K10" s="6">
        <v>170.5</v>
      </c>
      <c r="L10" s="6">
        <v>119.1</v>
      </c>
      <c r="M10" s="6">
        <v>212.1</v>
      </c>
      <c r="N10" s="6">
        <v>177.6</v>
      </c>
      <c r="O10" s="6">
        <v>189.9</v>
      </c>
      <c r="P10" s="6">
        <v>174.8</v>
      </c>
      <c r="Q10" s="6">
        <v>198.4</v>
      </c>
      <c r="R10" s="6">
        <v>190</v>
      </c>
      <c r="S10" s="6">
        <v>187</v>
      </c>
      <c r="T10" s="6">
        <v>189.6</v>
      </c>
      <c r="U10" s="6">
        <v>173.5</v>
      </c>
      <c r="V10" s="6">
        <v>181.4</v>
      </c>
      <c r="W10" s="6">
        <v>178.6</v>
      </c>
      <c r="X10" s="6">
        <v>186.6</v>
      </c>
      <c r="Y10" s="6">
        <v>169</v>
      </c>
      <c r="Z10" s="6">
        <v>172.8</v>
      </c>
      <c r="AA10" s="6">
        <v>178.5</v>
      </c>
      <c r="AB10" s="6">
        <v>180.7</v>
      </c>
      <c r="AC10" s="6">
        <v>177.9</v>
      </c>
      <c r="AD10" s="6">
        <v>178</v>
      </c>
      <c r="AE10" s="22"/>
      <c r="AN10" s="6">
        <v>2023</v>
      </c>
      <c r="AO10" s="6" t="s">
        <v>35</v>
      </c>
      <c r="AP10" s="6">
        <v>174.3</v>
      </c>
      <c r="AQ10" s="6">
        <v>205.2</v>
      </c>
      <c r="AR10" s="6">
        <v>173.9</v>
      </c>
      <c r="AS10" s="6">
        <v>177</v>
      </c>
      <c r="AT10" s="6">
        <v>183.3</v>
      </c>
      <c r="AU10" s="6">
        <v>167.2</v>
      </c>
      <c r="AV10" s="6">
        <v>140.9</v>
      </c>
      <c r="AW10" s="6">
        <v>170.5</v>
      </c>
      <c r="AX10" s="6">
        <v>119.1</v>
      </c>
      <c r="AY10" s="6">
        <v>212.1</v>
      </c>
      <c r="AZ10" s="6">
        <v>189.9</v>
      </c>
      <c r="BA10" s="6">
        <v>174.8</v>
      </c>
      <c r="BF10" s="6">
        <v>2023</v>
      </c>
      <c r="BG10" s="6" t="s">
        <v>35</v>
      </c>
      <c r="BH10" s="6">
        <v>177.6</v>
      </c>
      <c r="BI10" s="6">
        <v>198.4</v>
      </c>
      <c r="BJ10" s="6">
        <v>172.8</v>
      </c>
      <c r="BM10" s="6">
        <v>2023</v>
      </c>
      <c r="BN10" s="6" t="s">
        <v>35</v>
      </c>
      <c r="BO10" s="6">
        <v>190</v>
      </c>
      <c r="BP10" s="6">
        <v>187</v>
      </c>
      <c r="BQ10" s="6">
        <v>189.6</v>
      </c>
      <c r="BT10" s="6">
        <v>2023</v>
      </c>
      <c r="BU10" s="6" t="s">
        <v>35</v>
      </c>
      <c r="BV10" s="6">
        <v>173.5</v>
      </c>
      <c r="BW10" s="6">
        <v>181.4</v>
      </c>
      <c r="BX10" s="6">
        <v>178.6</v>
      </c>
      <c r="BY10" s="6">
        <v>169</v>
      </c>
      <c r="BZ10" s="6">
        <v>178.5</v>
      </c>
      <c r="CC10" s="6">
        <v>2023</v>
      </c>
      <c r="CD10" s="6" t="s">
        <v>35</v>
      </c>
      <c r="CE10" s="6">
        <v>186.6</v>
      </c>
      <c r="CF10" s="6">
        <v>180.7</v>
      </c>
      <c r="CI10" s="6">
        <v>2023</v>
      </c>
      <c r="CJ10" s="6" t="s">
        <v>35</v>
      </c>
      <c r="CK10" s="6">
        <v>177.9</v>
      </c>
      <c r="CL10" s="6">
        <v>178</v>
      </c>
    </row>
    <row r="11" spans="1:90">
      <c r="A11" s="3" t="s">
        <v>32</v>
      </c>
      <c r="B11" s="4">
        <v>2023</v>
      </c>
      <c r="C11" s="4" t="s">
        <v>35</v>
      </c>
      <c r="D11" s="4">
        <v>174.7</v>
      </c>
      <c r="E11" s="4">
        <v>212.2</v>
      </c>
      <c r="F11" s="4">
        <v>177.2</v>
      </c>
      <c r="G11" s="4">
        <v>177.9</v>
      </c>
      <c r="H11" s="4">
        <v>172.2</v>
      </c>
      <c r="I11" s="4">
        <v>172.1</v>
      </c>
      <c r="J11" s="4">
        <v>175.9</v>
      </c>
      <c r="K11" s="4">
        <v>172.2</v>
      </c>
      <c r="L11" s="4">
        <v>121.9</v>
      </c>
      <c r="M11" s="4">
        <v>204.8</v>
      </c>
      <c r="N11" s="4">
        <v>164.9</v>
      </c>
      <c r="O11" s="4">
        <v>196.6</v>
      </c>
      <c r="P11" s="4">
        <v>180.8</v>
      </c>
      <c r="Q11" s="4">
        <v>202.7</v>
      </c>
      <c r="R11" s="4">
        <v>180.2</v>
      </c>
      <c r="S11" s="4">
        <v>167</v>
      </c>
      <c r="T11" s="4">
        <v>178.2</v>
      </c>
      <c r="U11" s="4">
        <v>173.5</v>
      </c>
      <c r="V11" s="4">
        <v>182.6</v>
      </c>
      <c r="W11" s="4">
        <v>169.2</v>
      </c>
      <c r="X11" s="4">
        <v>180.8</v>
      </c>
      <c r="Y11" s="4">
        <v>159.80000000000001</v>
      </c>
      <c r="Z11" s="4">
        <v>168.4</v>
      </c>
      <c r="AA11" s="4">
        <v>172.5</v>
      </c>
      <c r="AB11" s="4">
        <v>181.5</v>
      </c>
      <c r="AC11" s="4">
        <v>170</v>
      </c>
      <c r="AD11" s="4">
        <v>176.3</v>
      </c>
      <c r="AE11" s="23"/>
      <c r="AN11" s="4">
        <v>2023</v>
      </c>
      <c r="AO11" s="4" t="s">
        <v>35</v>
      </c>
      <c r="AP11" s="4">
        <v>174.7</v>
      </c>
      <c r="AQ11" s="4">
        <v>212.2</v>
      </c>
      <c r="AR11" s="4">
        <v>177.2</v>
      </c>
      <c r="AS11" s="4">
        <v>177.9</v>
      </c>
      <c r="AT11" s="4">
        <v>172.2</v>
      </c>
      <c r="AU11" s="4">
        <v>172.1</v>
      </c>
      <c r="AV11" s="4">
        <v>175.9</v>
      </c>
      <c r="AW11" s="4">
        <v>172.2</v>
      </c>
      <c r="AX11" s="4">
        <v>121.9</v>
      </c>
      <c r="AY11" s="4">
        <v>204.8</v>
      </c>
      <c r="AZ11" s="4">
        <v>196.6</v>
      </c>
      <c r="BA11" s="4">
        <v>180.8</v>
      </c>
      <c r="BF11" s="4">
        <v>2023</v>
      </c>
      <c r="BG11" s="4" t="s">
        <v>35</v>
      </c>
      <c r="BH11" s="4">
        <v>164.9</v>
      </c>
      <c r="BI11" s="4">
        <v>202.7</v>
      </c>
      <c r="BJ11" s="4">
        <v>168.4</v>
      </c>
      <c r="BM11" s="4">
        <v>2023</v>
      </c>
      <c r="BN11" s="4" t="s">
        <v>35</v>
      </c>
      <c r="BO11" s="4">
        <v>180.2</v>
      </c>
      <c r="BP11" s="4">
        <v>167</v>
      </c>
      <c r="BQ11" s="4">
        <v>178.2</v>
      </c>
      <c r="BT11" s="4">
        <v>2023</v>
      </c>
      <c r="BU11" s="4" t="s">
        <v>35</v>
      </c>
      <c r="BV11" s="4">
        <v>173.5</v>
      </c>
      <c r="BW11" s="4">
        <v>182.6</v>
      </c>
      <c r="BX11" s="4">
        <v>169.2</v>
      </c>
      <c r="BY11" s="4">
        <v>159.80000000000001</v>
      </c>
      <c r="BZ11" s="4">
        <v>172.5</v>
      </c>
      <c r="CC11" s="4">
        <v>2023</v>
      </c>
      <c r="CD11" s="4" t="s">
        <v>35</v>
      </c>
      <c r="CE11" s="4">
        <v>180.8</v>
      </c>
      <c r="CF11" s="4">
        <v>181.5</v>
      </c>
      <c r="CI11" s="4">
        <v>2023</v>
      </c>
      <c r="CJ11" s="4" t="s">
        <v>35</v>
      </c>
      <c r="CK11" s="4">
        <v>170</v>
      </c>
      <c r="CL11" s="4">
        <v>176.3</v>
      </c>
    </row>
    <row r="12" spans="1:90">
      <c r="A12" s="5" t="s">
        <v>33</v>
      </c>
      <c r="B12" s="6">
        <v>2023</v>
      </c>
      <c r="C12" s="6" t="s">
        <v>35</v>
      </c>
      <c r="D12" s="6">
        <v>174.4</v>
      </c>
      <c r="E12" s="6">
        <v>207.7</v>
      </c>
      <c r="F12" s="6">
        <v>175.2</v>
      </c>
      <c r="G12" s="6">
        <v>177.3</v>
      </c>
      <c r="H12" s="6">
        <v>179.2</v>
      </c>
      <c r="I12" s="6">
        <v>169.5</v>
      </c>
      <c r="J12" s="6">
        <v>152.80000000000001</v>
      </c>
      <c r="K12" s="6">
        <v>171.1</v>
      </c>
      <c r="L12" s="6">
        <v>120</v>
      </c>
      <c r="M12" s="6">
        <v>209.7</v>
      </c>
      <c r="N12" s="6">
        <v>172.3</v>
      </c>
      <c r="O12" s="6">
        <v>193</v>
      </c>
      <c r="P12" s="6">
        <v>177</v>
      </c>
      <c r="Q12" s="6">
        <v>199.5</v>
      </c>
      <c r="R12" s="6">
        <v>186.1</v>
      </c>
      <c r="S12" s="6">
        <v>178.7</v>
      </c>
      <c r="T12" s="6">
        <v>185.1</v>
      </c>
      <c r="U12" s="6">
        <v>173.5</v>
      </c>
      <c r="V12" s="6">
        <v>181.9</v>
      </c>
      <c r="W12" s="6">
        <v>174.2</v>
      </c>
      <c r="X12" s="6">
        <v>184.4</v>
      </c>
      <c r="Y12" s="6">
        <v>164.2</v>
      </c>
      <c r="Z12" s="6">
        <v>170.3</v>
      </c>
      <c r="AA12" s="6">
        <v>175</v>
      </c>
      <c r="AB12" s="6">
        <v>181</v>
      </c>
      <c r="AC12" s="6">
        <v>174.1</v>
      </c>
      <c r="AD12" s="6">
        <v>177.2</v>
      </c>
      <c r="AE12" s="22"/>
      <c r="AN12" s="6">
        <v>2023</v>
      </c>
      <c r="AO12" s="6" t="s">
        <v>35</v>
      </c>
      <c r="AP12" s="6">
        <v>174.4</v>
      </c>
      <c r="AQ12" s="6">
        <v>207.7</v>
      </c>
      <c r="AR12" s="6">
        <v>175.2</v>
      </c>
      <c r="AS12" s="6">
        <v>177.3</v>
      </c>
      <c r="AT12" s="6">
        <v>179.2</v>
      </c>
      <c r="AU12" s="6">
        <v>169.5</v>
      </c>
      <c r="AV12" s="6">
        <v>152.80000000000001</v>
      </c>
      <c r="AW12" s="6">
        <v>171.1</v>
      </c>
      <c r="AX12" s="6">
        <v>120</v>
      </c>
      <c r="AY12" s="6">
        <v>209.7</v>
      </c>
      <c r="AZ12" s="6">
        <v>193</v>
      </c>
      <c r="BA12" s="6">
        <v>177</v>
      </c>
      <c r="BF12" s="6">
        <v>2023</v>
      </c>
      <c r="BG12" s="6" t="s">
        <v>35</v>
      </c>
      <c r="BH12" s="6">
        <v>172.3</v>
      </c>
      <c r="BI12" s="6">
        <v>199.5</v>
      </c>
      <c r="BJ12" s="6">
        <v>170.3</v>
      </c>
      <c r="BM12" s="6">
        <v>2023</v>
      </c>
      <c r="BN12" s="6" t="s">
        <v>35</v>
      </c>
      <c r="BO12" s="6">
        <v>186.1</v>
      </c>
      <c r="BP12" s="6">
        <v>178.7</v>
      </c>
      <c r="BQ12" s="6">
        <v>185.1</v>
      </c>
      <c r="BT12" s="6">
        <v>2023</v>
      </c>
      <c r="BU12" s="6" t="s">
        <v>35</v>
      </c>
      <c r="BV12" s="6">
        <v>173.5</v>
      </c>
      <c r="BW12" s="6">
        <v>181.9</v>
      </c>
      <c r="BX12" s="6">
        <v>174.2</v>
      </c>
      <c r="BY12" s="6">
        <v>164.2</v>
      </c>
      <c r="BZ12" s="6">
        <v>175</v>
      </c>
      <c r="CC12" s="6">
        <v>2023</v>
      </c>
      <c r="CD12" s="6" t="s">
        <v>35</v>
      </c>
      <c r="CE12" s="6">
        <v>184.4</v>
      </c>
      <c r="CF12" s="6">
        <v>181</v>
      </c>
      <c r="CI12" s="6">
        <v>2023</v>
      </c>
      <c r="CJ12" s="6" t="s">
        <v>35</v>
      </c>
      <c r="CK12" s="6">
        <v>174.1</v>
      </c>
      <c r="CL12" s="6">
        <v>177.2</v>
      </c>
    </row>
    <row r="13" spans="1:90">
      <c r="A13" s="3" t="s">
        <v>30</v>
      </c>
      <c r="B13" s="4">
        <v>2023</v>
      </c>
      <c r="C13" s="4" t="s">
        <v>36</v>
      </c>
      <c r="D13" s="4">
        <v>173.3</v>
      </c>
      <c r="E13" s="4">
        <v>206.9</v>
      </c>
      <c r="F13" s="4">
        <v>167.9</v>
      </c>
      <c r="G13" s="4">
        <v>178.2</v>
      </c>
      <c r="H13" s="4">
        <v>178.5</v>
      </c>
      <c r="I13" s="4">
        <v>173.7</v>
      </c>
      <c r="J13" s="4">
        <v>142.80000000000001</v>
      </c>
      <c r="K13" s="4">
        <v>172.8</v>
      </c>
      <c r="L13" s="4">
        <v>120.4</v>
      </c>
      <c r="M13" s="4">
        <v>215.5</v>
      </c>
      <c r="N13" s="4">
        <v>178.2</v>
      </c>
      <c r="O13" s="4">
        <v>190.5</v>
      </c>
      <c r="P13" s="4">
        <v>175.5</v>
      </c>
      <c r="Q13" s="4">
        <v>199.5</v>
      </c>
      <c r="R13" s="4">
        <v>190.7</v>
      </c>
      <c r="S13" s="4">
        <v>187.3</v>
      </c>
      <c r="T13" s="4">
        <v>190.2</v>
      </c>
      <c r="U13" s="4">
        <v>175.4</v>
      </c>
      <c r="V13" s="4">
        <v>181.5</v>
      </c>
      <c r="W13" s="4">
        <v>179.1</v>
      </c>
      <c r="X13" s="4">
        <v>187.2</v>
      </c>
      <c r="Y13" s="4">
        <v>169.4</v>
      </c>
      <c r="Z13" s="4">
        <v>173.2</v>
      </c>
      <c r="AA13" s="4">
        <v>179.4</v>
      </c>
      <c r="AB13" s="4">
        <v>183.8</v>
      </c>
      <c r="AC13" s="4">
        <v>178.9</v>
      </c>
      <c r="AD13" s="4">
        <v>178.8</v>
      </c>
      <c r="AE13" s="23"/>
      <c r="AN13" s="4">
        <v>2023</v>
      </c>
      <c r="AO13" s="4" t="s">
        <v>36</v>
      </c>
      <c r="AP13" s="4">
        <v>173.3</v>
      </c>
      <c r="AQ13" s="4">
        <v>206.9</v>
      </c>
      <c r="AR13" s="4">
        <v>167.9</v>
      </c>
      <c r="AS13" s="4">
        <v>178.2</v>
      </c>
      <c r="AT13" s="4">
        <v>178.5</v>
      </c>
      <c r="AU13" s="4">
        <v>173.7</v>
      </c>
      <c r="AV13" s="4">
        <v>142.80000000000001</v>
      </c>
      <c r="AW13" s="4">
        <v>172.8</v>
      </c>
      <c r="AX13" s="4">
        <v>120.4</v>
      </c>
      <c r="AY13" s="4">
        <v>215.5</v>
      </c>
      <c r="AZ13" s="4">
        <v>190.5</v>
      </c>
      <c r="BA13" s="4">
        <v>175.5</v>
      </c>
      <c r="BF13" s="4">
        <v>2023</v>
      </c>
      <c r="BG13" s="4" t="s">
        <v>36</v>
      </c>
      <c r="BH13" s="4">
        <v>178.2</v>
      </c>
      <c r="BI13" s="4">
        <v>199.5</v>
      </c>
      <c r="BJ13" s="4">
        <v>173.2</v>
      </c>
      <c r="BM13" s="4">
        <v>2023</v>
      </c>
      <c r="BN13" s="4" t="s">
        <v>36</v>
      </c>
      <c r="BO13" s="4">
        <v>190.7</v>
      </c>
      <c r="BP13" s="4">
        <v>187.3</v>
      </c>
      <c r="BQ13" s="4">
        <v>190.2</v>
      </c>
      <c r="BT13" s="4">
        <v>2023</v>
      </c>
      <c r="BU13" s="4" t="s">
        <v>36</v>
      </c>
      <c r="BV13" s="4">
        <v>175.4</v>
      </c>
      <c r="BW13" s="4">
        <v>181.5</v>
      </c>
      <c r="BX13" s="4">
        <v>179.1</v>
      </c>
      <c r="BY13" s="4">
        <v>169.4</v>
      </c>
      <c r="BZ13" s="4">
        <v>179.4</v>
      </c>
      <c r="CC13" s="4">
        <v>2023</v>
      </c>
      <c r="CD13" s="4" t="s">
        <v>36</v>
      </c>
      <c r="CE13" s="4">
        <v>187.2</v>
      </c>
      <c r="CF13" s="4">
        <v>183.8</v>
      </c>
      <c r="CI13" s="4">
        <v>2023</v>
      </c>
      <c r="CJ13" s="4" t="s">
        <v>36</v>
      </c>
      <c r="CK13" s="4">
        <v>178.9</v>
      </c>
      <c r="CL13" s="4">
        <v>178.8</v>
      </c>
    </row>
    <row r="14" spans="1:90">
      <c r="A14" s="5" t="s">
        <v>32</v>
      </c>
      <c r="B14" s="6">
        <v>2023</v>
      </c>
      <c r="C14" s="6" t="s">
        <v>36</v>
      </c>
      <c r="D14" s="6">
        <v>174.8</v>
      </c>
      <c r="E14" s="6">
        <v>213.7</v>
      </c>
      <c r="F14" s="6">
        <v>172.4</v>
      </c>
      <c r="G14" s="6">
        <v>178.8</v>
      </c>
      <c r="H14" s="6">
        <v>168.7</v>
      </c>
      <c r="I14" s="6">
        <v>179.2</v>
      </c>
      <c r="J14" s="6">
        <v>179.9</v>
      </c>
      <c r="K14" s="6">
        <v>174.7</v>
      </c>
      <c r="L14" s="6">
        <v>123.1</v>
      </c>
      <c r="M14" s="6">
        <v>207.8</v>
      </c>
      <c r="N14" s="6">
        <v>165.5</v>
      </c>
      <c r="O14" s="6">
        <v>197</v>
      </c>
      <c r="P14" s="6">
        <v>182.1</v>
      </c>
      <c r="Q14" s="6">
        <v>203.5</v>
      </c>
      <c r="R14" s="6">
        <v>181</v>
      </c>
      <c r="S14" s="6">
        <v>167.7</v>
      </c>
      <c r="T14" s="6">
        <v>178.9</v>
      </c>
      <c r="U14" s="6">
        <v>175.2</v>
      </c>
      <c r="V14" s="6">
        <v>182.1</v>
      </c>
      <c r="W14" s="6">
        <v>169.6</v>
      </c>
      <c r="X14" s="6">
        <v>181.5</v>
      </c>
      <c r="Y14" s="6">
        <v>160.1</v>
      </c>
      <c r="Z14" s="6">
        <v>168.8</v>
      </c>
      <c r="AA14" s="6">
        <v>174.2</v>
      </c>
      <c r="AB14" s="6">
        <v>184.4</v>
      </c>
      <c r="AC14" s="6">
        <v>170.9</v>
      </c>
      <c r="AD14" s="6">
        <v>177.4</v>
      </c>
      <c r="AE14" s="22"/>
      <c r="AN14" s="6">
        <v>2023</v>
      </c>
      <c r="AO14" s="6" t="s">
        <v>36</v>
      </c>
      <c r="AP14" s="6">
        <v>174.8</v>
      </c>
      <c r="AQ14" s="6">
        <v>213.7</v>
      </c>
      <c r="AR14" s="6">
        <v>172.4</v>
      </c>
      <c r="AS14" s="6">
        <v>178.8</v>
      </c>
      <c r="AT14" s="6">
        <v>168.7</v>
      </c>
      <c r="AU14" s="6">
        <v>179.2</v>
      </c>
      <c r="AV14" s="6">
        <v>179.9</v>
      </c>
      <c r="AW14" s="6">
        <v>174.7</v>
      </c>
      <c r="AX14" s="6">
        <v>123.1</v>
      </c>
      <c r="AY14" s="6">
        <v>207.8</v>
      </c>
      <c r="AZ14" s="6">
        <v>197</v>
      </c>
      <c r="BA14" s="6">
        <v>182.1</v>
      </c>
      <c r="BF14" s="6">
        <v>2023</v>
      </c>
      <c r="BG14" s="6" t="s">
        <v>36</v>
      </c>
      <c r="BH14" s="6">
        <v>165.5</v>
      </c>
      <c r="BI14" s="6">
        <v>203.5</v>
      </c>
      <c r="BJ14" s="6">
        <v>168.8</v>
      </c>
      <c r="BM14" s="6">
        <v>2023</v>
      </c>
      <c r="BN14" s="6" t="s">
        <v>36</v>
      </c>
      <c r="BO14" s="6">
        <v>181</v>
      </c>
      <c r="BP14" s="6">
        <v>167.7</v>
      </c>
      <c r="BQ14" s="6">
        <v>178.9</v>
      </c>
      <c r="BT14" s="6">
        <v>2023</v>
      </c>
      <c r="BU14" s="6" t="s">
        <v>36</v>
      </c>
      <c r="BV14" s="6">
        <v>175.2</v>
      </c>
      <c r="BW14" s="6">
        <v>182.1</v>
      </c>
      <c r="BX14" s="6">
        <v>169.6</v>
      </c>
      <c r="BY14" s="6">
        <v>160.1</v>
      </c>
      <c r="BZ14" s="6">
        <v>174.2</v>
      </c>
      <c r="CC14" s="6">
        <v>2023</v>
      </c>
      <c r="CD14" s="6" t="s">
        <v>36</v>
      </c>
      <c r="CE14" s="6">
        <v>181.5</v>
      </c>
      <c r="CF14" s="6">
        <v>184.4</v>
      </c>
      <c r="CI14" s="6">
        <v>2023</v>
      </c>
      <c r="CJ14" s="6" t="s">
        <v>36</v>
      </c>
      <c r="CK14" s="6">
        <v>170.9</v>
      </c>
      <c r="CL14" s="6">
        <v>177.4</v>
      </c>
    </row>
    <row r="15" spans="1:90">
      <c r="A15" s="3" t="s">
        <v>33</v>
      </c>
      <c r="B15" s="4">
        <v>2023</v>
      </c>
      <c r="C15" s="4" t="s">
        <v>36</v>
      </c>
      <c r="D15" s="4">
        <v>173.8</v>
      </c>
      <c r="E15" s="4">
        <v>209.3</v>
      </c>
      <c r="F15" s="4">
        <v>169.6</v>
      </c>
      <c r="G15" s="4">
        <v>178.4</v>
      </c>
      <c r="H15" s="4">
        <v>174.9</v>
      </c>
      <c r="I15" s="4">
        <v>176.3</v>
      </c>
      <c r="J15" s="4">
        <v>155.4</v>
      </c>
      <c r="K15" s="4">
        <v>173.4</v>
      </c>
      <c r="L15" s="4">
        <v>121.3</v>
      </c>
      <c r="M15" s="4">
        <v>212.9</v>
      </c>
      <c r="N15" s="4">
        <v>172.9</v>
      </c>
      <c r="O15" s="4">
        <v>193.5</v>
      </c>
      <c r="P15" s="4">
        <v>177.9</v>
      </c>
      <c r="Q15" s="4">
        <v>200.6</v>
      </c>
      <c r="R15" s="4">
        <v>186.9</v>
      </c>
      <c r="S15" s="4">
        <v>179.2</v>
      </c>
      <c r="T15" s="4">
        <v>185.7</v>
      </c>
      <c r="U15" s="4">
        <v>175.2</v>
      </c>
      <c r="V15" s="4">
        <v>181.7</v>
      </c>
      <c r="W15" s="4">
        <v>174.6</v>
      </c>
      <c r="X15" s="4">
        <v>185</v>
      </c>
      <c r="Y15" s="4">
        <v>164.5</v>
      </c>
      <c r="Z15" s="4">
        <v>170.7</v>
      </c>
      <c r="AA15" s="4">
        <v>176.4</v>
      </c>
      <c r="AB15" s="4">
        <v>184</v>
      </c>
      <c r="AC15" s="4">
        <v>175</v>
      </c>
      <c r="AD15" s="4">
        <v>178.1</v>
      </c>
      <c r="AE15" s="23"/>
      <c r="AN15" s="4">
        <v>2023</v>
      </c>
      <c r="AO15" s="4" t="s">
        <v>36</v>
      </c>
      <c r="AP15" s="4">
        <v>173.8</v>
      </c>
      <c r="AQ15" s="4">
        <v>209.3</v>
      </c>
      <c r="AR15" s="4">
        <v>169.6</v>
      </c>
      <c r="AS15" s="4">
        <v>178.4</v>
      </c>
      <c r="AT15" s="4">
        <v>174.9</v>
      </c>
      <c r="AU15" s="4">
        <v>176.3</v>
      </c>
      <c r="AV15" s="4">
        <v>155.4</v>
      </c>
      <c r="AW15" s="4">
        <v>173.4</v>
      </c>
      <c r="AX15" s="4">
        <v>121.3</v>
      </c>
      <c r="AY15" s="4">
        <v>212.9</v>
      </c>
      <c r="AZ15" s="4">
        <v>193.5</v>
      </c>
      <c r="BA15" s="4">
        <v>177.9</v>
      </c>
      <c r="BF15" s="4">
        <v>2023</v>
      </c>
      <c r="BG15" s="4" t="s">
        <v>36</v>
      </c>
      <c r="BH15" s="4">
        <v>172.9</v>
      </c>
      <c r="BI15" s="4">
        <v>200.6</v>
      </c>
      <c r="BJ15" s="4">
        <v>170.7</v>
      </c>
      <c r="BM15" s="4">
        <v>2023</v>
      </c>
      <c r="BN15" s="4" t="s">
        <v>36</v>
      </c>
      <c r="BO15" s="4">
        <v>186.9</v>
      </c>
      <c r="BP15" s="4">
        <v>179.2</v>
      </c>
      <c r="BQ15" s="4">
        <v>185.7</v>
      </c>
      <c r="BT15" s="4">
        <v>2023</v>
      </c>
      <c r="BU15" s="4" t="s">
        <v>36</v>
      </c>
      <c r="BV15" s="4">
        <v>175.2</v>
      </c>
      <c r="BW15" s="4">
        <v>181.7</v>
      </c>
      <c r="BX15" s="4">
        <v>174.6</v>
      </c>
      <c r="BY15" s="4">
        <v>164.5</v>
      </c>
      <c r="BZ15" s="4">
        <v>176.4</v>
      </c>
      <c r="CC15" s="4">
        <v>2023</v>
      </c>
      <c r="CD15" s="4" t="s">
        <v>36</v>
      </c>
      <c r="CE15" s="4">
        <v>185</v>
      </c>
      <c r="CF15" s="4">
        <v>184</v>
      </c>
      <c r="CI15" s="4">
        <v>2023</v>
      </c>
      <c r="CJ15" s="4" t="s">
        <v>36</v>
      </c>
      <c r="CK15" s="4">
        <v>175</v>
      </c>
      <c r="CL15" s="4">
        <v>178.1</v>
      </c>
    </row>
    <row r="16" spans="1:90">
      <c r="A16" s="5" t="s">
        <v>30</v>
      </c>
      <c r="B16" s="6">
        <v>2023</v>
      </c>
      <c r="C16" s="6" t="s">
        <v>37</v>
      </c>
      <c r="D16" s="6">
        <v>173.2</v>
      </c>
      <c r="E16" s="6">
        <v>211.5</v>
      </c>
      <c r="F16" s="6">
        <v>171</v>
      </c>
      <c r="G16" s="6">
        <v>179.6</v>
      </c>
      <c r="H16" s="6">
        <v>173.3</v>
      </c>
      <c r="I16" s="6">
        <v>169</v>
      </c>
      <c r="J16" s="6">
        <v>148.69999999999999</v>
      </c>
      <c r="K16" s="6">
        <v>174.9</v>
      </c>
      <c r="L16" s="6">
        <v>121.9</v>
      </c>
      <c r="M16" s="6">
        <v>221</v>
      </c>
      <c r="N16" s="6">
        <v>178.7</v>
      </c>
      <c r="O16" s="6">
        <v>191.1</v>
      </c>
      <c r="P16" s="6">
        <v>176.8</v>
      </c>
      <c r="Q16" s="6">
        <v>199.9</v>
      </c>
      <c r="R16" s="6">
        <v>191.2</v>
      </c>
      <c r="S16" s="6">
        <v>187.9</v>
      </c>
      <c r="T16" s="6">
        <v>190.8</v>
      </c>
      <c r="U16" s="6">
        <v>175.4</v>
      </c>
      <c r="V16" s="6">
        <v>182.5</v>
      </c>
      <c r="W16" s="6">
        <v>179.8</v>
      </c>
      <c r="X16" s="6">
        <v>187.8</v>
      </c>
      <c r="Y16" s="6">
        <v>169.7</v>
      </c>
      <c r="Z16" s="6">
        <v>173.8</v>
      </c>
      <c r="AA16" s="6">
        <v>180.3</v>
      </c>
      <c r="AB16" s="6">
        <v>184.9</v>
      </c>
      <c r="AC16" s="6">
        <v>179.5</v>
      </c>
      <c r="AD16" s="6">
        <v>179.8</v>
      </c>
      <c r="AE16" s="22"/>
      <c r="AN16" s="6">
        <v>2023</v>
      </c>
      <c r="AO16" s="6" t="s">
        <v>37</v>
      </c>
      <c r="AP16" s="6">
        <v>173.2</v>
      </c>
      <c r="AQ16" s="6">
        <v>211.5</v>
      </c>
      <c r="AR16" s="6">
        <v>171</v>
      </c>
      <c r="AS16" s="6">
        <v>179.6</v>
      </c>
      <c r="AT16" s="6">
        <v>173.3</v>
      </c>
      <c r="AU16" s="6">
        <v>169</v>
      </c>
      <c r="AV16" s="6">
        <v>148.69999999999999</v>
      </c>
      <c r="AW16" s="6">
        <v>174.9</v>
      </c>
      <c r="AX16" s="6">
        <v>121.9</v>
      </c>
      <c r="AY16" s="6">
        <v>221</v>
      </c>
      <c r="AZ16" s="6">
        <v>191.1</v>
      </c>
      <c r="BA16" s="6">
        <v>176.8</v>
      </c>
      <c r="BF16" s="6">
        <v>2023</v>
      </c>
      <c r="BG16" s="6" t="s">
        <v>37</v>
      </c>
      <c r="BH16" s="6">
        <v>178.7</v>
      </c>
      <c r="BI16" s="6">
        <v>199.9</v>
      </c>
      <c r="BJ16" s="6">
        <v>173.8</v>
      </c>
      <c r="BM16" s="6">
        <v>2023</v>
      </c>
      <c r="BN16" s="6" t="s">
        <v>37</v>
      </c>
      <c r="BO16" s="6">
        <v>191.2</v>
      </c>
      <c r="BP16" s="6">
        <v>187.9</v>
      </c>
      <c r="BQ16" s="6">
        <v>190.8</v>
      </c>
      <c r="BT16" s="6">
        <v>2023</v>
      </c>
      <c r="BU16" s="6" t="s">
        <v>37</v>
      </c>
      <c r="BV16" s="6">
        <v>175.4</v>
      </c>
      <c r="BW16" s="6">
        <v>182.5</v>
      </c>
      <c r="BX16" s="6">
        <v>179.8</v>
      </c>
      <c r="BY16" s="6">
        <v>169.7</v>
      </c>
      <c r="BZ16" s="6">
        <v>180.3</v>
      </c>
      <c r="CC16" s="6">
        <v>2023</v>
      </c>
      <c r="CD16" s="6" t="s">
        <v>37</v>
      </c>
      <c r="CE16" s="6">
        <v>187.8</v>
      </c>
      <c r="CF16" s="6">
        <v>184.9</v>
      </c>
      <c r="CI16" s="6">
        <v>2023</v>
      </c>
      <c r="CJ16" s="6" t="s">
        <v>37</v>
      </c>
      <c r="CK16" s="6">
        <v>179.5</v>
      </c>
      <c r="CL16" s="6">
        <v>179.8</v>
      </c>
    </row>
    <row r="17" spans="1:90">
      <c r="A17" s="3" t="s">
        <v>32</v>
      </c>
      <c r="B17" s="4">
        <v>2023</v>
      </c>
      <c r="C17" s="4" t="s">
        <v>37</v>
      </c>
      <c r="D17" s="4">
        <v>174.7</v>
      </c>
      <c r="E17" s="4">
        <v>219.4</v>
      </c>
      <c r="F17" s="4">
        <v>176.7</v>
      </c>
      <c r="G17" s="4">
        <v>179.4</v>
      </c>
      <c r="H17" s="4">
        <v>164.4</v>
      </c>
      <c r="I17" s="4">
        <v>175.8</v>
      </c>
      <c r="J17" s="4">
        <v>185</v>
      </c>
      <c r="K17" s="4">
        <v>176.9</v>
      </c>
      <c r="L17" s="4">
        <v>124.2</v>
      </c>
      <c r="M17" s="4">
        <v>211.9</v>
      </c>
      <c r="N17" s="4">
        <v>165.9</v>
      </c>
      <c r="O17" s="4">
        <v>197.7</v>
      </c>
      <c r="P17" s="4">
        <v>183.1</v>
      </c>
      <c r="Q17" s="4">
        <v>204.2</v>
      </c>
      <c r="R17" s="4">
        <v>181.3</v>
      </c>
      <c r="S17" s="4">
        <v>168.1</v>
      </c>
      <c r="T17" s="4">
        <v>179.3</v>
      </c>
      <c r="U17" s="4">
        <v>175.6</v>
      </c>
      <c r="V17" s="4">
        <v>183.4</v>
      </c>
      <c r="W17" s="4">
        <v>170.1</v>
      </c>
      <c r="X17" s="4">
        <v>182.2</v>
      </c>
      <c r="Y17" s="4">
        <v>160.4</v>
      </c>
      <c r="Z17" s="4">
        <v>169.2</v>
      </c>
      <c r="AA17" s="4">
        <v>174.8</v>
      </c>
      <c r="AB17" s="4">
        <v>185.6</v>
      </c>
      <c r="AC17" s="4">
        <v>171.6</v>
      </c>
      <c r="AD17" s="4">
        <v>178.2</v>
      </c>
      <c r="AE17" s="23"/>
      <c r="AN17" s="4">
        <v>2023</v>
      </c>
      <c r="AO17" s="4" t="s">
        <v>37</v>
      </c>
      <c r="AP17" s="4">
        <v>174.7</v>
      </c>
      <c r="AQ17" s="4">
        <v>219.4</v>
      </c>
      <c r="AR17" s="4">
        <v>176.7</v>
      </c>
      <c r="AS17" s="4">
        <v>179.4</v>
      </c>
      <c r="AT17" s="4">
        <v>164.4</v>
      </c>
      <c r="AU17" s="4">
        <v>175.8</v>
      </c>
      <c r="AV17" s="4">
        <v>185</v>
      </c>
      <c r="AW17" s="4">
        <v>176.9</v>
      </c>
      <c r="AX17" s="4">
        <v>124.2</v>
      </c>
      <c r="AY17" s="4">
        <v>211.9</v>
      </c>
      <c r="AZ17" s="4">
        <v>197.7</v>
      </c>
      <c r="BA17" s="4">
        <v>183.1</v>
      </c>
      <c r="BF17" s="4">
        <v>2023</v>
      </c>
      <c r="BG17" s="4" t="s">
        <v>37</v>
      </c>
      <c r="BH17" s="4">
        <v>165.9</v>
      </c>
      <c r="BI17" s="4">
        <v>204.2</v>
      </c>
      <c r="BJ17" s="4">
        <v>169.2</v>
      </c>
      <c r="BM17" s="4">
        <v>2023</v>
      </c>
      <c r="BN17" s="4" t="s">
        <v>37</v>
      </c>
      <c r="BO17" s="4">
        <v>181.3</v>
      </c>
      <c r="BP17" s="4">
        <v>168.1</v>
      </c>
      <c r="BQ17" s="4">
        <v>179.3</v>
      </c>
      <c r="BT17" s="4">
        <v>2023</v>
      </c>
      <c r="BU17" s="4" t="s">
        <v>37</v>
      </c>
      <c r="BV17" s="4">
        <v>175.6</v>
      </c>
      <c r="BW17" s="4">
        <v>183.4</v>
      </c>
      <c r="BX17" s="4">
        <v>170.1</v>
      </c>
      <c r="BY17" s="4">
        <v>160.4</v>
      </c>
      <c r="BZ17" s="4">
        <v>174.8</v>
      </c>
      <c r="CC17" s="4">
        <v>2023</v>
      </c>
      <c r="CD17" s="4" t="s">
        <v>37</v>
      </c>
      <c r="CE17" s="4">
        <v>182.2</v>
      </c>
      <c r="CF17" s="4">
        <v>185.6</v>
      </c>
      <c r="CI17" s="4">
        <v>2023</v>
      </c>
      <c r="CJ17" s="4" t="s">
        <v>37</v>
      </c>
      <c r="CK17" s="4">
        <v>171.6</v>
      </c>
      <c r="CL17" s="4">
        <v>178.2</v>
      </c>
    </row>
    <row r="18" spans="1:90">
      <c r="A18" s="5" t="s">
        <v>33</v>
      </c>
      <c r="B18" s="6">
        <v>2023</v>
      </c>
      <c r="C18" s="6" t="s">
        <v>37</v>
      </c>
      <c r="D18" s="6">
        <v>173.7</v>
      </c>
      <c r="E18" s="6">
        <v>214.3</v>
      </c>
      <c r="F18" s="6">
        <v>173.2</v>
      </c>
      <c r="G18" s="6">
        <v>179.5</v>
      </c>
      <c r="H18" s="6">
        <v>170</v>
      </c>
      <c r="I18" s="6">
        <v>172.2</v>
      </c>
      <c r="J18" s="6">
        <v>161</v>
      </c>
      <c r="K18" s="6">
        <v>175.6</v>
      </c>
      <c r="L18" s="6">
        <v>122.7</v>
      </c>
      <c r="M18" s="6">
        <v>218</v>
      </c>
      <c r="N18" s="6">
        <v>173.4</v>
      </c>
      <c r="O18" s="6">
        <v>194.2</v>
      </c>
      <c r="P18" s="6">
        <v>179.1</v>
      </c>
      <c r="Q18" s="6">
        <v>201</v>
      </c>
      <c r="R18" s="6">
        <v>187.3</v>
      </c>
      <c r="S18" s="6">
        <v>179.7</v>
      </c>
      <c r="T18" s="6">
        <v>186.2</v>
      </c>
      <c r="U18" s="6">
        <v>175.6</v>
      </c>
      <c r="V18" s="6">
        <v>182.8</v>
      </c>
      <c r="W18" s="6">
        <v>175.2</v>
      </c>
      <c r="X18" s="6">
        <v>185.7</v>
      </c>
      <c r="Y18" s="6">
        <v>164.8</v>
      </c>
      <c r="Z18" s="6">
        <v>171.2</v>
      </c>
      <c r="AA18" s="6">
        <v>177.1</v>
      </c>
      <c r="AB18" s="6">
        <v>185.2</v>
      </c>
      <c r="AC18" s="6">
        <v>175.7</v>
      </c>
      <c r="AD18" s="6">
        <v>179.1</v>
      </c>
      <c r="AE18" s="22"/>
      <c r="AN18" s="6">
        <v>2023</v>
      </c>
      <c r="AO18" s="6" t="s">
        <v>37</v>
      </c>
      <c r="AP18" s="6">
        <v>173.7</v>
      </c>
      <c r="AQ18" s="6">
        <v>214.3</v>
      </c>
      <c r="AR18" s="6">
        <v>173.2</v>
      </c>
      <c r="AS18" s="6">
        <v>179.5</v>
      </c>
      <c r="AT18" s="6">
        <v>170</v>
      </c>
      <c r="AU18" s="6">
        <v>172.2</v>
      </c>
      <c r="AV18" s="6">
        <v>161</v>
      </c>
      <c r="AW18" s="6">
        <v>175.6</v>
      </c>
      <c r="AX18" s="6">
        <v>122.7</v>
      </c>
      <c r="AY18" s="6">
        <v>218</v>
      </c>
      <c r="AZ18" s="6">
        <v>194.2</v>
      </c>
      <c r="BA18" s="6">
        <v>179.1</v>
      </c>
      <c r="BF18" s="6">
        <v>2023</v>
      </c>
      <c r="BG18" s="6" t="s">
        <v>37</v>
      </c>
      <c r="BH18" s="6">
        <v>173.4</v>
      </c>
      <c r="BI18" s="6">
        <v>201</v>
      </c>
      <c r="BJ18" s="6">
        <v>171.2</v>
      </c>
      <c r="BM18" s="6">
        <v>2023</v>
      </c>
      <c r="BN18" s="6" t="s">
        <v>37</v>
      </c>
      <c r="BO18" s="6">
        <v>187.3</v>
      </c>
      <c r="BP18" s="6">
        <v>179.7</v>
      </c>
      <c r="BQ18" s="6">
        <v>186.2</v>
      </c>
      <c r="BT18" s="6">
        <v>2023</v>
      </c>
      <c r="BU18" s="6" t="s">
        <v>37</v>
      </c>
      <c r="BV18" s="6">
        <v>175.6</v>
      </c>
      <c r="BW18" s="6">
        <v>182.8</v>
      </c>
      <c r="BX18" s="6">
        <v>175.2</v>
      </c>
      <c r="BY18" s="6">
        <v>164.8</v>
      </c>
      <c r="BZ18" s="6">
        <v>177.1</v>
      </c>
      <c r="CC18" s="6">
        <v>2023</v>
      </c>
      <c r="CD18" s="6" t="s">
        <v>37</v>
      </c>
      <c r="CE18" s="6">
        <v>185.7</v>
      </c>
      <c r="CF18" s="6">
        <v>185.2</v>
      </c>
      <c r="CI18" s="6">
        <v>2023</v>
      </c>
      <c r="CJ18" s="6" t="s">
        <v>37</v>
      </c>
      <c r="CK18" s="6">
        <v>175.7</v>
      </c>
      <c r="CL18" s="6">
        <v>179.1</v>
      </c>
    </row>
  </sheetData>
  <mergeCells count="7">
    <mergeCell ref="CI1:CL2"/>
    <mergeCell ref="A1:AD2"/>
    <mergeCell ref="AN1:AZ2"/>
    <mergeCell ref="BF1:BJ2"/>
    <mergeCell ref="BM1:BQ2"/>
    <mergeCell ref="BT1:BY2"/>
    <mergeCell ref="CC1:C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CPI India</vt:lpstr>
      <vt:lpstr>Que 1</vt:lpstr>
      <vt:lpstr>Que 2</vt:lpstr>
      <vt:lpstr>June'22 - May'23</vt:lpstr>
      <vt:lpstr>Que 3</vt:lpstr>
      <vt:lpstr>Era</vt:lpstr>
      <vt:lpstr>Que 4</vt:lpstr>
      <vt:lpstr>Que 5</vt:lpstr>
      <vt:lpstr>CPI India Analysis</vt:lpstr>
      <vt:lpstr>2021</vt:lpstr>
      <vt:lpstr>2022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Patil</dc:creator>
  <cp:lastModifiedBy>Aditya Patil</cp:lastModifiedBy>
  <dcterms:created xsi:type="dcterms:W3CDTF">2025-11-06T16:52:06Z</dcterms:created>
  <dcterms:modified xsi:type="dcterms:W3CDTF">2026-03-23T06:00:50Z</dcterms:modified>
</cp:coreProperties>
</file>